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P:\HUD NATIONAL TA WORK\FEDERAL PARTNERS &amp; PGMS - HMIS\HUD - ESG\ESG -- eCART\"/>
    </mc:Choice>
  </mc:AlternateContent>
  <bookViews>
    <workbookView xWindow="0" yWindow="0" windowWidth="19200" windowHeight="7350" tabRatio="684"/>
  </bookViews>
  <sheets>
    <sheet name="Import" sheetId="31" r:id="rId1"/>
    <sheet name="Sheet1" sheetId="7" state="hidden" r:id="rId2"/>
    <sheet name="MasterCSV" sheetId="8" state="hidden" r:id="rId3"/>
    <sheet name="ProjPivot" sheetId="50" state="hidden" r:id="rId4"/>
    <sheet name="Data" sheetId="24" r:id="rId5"/>
    <sheet name="Validation Errors" sheetId="55" r:id="rId6"/>
    <sheet name="Report with Filters" sheetId="47" r:id="rId7"/>
    <sheet name="Combined Report" sheetId="49" r:id="rId8"/>
    <sheet name="ValidationTable" sheetId="51" state="hidden" r:id="rId9"/>
    <sheet name="Settings" sheetId="54" state="hidden" r:id="rId10"/>
  </sheets>
  <functionGroups builtInGroupCount="18"/>
  <externalReferences>
    <externalReference r:id="rId11"/>
    <externalReference r:id="rId12"/>
    <externalReference r:id="rId13"/>
  </externalReferences>
  <definedNames>
    <definedName name="_xlnm._FilterDatabase" localSheetId="2" hidden="1">MasterCSV!$J:$J</definedName>
    <definedName name="CheckData">[1]FORM!$D$10:$D$12,[1]FORM!$D$14:$D$16,[1]FORM!$D$18:$D$20,[1]FORM!$D$22:$D$23,[1]FORM!$D$25,[1]FORM!$D$26:$D$27</definedName>
    <definedName name="column.22d" localSheetId="5">#REF!</definedName>
    <definedName name="column.22d">MasterCSV!$J$275:$M$275</definedName>
    <definedName name="column.27b" localSheetId="5">#REF!</definedName>
    <definedName name="column.27b">MasterCSV!$J$422:$M$422</definedName>
    <definedName name="column_10d" localSheetId="7">MasterCSV!#REF!</definedName>
    <definedName name="column_10d" localSheetId="5">[2]MasterCSV!#REF!</definedName>
    <definedName name="column_10d">MasterCSV!#REF!</definedName>
    <definedName name="column_20a" localSheetId="7">MasterCSV!#REF!</definedName>
    <definedName name="column_20a" localSheetId="5">[2]MasterCSV!#REF!</definedName>
    <definedName name="column_20a">MasterCSV!#REF!</definedName>
    <definedName name="column_22a2" localSheetId="7">MasterCSV!#REF!</definedName>
    <definedName name="column_22a2" localSheetId="5">[2]MasterCSV!#REF!</definedName>
    <definedName name="column_22a2">MasterCSV!#REF!</definedName>
    <definedName name="column_9a" localSheetId="7">MasterCSV!#REF!</definedName>
    <definedName name="column_9a" localSheetId="5">[2]MasterCSV!#REF!</definedName>
    <definedName name="column_9a">MasterCSV!#REF!</definedName>
    <definedName name="column_q21" localSheetId="7">MasterCSV!#REF!</definedName>
    <definedName name="column_q21" localSheetId="5">[2]MasterCSV!#REF!</definedName>
    <definedName name="column_q21">MasterCSV!#REF!</definedName>
    <definedName name="DD.Filter" localSheetId="5">[2]ProjPivot!$A:$A</definedName>
    <definedName name="DD.Filter">ProjPivot!$A:$A</definedName>
    <definedName name="eleven" localSheetId="7">MasterCSV!#REF!</definedName>
    <definedName name="eleven" localSheetId="5">[2]MasterCSV!#REF!</definedName>
    <definedName name="eleven">MasterCSV!#REF!</definedName>
    <definedName name="exit.destination" localSheetId="5">#REF!</definedName>
    <definedName name="exit.destination">MasterCSV!$J$290:$M$302</definedName>
    <definedName name="_xlnm.Extract" localSheetId="2">MasterCSV!$N$1</definedName>
    <definedName name="five_a" localSheetId="7">MasterCSV!#REF!</definedName>
    <definedName name="five_a" localSheetId="5">[2]MasterCSV!#REF!</definedName>
    <definedName name="five_a">MasterCSV!#REF!</definedName>
    <definedName name="inst.destinations.90days" localSheetId="5">#REF!</definedName>
    <definedName name="inst.destinations.90days">MasterCSV!$J$349:$M$355</definedName>
    <definedName name="institutional.destinations" localSheetId="5">#REF!</definedName>
    <definedName name="institutional.destinations">MasterCSV!$J$313:$M$320</definedName>
    <definedName name="nine_a" localSheetId="7">MasterCSV!#REF!</definedName>
    <definedName name="nine_a" localSheetId="5">[2]MasterCSV!#REF!</definedName>
    <definedName name="nine_a">MasterCSV!#REF!</definedName>
    <definedName name="nine_b" localSheetId="7">#REF!</definedName>
    <definedName name="nine_b" localSheetId="5">#REF!</definedName>
    <definedName name="nine_b">#REF!</definedName>
    <definedName name="other.destinations" localSheetId="5">#REF!</definedName>
    <definedName name="other.destinations">MasterCSV!$J$321:$M$327</definedName>
    <definedName name="other.destinations.90days" localSheetId="7">#REF!</definedName>
    <definedName name="other.destinations.90days" localSheetId="5">#REF!</definedName>
    <definedName name="other.destinations.90days">#REF!</definedName>
    <definedName name="pem.destinations.90days" localSheetId="5">#REF!</definedName>
    <definedName name="pem.destinations.90days">MasterCSV!$J$329:$M$339</definedName>
    <definedName name="_xlnm.Print_Area" localSheetId="7">'Combined Report'!$A$1:$H$473</definedName>
    <definedName name="_xlnm.Print_Area" localSheetId="6">'Report with Filters'!$A$1:$H$473</definedName>
    <definedName name="projtype" localSheetId="7">Table15[Project]</definedName>
    <definedName name="projtype" localSheetId="5">[2]!Table1[Project]</definedName>
    <definedName name="projtype">Table1[Project]</definedName>
    <definedName name="q.14a" localSheetId="7">#REF!</definedName>
    <definedName name="q.14a" localSheetId="5">#REF!</definedName>
    <definedName name="q.14a">#REF!</definedName>
    <definedName name="q.14b" localSheetId="7">MasterCSV!#REF!</definedName>
    <definedName name="q.14b" localSheetId="5">[2]MasterCSV!#REF!</definedName>
    <definedName name="q.14b">MasterCSV!#REF!</definedName>
    <definedName name="q.15" localSheetId="7">#REF!</definedName>
    <definedName name="q.15" localSheetId="5">#REF!</definedName>
    <definedName name="q.15">#REF!</definedName>
    <definedName name="q.20a" localSheetId="7">#REF!</definedName>
    <definedName name="q.20a" localSheetId="5">#REF!</definedName>
    <definedName name="q.20a">#REF!</definedName>
    <definedName name="q.21" localSheetId="7">#REF!</definedName>
    <definedName name="q.21" localSheetId="5">#REF!</definedName>
    <definedName name="q.21">#REF!</definedName>
    <definedName name="q.22a2" localSheetId="7">#REF!</definedName>
    <definedName name="q.22a2" localSheetId="5">#REF!</definedName>
    <definedName name="q.22a2">#REF!</definedName>
    <definedName name="q.22c" localSheetId="7">#REF!</definedName>
    <definedName name="q.22c" localSheetId="5">#REF!</definedName>
    <definedName name="q.22c">#REF!</definedName>
    <definedName name="q.22d" localSheetId="7">#REF!</definedName>
    <definedName name="q.22d" localSheetId="5">#REF!</definedName>
    <definedName name="q.22d">#REF!</definedName>
    <definedName name="q.25a.inst" localSheetId="5">#REF!</definedName>
    <definedName name="q.25a.inst">MasterCSV!$J$384:$M$390</definedName>
    <definedName name="q.25a.other" localSheetId="5">#REF!</definedName>
    <definedName name="q.25a.other">MasterCSV!$J$391:$M$397</definedName>
    <definedName name="q.25a.perm" localSheetId="7">#REF!</definedName>
    <definedName name="q.25a.perm" localSheetId="5">#REF!</definedName>
    <definedName name="q.25a.perm">#REF!</definedName>
    <definedName name="q.25a.temp" localSheetId="5">#REF!</definedName>
    <definedName name="q.25a.temp">MasterCSV!$J$375:$M$383</definedName>
    <definedName name="q.25b" localSheetId="5">#REF!</definedName>
    <definedName name="q.25b">MasterCSV!$J$398:$M$413</definedName>
    <definedName name="q.26a" localSheetId="5">#REF!</definedName>
    <definedName name="q.26a">MasterCSV!$J$415:$M$421</definedName>
    <definedName name="q.27b" localSheetId="5">#REF!</definedName>
    <definedName name="q.27b">MasterCSV!$J$422:$M$427</definedName>
    <definedName name="q12a" localSheetId="7">MasterCSV!#REF!</definedName>
    <definedName name="q12a" localSheetId="5">[2]MasterCSV!#REF!</definedName>
    <definedName name="q12a">MasterCSV!#REF!</definedName>
    <definedName name="q12b" localSheetId="7">MasterCSV!#REF!</definedName>
    <definedName name="q12b" localSheetId="5">[2]MasterCSV!#REF!</definedName>
    <definedName name="q12b">MasterCSV!#REF!</definedName>
    <definedName name="q13a1" localSheetId="7">MasterCSV!#REF!</definedName>
    <definedName name="q13a1" localSheetId="5">[2]MasterCSV!#REF!</definedName>
    <definedName name="q13a1">MasterCSV!#REF!</definedName>
    <definedName name="q13b1" localSheetId="7">MasterCSV!#REF!</definedName>
    <definedName name="q13b1" localSheetId="5">[2]MasterCSV!#REF!</definedName>
    <definedName name="q13b1">MasterCSV!#REF!</definedName>
    <definedName name="q13c1" localSheetId="7">MasterCSV!#REF!</definedName>
    <definedName name="q13c1" localSheetId="5">[2]MasterCSV!#REF!</definedName>
    <definedName name="q13c1">MasterCSV!#REF!</definedName>
    <definedName name="seven_a" localSheetId="7">MasterCSV!#REF!</definedName>
    <definedName name="seven_a" localSheetId="5">[2]MasterCSV!#REF!</definedName>
    <definedName name="seven_a">MasterCSV!#REF!</definedName>
    <definedName name="seven_b" localSheetId="7">MasterCSV!#REF!</definedName>
    <definedName name="seven_b" localSheetId="5">[2]MasterCSV!#REF!</definedName>
    <definedName name="seven_b">MasterCSV!#REF!</definedName>
    <definedName name="six_a">'[3]MasterCSV)'!$A$42:$B$56</definedName>
    <definedName name="six_b" localSheetId="5">#REF!</definedName>
    <definedName name="six_b">MasterCSV!$A$7:$D$15</definedName>
    <definedName name="Slicer_Organization">#N/A</definedName>
    <definedName name="Slicer_Project_Type">#N/A</definedName>
    <definedName name="Slicer_Q4a___Project_name">#N/A</definedName>
    <definedName name="temp.destinations.90days" localSheetId="5">#REF!</definedName>
    <definedName name="temp.destinations.90days">MasterCSV!$J$340:$M$348</definedName>
    <definedName name="temporary.destinations" localSheetId="5">#REF!</definedName>
    <definedName name="temporary.destinations">MasterCSV!$J$303:$M$312</definedName>
    <definedName name="ten_a" localSheetId="7">MasterCSV!#REF!</definedName>
    <definedName name="ten_a" localSheetId="5">[2]MasterCSV!#REF!</definedName>
    <definedName name="ten_a">MasterCSV!#REF!</definedName>
    <definedName name="ten_b" localSheetId="7">MasterCSV!#REF!</definedName>
    <definedName name="ten_b" localSheetId="5">[2]MasterCSV!#REF!</definedName>
    <definedName name="ten_b">MasterCSV!#REF!</definedName>
    <definedName name="ten_c" localSheetId="7">MasterCSV!#REF!</definedName>
    <definedName name="ten_c" localSheetId="5">[2]MasterCSV!#REF!</definedName>
    <definedName name="ten_c">MasterCSV!#REF!</definedName>
    <definedName name="ten_d" localSheetId="7">MasterCSV!#REF!</definedName>
    <definedName name="ten_d" localSheetId="5">[2]MasterCSV!#REF!</definedName>
    <definedName name="ten_d">MasterCSV!#REF!</definedName>
  </definedNames>
  <calcPr calcId="152511"/>
  <pivotCaches>
    <pivotCache cacheId="1" r:id="rId14"/>
  </pivotCaches>
  <extLst>
    <ext xmlns:x14="http://schemas.microsoft.com/office/spreadsheetml/2009/9/main" uri="{BBE1A952-AA13-448e-AADC-164F8A28A991}">
      <x14:slicerCaches>
        <x14:slicerCache r:id="rId15"/>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6" i="31" l="1"/>
  <c r="BCB9" i="24" l="1"/>
  <c r="BCC9" i="24"/>
  <c r="BCD9" i="24"/>
  <c r="BCE9" i="24"/>
  <c r="F6" i="31" l="1"/>
  <c r="F8" i="31" l="1"/>
  <c r="I1" i="47" l="1"/>
  <c r="BMS9" i="24" l="1"/>
  <c r="BMR9" i="24"/>
  <c r="BMQ9" i="24"/>
  <c r="BMP9" i="24"/>
  <c r="BMO9" i="24"/>
  <c r="BMN9" i="24"/>
  <c r="BMM9" i="24"/>
  <c r="BML9" i="24"/>
  <c r="BMK9" i="24"/>
  <c r="BMJ9" i="24"/>
  <c r="BMI9" i="24"/>
  <c r="BMH9" i="24"/>
  <c r="BMG9" i="24"/>
  <c r="BMF9" i="24"/>
  <c r="BME9" i="24"/>
  <c r="BMD9" i="24"/>
  <c r="BMC9" i="24"/>
  <c r="BMB9" i="24"/>
  <c r="BMA9" i="24"/>
  <c r="BLZ9" i="24"/>
  <c r="BLY9" i="24"/>
  <c r="BLX9" i="24"/>
  <c r="BLW9" i="24"/>
  <c r="BLV9" i="24"/>
  <c r="BLU9" i="24"/>
  <c r="BLT9" i="24"/>
  <c r="BLS9" i="24"/>
  <c r="BLR9" i="24"/>
  <c r="BLQ9" i="24"/>
  <c r="BLP9" i="24"/>
  <c r="BLO9" i="24"/>
  <c r="BLN9" i="24"/>
  <c r="BLM9" i="24"/>
  <c r="BLL9" i="24"/>
  <c r="BLK9" i="24"/>
  <c r="BLJ9" i="24"/>
  <c r="BLI9" i="24"/>
  <c r="BLH9" i="24"/>
  <c r="BLG9" i="24"/>
  <c r="BLF9" i="24"/>
  <c r="BLE9" i="24"/>
  <c r="BLD9" i="24"/>
  <c r="BLC9" i="24"/>
  <c r="BLB9" i="24"/>
  <c r="BLA9" i="24"/>
  <c r="BKZ9" i="24"/>
  <c r="BKY9" i="24"/>
  <c r="BKX9" i="24"/>
  <c r="BKW9" i="24"/>
  <c r="BKV9" i="24"/>
  <c r="BKU9" i="24"/>
  <c r="BKT9" i="24"/>
  <c r="BKS9" i="24"/>
  <c r="BKR9" i="24"/>
  <c r="BKQ9" i="24"/>
  <c r="BKP9" i="24"/>
  <c r="BKO9" i="24"/>
  <c r="BKN9" i="24"/>
  <c r="BKM9" i="24"/>
  <c r="BKL9" i="24"/>
  <c r="BKK9" i="24"/>
  <c r="BKJ9" i="24"/>
  <c r="BKI9" i="24"/>
  <c r="BKH9" i="24"/>
  <c r="BKG9" i="24"/>
  <c r="BKF9" i="24"/>
  <c r="BKE9" i="24"/>
  <c r="BKD9" i="24"/>
  <c r="BKC9" i="24"/>
  <c r="BKB9" i="24"/>
  <c r="BKA9" i="24"/>
  <c r="BJZ9" i="24"/>
  <c r="BJY9" i="24"/>
  <c r="BJX9" i="24"/>
  <c r="BJW9" i="24"/>
  <c r="BJV9" i="24"/>
  <c r="BJU9" i="24"/>
  <c r="BJT9" i="24"/>
  <c r="BJS9" i="24"/>
  <c r="BJR9" i="24"/>
  <c r="BJQ9" i="24"/>
  <c r="BJP9" i="24"/>
  <c r="BJO9" i="24"/>
  <c r="BJN9" i="24"/>
  <c r="BJM9" i="24"/>
  <c r="BJL9" i="24"/>
  <c r="BJK9" i="24"/>
  <c r="BJJ9" i="24"/>
  <c r="BJI9" i="24"/>
  <c r="BJH9" i="24"/>
  <c r="BJG9" i="24"/>
  <c r="BJF9" i="24"/>
  <c r="BJE9" i="24"/>
  <c r="BJD9" i="24"/>
  <c r="BJC9" i="24"/>
  <c r="BJB9" i="24"/>
  <c r="BJA9" i="24"/>
  <c r="BIZ9" i="24"/>
  <c r="BIY9" i="24"/>
  <c r="BIX9" i="24"/>
  <c r="BIW9" i="24"/>
  <c r="BIV9" i="24"/>
  <c r="BIU9" i="24"/>
  <c r="BIT9" i="24"/>
  <c r="BIS9" i="24"/>
  <c r="BIR9" i="24"/>
  <c r="BIQ9" i="24"/>
  <c r="BIP9" i="24"/>
  <c r="BIO9" i="24"/>
  <c r="BIN9" i="24"/>
  <c r="BIM9" i="24"/>
  <c r="BIL9" i="24"/>
  <c r="BIK9" i="24"/>
  <c r="BIJ9" i="24"/>
  <c r="BII9" i="24"/>
  <c r="BIH9" i="24"/>
  <c r="BIG9" i="24"/>
  <c r="BIF9" i="24"/>
  <c r="BIE9" i="24"/>
  <c r="BID9" i="24"/>
  <c r="BIC9" i="24"/>
  <c r="BIB9" i="24"/>
  <c r="BIA9" i="24"/>
  <c r="BHZ9" i="24"/>
  <c r="BHY9" i="24"/>
  <c r="BHX9" i="24"/>
  <c r="BHW9" i="24"/>
  <c r="BHV9" i="24"/>
  <c r="BHU9" i="24"/>
  <c r="BHT9" i="24"/>
  <c r="BHS9" i="24"/>
  <c r="BHR9" i="24"/>
  <c r="BHQ9" i="24"/>
  <c r="BHP9" i="24"/>
  <c r="BHO9" i="24"/>
  <c r="BHN9" i="24"/>
  <c r="BHM9" i="24"/>
  <c r="BHL9" i="24"/>
  <c r="BHK9" i="24"/>
  <c r="BHJ9" i="24"/>
  <c r="BHI9" i="24"/>
  <c r="BHH9" i="24"/>
  <c r="BHG9" i="24"/>
  <c r="BHF9" i="24"/>
  <c r="BHE9" i="24"/>
  <c r="BHD9" i="24"/>
  <c r="BHC9" i="24"/>
  <c r="BHB9" i="24"/>
  <c r="BHA9" i="24"/>
  <c r="BGZ9" i="24"/>
  <c r="BGY9" i="24"/>
  <c r="BGX9" i="24"/>
  <c r="BGW9" i="24"/>
  <c r="BGV9" i="24"/>
  <c r="BGU9" i="24"/>
  <c r="BGT9" i="24"/>
  <c r="BGS9" i="24"/>
  <c r="BGR9" i="24"/>
  <c r="BGQ9" i="24"/>
  <c r="BGP9" i="24"/>
  <c r="BGO9" i="24"/>
  <c r="BGN9" i="24"/>
  <c r="BGM9" i="24"/>
  <c r="BGL9" i="24"/>
  <c r="BGK9" i="24"/>
  <c r="BGJ9" i="24"/>
  <c r="BGI9" i="24"/>
  <c r="BGH9" i="24"/>
  <c r="BGG9" i="24"/>
  <c r="BGF9" i="24"/>
  <c r="BGE9" i="24"/>
  <c r="BGD9" i="24"/>
  <c r="BGC9" i="24"/>
  <c r="BGB9" i="24"/>
  <c r="BGA9" i="24"/>
  <c r="BFZ9" i="24"/>
  <c r="BFY9" i="24"/>
  <c r="BFX9" i="24"/>
  <c r="BFW9" i="24"/>
  <c r="BFV9" i="24"/>
  <c r="BFU9" i="24"/>
  <c r="BFT9" i="24"/>
  <c r="BFS9" i="24"/>
  <c r="BFR9" i="24"/>
  <c r="BFQ9" i="24"/>
  <c r="BFP9" i="24"/>
  <c r="BFO9" i="24"/>
  <c r="BFN9" i="24"/>
  <c r="BFM9" i="24"/>
  <c r="BFL9" i="24"/>
  <c r="BFK9" i="24"/>
  <c r="BFJ9" i="24"/>
  <c r="BFI9" i="24"/>
  <c r="BFH9" i="24"/>
  <c r="BFG9" i="24"/>
  <c r="BFF9" i="24"/>
  <c r="BFE9" i="24"/>
  <c r="BFD9" i="24"/>
  <c r="BFC9" i="24"/>
  <c r="BFB9" i="24"/>
  <c r="BFA9" i="24"/>
  <c r="BEZ9" i="24"/>
  <c r="BEY9" i="24"/>
  <c r="BEX9" i="24"/>
  <c r="BEW9" i="24"/>
  <c r="BEV9" i="24"/>
  <c r="BEU9" i="24"/>
  <c r="BET9" i="24"/>
  <c r="BES9" i="24"/>
  <c r="BER9" i="24"/>
  <c r="BEQ9" i="24"/>
  <c r="BEP9" i="24"/>
  <c r="BEO9" i="24"/>
  <c r="BEN9" i="24"/>
  <c r="BEM9" i="24"/>
  <c r="BEL9" i="24"/>
  <c r="BEK9" i="24"/>
  <c r="BEJ9" i="24"/>
  <c r="BEI9" i="24"/>
  <c r="BEH9" i="24"/>
  <c r="BEG9" i="24"/>
  <c r="BEF9" i="24"/>
  <c r="BEE9" i="24"/>
  <c r="BED9" i="24"/>
  <c r="BEC9" i="24"/>
  <c r="BEB9" i="24"/>
  <c r="BEA9" i="24"/>
  <c r="BDZ9" i="24"/>
  <c r="BDY9" i="24"/>
  <c r="BDX9" i="24"/>
  <c r="BDW9" i="24"/>
  <c r="BDV9" i="24"/>
  <c r="BDU9" i="24"/>
  <c r="BDT9" i="24"/>
  <c r="BDS9" i="24"/>
  <c r="BDR9" i="24"/>
  <c r="BDQ9" i="24"/>
  <c r="BDP9" i="24"/>
  <c r="BDO9" i="24"/>
  <c r="BDN9" i="24"/>
  <c r="BDM9" i="24"/>
  <c r="BDL9" i="24"/>
  <c r="BDK9" i="24"/>
  <c r="BDJ9" i="24"/>
  <c r="BDI9" i="24"/>
  <c r="BDH9" i="24"/>
  <c r="BDG9" i="24"/>
  <c r="BDF9" i="24"/>
  <c r="BDE9" i="24"/>
  <c r="BDD9" i="24"/>
  <c r="BDC9" i="24"/>
  <c r="BDB9" i="24"/>
  <c r="BDA9" i="24"/>
  <c r="BCZ9" i="24"/>
  <c r="BCY9" i="24"/>
  <c r="BCX9" i="24"/>
  <c r="BCW9" i="24"/>
  <c r="BCV9" i="24"/>
  <c r="BCU9" i="24"/>
  <c r="BCT9" i="24"/>
  <c r="BCS9" i="24"/>
  <c r="BCR9" i="24"/>
  <c r="BCQ9" i="24"/>
  <c r="BCP9" i="24"/>
  <c r="BCO9" i="24"/>
  <c r="BCN9" i="24"/>
  <c r="BCM9" i="24"/>
  <c r="BCL9" i="24"/>
  <c r="BCK9" i="24"/>
  <c r="BCJ9" i="24"/>
  <c r="BCI9" i="24"/>
  <c r="BCH9" i="24"/>
  <c r="BCG9" i="24"/>
  <c r="BCF9" i="24"/>
  <c r="BCA9" i="24"/>
  <c r="BBZ9" i="24"/>
  <c r="BBY9" i="24"/>
  <c r="BBX9" i="24"/>
  <c r="BBW9" i="24"/>
  <c r="BBV9" i="24"/>
  <c r="BBU9" i="24"/>
  <c r="BBT9" i="24"/>
  <c r="BBS9" i="24"/>
  <c r="BBR9" i="24"/>
  <c r="BBQ9" i="24"/>
  <c r="BBP9" i="24"/>
  <c r="BBO9" i="24"/>
  <c r="BBN9" i="24"/>
  <c r="BBM9" i="24"/>
  <c r="BBL9" i="24"/>
  <c r="BBK9" i="24"/>
  <c r="BBJ9" i="24"/>
  <c r="BBI9" i="24"/>
  <c r="BBH9" i="24"/>
  <c r="BBG9" i="24"/>
  <c r="BBF9" i="24"/>
  <c r="BBE9" i="24"/>
  <c r="BBD9" i="24"/>
  <c r="BBC9" i="24"/>
  <c r="BBB9" i="24"/>
  <c r="BBA9" i="24"/>
  <c r="BAZ9" i="24"/>
  <c r="BAY9" i="24"/>
  <c r="BAX9" i="24"/>
  <c r="BAW9" i="24"/>
  <c r="BAV9" i="24"/>
  <c r="BAU9" i="24"/>
  <c r="BAT9" i="24"/>
  <c r="BAS9" i="24"/>
  <c r="BAR9" i="24"/>
  <c r="BAQ9" i="24"/>
  <c r="BAP9" i="24"/>
  <c r="N1372" i="47" s="1"/>
  <c r="BAO9" i="24"/>
  <c r="BAN9" i="24"/>
  <c r="BAM9" i="24"/>
  <c r="BAL9" i="24"/>
  <c r="N1368" i="47" s="1"/>
  <c r="BAK9" i="24"/>
  <c r="BAJ9" i="24"/>
  <c r="BAI9" i="24"/>
  <c r="BAH9" i="24"/>
  <c r="N1364" i="47" s="1"/>
  <c r="BAG9" i="24"/>
  <c r="BAF9" i="24"/>
  <c r="BAE9" i="24"/>
  <c r="BAD9" i="24"/>
  <c r="N1360" i="47" s="1"/>
  <c r="BAC9" i="24"/>
  <c r="BAB9" i="24"/>
  <c r="BAA9" i="24"/>
  <c r="AZZ9" i="24"/>
  <c r="AZY9" i="24"/>
  <c r="AZX9" i="24"/>
  <c r="AZW9" i="24"/>
  <c r="AZV9" i="24"/>
  <c r="N1352" i="47" s="1"/>
  <c r="AZU9" i="24"/>
  <c r="AZT9" i="24"/>
  <c r="AZS9" i="24"/>
  <c r="AZR9" i="24"/>
  <c r="AZQ9" i="24"/>
  <c r="AZP9" i="24"/>
  <c r="AZO9" i="24"/>
  <c r="AZN9" i="24"/>
  <c r="AZM9" i="24"/>
  <c r="AZL9" i="24"/>
  <c r="AZK9" i="24"/>
  <c r="AZJ9" i="24"/>
  <c r="AZI9" i="24"/>
  <c r="AZH9" i="24"/>
  <c r="AZG9" i="24"/>
  <c r="AZF9" i="24"/>
  <c r="AZE9" i="24"/>
  <c r="AZD9" i="24"/>
  <c r="AZC9" i="24"/>
  <c r="AZB9" i="24"/>
  <c r="AZA9" i="24"/>
  <c r="AYZ9" i="24"/>
  <c r="AYY9" i="24"/>
  <c r="AYX9" i="24"/>
  <c r="AYW9" i="24"/>
  <c r="AYV9" i="24"/>
  <c r="AYU9" i="24"/>
  <c r="AYT9" i="24"/>
  <c r="AYS9" i="24"/>
  <c r="AYR9" i="24"/>
  <c r="AYQ9" i="24"/>
  <c r="AYP9" i="24"/>
  <c r="AYO9" i="24"/>
  <c r="AYN9" i="24"/>
  <c r="AYM9" i="24"/>
  <c r="AYL9" i="24"/>
  <c r="AYK9" i="24"/>
  <c r="AYJ9" i="24"/>
  <c r="AYI9" i="24"/>
  <c r="AYH9" i="24"/>
  <c r="AYG9" i="24"/>
  <c r="AYF9" i="24"/>
  <c r="AYE9" i="24"/>
  <c r="AYD9" i="24"/>
  <c r="AYC9" i="24"/>
  <c r="AYB9" i="24"/>
  <c r="AYA9" i="24"/>
  <c r="AXZ9" i="24"/>
  <c r="AXY9" i="24"/>
  <c r="AXX9" i="24"/>
  <c r="AXW9" i="24"/>
  <c r="AXV9" i="24"/>
  <c r="AXU9" i="24"/>
  <c r="AXT9" i="24"/>
  <c r="AXS9" i="24"/>
  <c r="AXR9" i="24"/>
  <c r="AXQ9" i="24"/>
  <c r="AXP9" i="24"/>
  <c r="AXO9" i="24"/>
  <c r="AXN9" i="24"/>
  <c r="AXM9" i="24"/>
  <c r="AXL9" i="24"/>
  <c r="AXK9" i="24"/>
  <c r="AXJ9" i="24"/>
  <c r="AXI9" i="24"/>
  <c r="AXH9" i="24"/>
  <c r="AXG9" i="24"/>
  <c r="AXF9" i="24"/>
  <c r="AXE9" i="24"/>
  <c r="AXD9" i="24"/>
  <c r="AXC9" i="24"/>
  <c r="AXB9" i="24"/>
  <c r="AXA9" i="24"/>
  <c r="AWZ9" i="24"/>
  <c r="AWY9" i="24"/>
  <c r="AWX9" i="24"/>
  <c r="AWW9" i="24"/>
  <c r="AWV9" i="24"/>
  <c r="AWU9" i="24"/>
  <c r="AWT9" i="24"/>
  <c r="AWS9" i="24"/>
  <c r="AWR9" i="24"/>
  <c r="AWQ9" i="24"/>
  <c r="AWP9" i="24"/>
  <c r="AWO9" i="24"/>
  <c r="AWN9" i="24"/>
  <c r="AWM9" i="24"/>
  <c r="AWL9" i="24"/>
  <c r="AWK9" i="24"/>
  <c r="AWJ9" i="24"/>
  <c r="AWI9" i="24"/>
  <c r="AWH9" i="24"/>
  <c r="AWG9" i="24"/>
  <c r="AWF9" i="24"/>
  <c r="AWE9" i="24"/>
  <c r="AWD9" i="24"/>
  <c r="AWC9" i="24"/>
  <c r="AWB9" i="24"/>
  <c r="AWA9" i="24"/>
  <c r="AVZ9" i="24"/>
  <c r="AVY9" i="24"/>
  <c r="AVX9" i="24"/>
  <c r="AVW9" i="24"/>
  <c r="AVV9" i="24"/>
  <c r="N1248" i="47" s="1"/>
  <c r="AVU9" i="24"/>
  <c r="AVT9" i="24"/>
  <c r="AVS9" i="24"/>
  <c r="AVR9" i="24"/>
  <c r="N1244" i="47" s="1"/>
  <c r="AVQ9" i="24"/>
  <c r="AVP9" i="24"/>
  <c r="AVO9" i="24"/>
  <c r="AVN9" i="24"/>
  <c r="N1240" i="47" s="1"/>
  <c r="AVM9" i="24"/>
  <c r="AVL9" i="24"/>
  <c r="AVK9" i="24"/>
  <c r="AVJ9" i="24"/>
  <c r="N1236" i="47" s="1"/>
  <c r="AVI9" i="24"/>
  <c r="AVH9" i="24"/>
  <c r="AVG9" i="24"/>
  <c r="AVF9" i="24"/>
  <c r="N1232" i="47" s="1"/>
  <c r="AVE9" i="24"/>
  <c r="AVD9" i="24"/>
  <c r="AVC9" i="24"/>
  <c r="AVB9" i="24"/>
  <c r="N1228" i="47" s="1"/>
  <c r="AVA9" i="24"/>
  <c r="AUZ9" i="24"/>
  <c r="AUY9" i="24"/>
  <c r="AUX9" i="24"/>
  <c r="N1224" i="47" s="1"/>
  <c r="AUW9" i="24"/>
  <c r="AUV9" i="24"/>
  <c r="AUU9" i="24"/>
  <c r="AUT9" i="24"/>
  <c r="N1220" i="47" s="1"/>
  <c r="AUS9" i="24"/>
  <c r="AUR9" i="24"/>
  <c r="AUQ9" i="24"/>
  <c r="AUP9" i="24"/>
  <c r="N1216" i="47" s="1"/>
  <c r="AUO9" i="24"/>
  <c r="AUN9" i="24"/>
  <c r="AUM9" i="24"/>
  <c r="AUL9" i="24"/>
  <c r="N1212" i="47" s="1"/>
  <c r="AUK9" i="24"/>
  <c r="AUJ9" i="24"/>
  <c r="AUI9" i="24"/>
  <c r="AUH9" i="24"/>
  <c r="N1208" i="47" s="1"/>
  <c r="AUG9" i="24"/>
  <c r="AUF9" i="24"/>
  <c r="AUE9" i="24"/>
  <c r="AUD9" i="24"/>
  <c r="N1204" i="47" s="1"/>
  <c r="AUC9" i="24"/>
  <c r="AUB9" i="24"/>
  <c r="AUA9" i="24"/>
  <c r="ATZ9" i="24"/>
  <c r="N1200" i="47" s="1"/>
  <c r="ATY9" i="24"/>
  <c r="ATX9" i="24"/>
  <c r="ATW9" i="24"/>
  <c r="ATV9" i="24"/>
  <c r="N1196" i="47" s="1"/>
  <c r="ATU9" i="24"/>
  <c r="ATT9" i="24"/>
  <c r="ATS9" i="24"/>
  <c r="ATR9" i="24"/>
  <c r="N1192" i="47" s="1"/>
  <c r="ATQ9" i="24"/>
  <c r="ATP9" i="24"/>
  <c r="ATO9" i="24"/>
  <c r="ATN9" i="24"/>
  <c r="N1188" i="47" s="1"/>
  <c r="ATM9" i="24"/>
  <c r="ATL9" i="24"/>
  <c r="ATK9" i="24"/>
  <c r="ATJ9" i="24"/>
  <c r="N1184" i="47" s="1"/>
  <c r="ATI9" i="24"/>
  <c r="ATH9" i="24"/>
  <c r="ATG9" i="24"/>
  <c r="ATF9" i="24"/>
  <c r="N1180" i="47" s="1"/>
  <c r="ATE9" i="24"/>
  <c r="ATD9" i="24"/>
  <c r="ATC9" i="24"/>
  <c r="ATB9" i="24"/>
  <c r="N1176" i="47" s="1"/>
  <c r="ATA9" i="24"/>
  <c r="ASZ9" i="24"/>
  <c r="ASY9" i="24"/>
  <c r="ASX9" i="24"/>
  <c r="N1172" i="47" s="1"/>
  <c r="ASW9" i="24"/>
  <c r="ASV9" i="24"/>
  <c r="ASU9" i="24"/>
  <c r="AST9" i="24"/>
  <c r="N1168" i="47" s="1"/>
  <c r="ASS9" i="24"/>
  <c r="ASR9" i="24"/>
  <c r="ASQ9" i="24"/>
  <c r="ASP9" i="24"/>
  <c r="N1164" i="47" s="1"/>
  <c r="ASO9" i="24"/>
  <c r="ASN9" i="24"/>
  <c r="ASM9" i="24"/>
  <c r="ASL9" i="24"/>
  <c r="N1160" i="47" s="1"/>
  <c r="ASK9" i="24"/>
  <c r="ASJ9" i="24"/>
  <c r="ASI9" i="24"/>
  <c r="ASH9" i="24"/>
  <c r="N1156" i="47" s="1"/>
  <c r="ASG9" i="24"/>
  <c r="ASF9" i="24"/>
  <c r="ASE9" i="24"/>
  <c r="ASD9" i="24"/>
  <c r="N1152" i="47" s="1"/>
  <c r="ASC9" i="24"/>
  <c r="ASB9" i="24"/>
  <c r="ASA9" i="24"/>
  <c r="ARZ9" i="24"/>
  <c r="N1148" i="47" s="1"/>
  <c r="ARY9" i="24"/>
  <c r="ARX9" i="24"/>
  <c r="ARW9" i="24"/>
  <c r="ARV9" i="24"/>
  <c r="N1144" i="47" s="1"/>
  <c r="ARU9" i="24"/>
  <c r="ART9" i="24"/>
  <c r="ARS9" i="24"/>
  <c r="ARR9" i="24"/>
  <c r="N1140" i="47" s="1"/>
  <c r="ARQ9" i="24"/>
  <c r="ARP9" i="24"/>
  <c r="ARO9" i="24"/>
  <c r="ARN9" i="24"/>
  <c r="N1136" i="47" s="1"/>
  <c r="ARM9" i="24"/>
  <c r="ARL9" i="24"/>
  <c r="ARK9" i="24"/>
  <c r="ARJ9" i="24"/>
  <c r="N1132" i="47" s="1"/>
  <c r="ARI9" i="24"/>
  <c r="ARH9" i="24"/>
  <c r="ARG9" i="24"/>
  <c r="ARF9" i="24"/>
  <c r="N1128" i="47" s="1"/>
  <c r="ARE9" i="24"/>
  <c r="ARD9" i="24"/>
  <c r="ARC9" i="24"/>
  <c r="ARB9" i="24"/>
  <c r="N1124" i="47" s="1"/>
  <c r="ARA9" i="24"/>
  <c r="AQZ9" i="24"/>
  <c r="AQY9" i="24"/>
  <c r="AQX9" i="24"/>
  <c r="N1120" i="47" s="1"/>
  <c r="AQW9" i="24"/>
  <c r="AQV9" i="24"/>
  <c r="AQU9" i="24"/>
  <c r="AQT9" i="24"/>
  <c r="N1116" i="47" s="1"/>
  <c r="AQS9" i="24"/>
  <c r="AQR9" i="24"/>
  <c r="AQQ9" i="24"/>
  <c r="AQP9" i="24"/>
  <c r="N1112" i="47" s="1"/>
  <c r="AQO9" i="24"/>
  <c r="AQN9" i="24"/>
  <c r="AQM9" i="24"/>
  <c r="AQL9" i="24"/>
  <c r="N1108" i="47" s="1"/>
  <c r="AQK9" i="24"/>
  <c r="AQJ9" i="24"/>
  <c r="AQI9" i="24"/>
  <c r="AQH9" i="24"/>
  <c r="N1104" i="47" s="1"/>
  <c r="AQG9" i="24"/>
  <c r="AQF9" i="24"/>
  <c r="AQE9" i="24"/>
  <c r="AQD9" i="24"/>
  <c r="N1100" i="47" s="1"/>
  <c r="AQC9" i="24"/>
  <c r="AQB9" i="24"/>
  <c r="AQA9" i="24"/>
  <c r="APZ9" i="24"/>
  <c r="N1096" i="47" s="1"/>
  <c r="APY9" i="24"/>
  <c r="APX9" i="24"/>
  <c r="APW9" i="24"/>
  <c r="APV9" i="24"/>
  <c r="N1092" i="47" s="1"/>
  <c r="APU9" i="24"/>
  <c r="APT9" i="24"/>
  <c r="APS9" i="24"/>
  <c r="APR9" i="24"/>
  <c r="N1088" i="47" s="1"/>
  <c r="APQ9" i="24"/>
  <c r="APP9" i="24"/>
  <c r="APO9" i="24"/>
  <c r="APN9" i="24"/>
  <c r="N1084" i="47" s="1"/>
  <c r="APM9" i="24"/>
  <c r="APL9" i="24"/>
  <c r="APK9" i="24"/>
  <c r="APJ9" i="24"/>
  <c r="N1080" i="47" s="1"/>
  <c r="API9" i="24"/>
  <c r="APH9" i="24"/>
  <c r="APG9" i="24"/>
  <c r="APF9" i="24"/>
  <c r="N1076" i="47" s="1"/>
  <c r="APE9" i="24"/>
  <c r="APD9" i="24"/>
  <c r="APC9" i="24"/>
  <c r="APB9" i="24"/>
  <c r="N1072" i="47" s="1"/>
  <c r="APA9" i="24"/>
  <c r="AOZ9" i="24"/>
  <c r="AOY9" i="24"/>
  <c r="AOX9" i="24"/>
  <c r="N1068" i="47" s="1"/>
  <c r="AOW9" i="24"/>
  <c r="AOV9" i="24"/>
  <c r="AOU9" i="24"/>
  <c r="AOT9" i="24"/>
  <c r="N1064" i="47" s="1"/>
  <c r="AOS9" i="24"/>
  <c r="AOR9" i="24"/>
  <c r="AOQ9" i="24"/>
  <c r="AOP9" i="24"/>
  <c r="N1060" i="47" s="1"/>
  <c r="AOO9" i="24"/>
  <c r="AON9" i="24"/>
  <c r="AOM9" i="24"/>
  <c r="AOL9" i="24"/>
  <c r="AOK9" i="24"/>
  <c r="AOJ9" i="24"/>
  <c r="AOI9" i="24"/>
  <c r="AOH9" i="24"/>
  <c r="N1052" i="47" s="1"/>
  <c r="AOG9" i="24"/>
  <c r="AOF9" i="24"/>
  <c r="AOE9" i="24"/>
  <c r="AOD9" i="24"/>
  <c r="AOC9" i="24"/>
  <c r="AOB9" i="24"/>
  <c r="AOA9" i="24"/>
  <c r="ANZ9" i="24"/>
  <c r="ANY9" i="24"/>
  <c r="ANX9" i="24"/>
  <c r="ANW9" i="24"/>
  <c r="ANV9" i="24"/>
  <c r="ANU9" i="24"/>
  <c r="ANT9" i="24"/>
  <c r="ANS9" i="24"/>
  <c r="ANR9" i="24"/>
  <c r="ANQ9" i="24"/>
  <c r="ANP9" i="24"/>
  <c r="ANO9" i="24"/>
  <c r="ANN9" i="24"/>
  <c r="ANM9" i="24"/>
  <c r="ANL9" i="24"/>
  <c r="ANK9" i="24"/>
  <c r="ANJ9" i="24"/>
  <c r="ANI9" i="24"/>
  <c r="ANH9" i="24"/>
  <c r="ANG9" i="24"/>
  <c r="ANF9" i="24"/>
  <c r="ANE9" i="24"/>
  <c r="AND9" i="24"/>
  <c r="ANC9" i="24"/>
  <c r="ANB9" i="24"/>
  <c r="ANA9" i="24"/>
  <c r="AMZ9" i="24"/>
  <c r="AMY9" i="24"/>
  <c r="AMX9" i="24"/>
  <c r="AMW9" i="24"/>
  <c r="AMV9" i="24"/>
  <c r="AMU9" i="24"/>
  <c r="AMT9" i="24"/>
  <c r="AMS9" i="24"/>
  <c r="AMR9" i="24"/>
  <c r="AMQ9" i="24"/>
  <c r="AMP9" i="24"/>
  <c r="AMO9" i="24"/>
  <c r="AMN9" i="24"/>
  <c r="AMM9" i="24"/>
  <c r="AML9" i="24"/>
  <c r="AMK9" i="24"/>
  <c r="AMJ9" i="24"/>
  <c r="AMI9" i="24"/>
  <c r="AMH9" i="24"/>
  <c r="AMG9" i="24"/>
  <c r="AMF9" i="24"/>
  <c r="AME9" i="24"/>
  <c r="AMD9" i="24"/>
  <c r="AMC9" i="24"/>
  <c r="AMB9" i="24"/>
  <c r="AMA9" i="24"/>
  <c r="ALZ9" i="24"/>
  <c r="ALY9" i="24"/>
  <c r="ALX9" i="24"/>
  <c r="ALW9" i="24"/>
  <c r="ALV9" i="24"/>
  <c r="ALU9" i="24"/>
  <c r="ALT9" i="24"/>
  <c r="ALS9" i="24"/>
  <c r="ALR9" i="24"/>
  <c r="ALQ9" i="24"/>
  <c r="ALP9" i="24"/>
  <c r="ALO9" i="24"/>
  <c r="ALN9" i="24"/>
  <c r="ALM9" i="24"/>
  <c r="ALL9" i="24"/>
  <c r="ALK9" i="24"/>
  <c r="ALJ9" i="24"/>
  <c r="ALI9" i="24"/>
  <c r="ALH9" i="24"/>
  <c r="ALG9" i="24"/>
  <c r="ALF9" i="24"/>
  <c r="ALE9" i="24"/>
  <c r="ALD9" i="24"/>
  <c r="ALC9" i="24"/>
  <c r="ALB9" i="24"/>
  <c r="ALA9" i="24"/>
  <c r="AKZ9" i="24"/>
  <c r="AKY9" i="24"/>
  <c r="AKX9" i="24"/>
  <c r="AKW9" i="24"/>
  <c r="AKV9" i="24"/>
  <c r="AKU9" i="24"/>
  <c r="AKT9" i="24"/>
  <c r="AKS9" i="24"/>
  <c r="AKR9" i="24"/>
  <c r="AKQ9" i="24"/>
  <c r="AKP9" i="24"/>
  <c r="AKO9" i="24"/>
  <c r="AKN9" i="24"/>
  <c r="AKM9" i="24"/>
  <c r="AKL9" i="24"/>
  <c r="AKK9" i="24"/>
  <c r="AKJ9" i="24"/>
  <c r="AKI9" i="24"/>
  <c r="AKH9" i="24"/>
  <c r="AKG9" i="24"/>
  <c r="AKF9" i="24"/>
  <c r="AKE9" i="24"/>
  <c r="AKD9" i="24"/>
  <c r="AKC9" i="24"/>
  <c r="AKB9" i="24"/>
  <c r="AKA9" i="24"/>
  <c r="AJZ9" i="24"/>
  <c r="AJY9" i="24"/>
  <c r="AJX9" i="24"/>
  <c r="AJW9" i="24"/>
  <c r="AJV9" i="24"/>
  <c r="AJU9" i="24"/>
  <c r="AJT9" i="24"/>
  <c r="AJS9" i="24"/>
  <c r="AJR9" i="24"/>
  <c r="AJQ9" i="24"/>
  <c r="AJP9" i="24"/>
  <c r="AJO9" i="24"/>
  <c r="AJN9" i="24"/>
  <c r="AJM9" i="24"/>
  <c r="AJL9" i="24"/>
  <c r="AJK9" i="24"/>
  <c r="AJJ9" i="24"/>
  <c r="AJI9" i="24"/>
  <c r="AJH9" i="24"/>
  <c r="AJG9" i="24"/>
  <c r="AJF9" i="24"/>
  <c r="AJE9" i="24"/>
  <c r="AJD9" i="24"/>
  <c r="AJC9" i="24"/>
  <c r="AJB9" i="24"/>
  <c r="AJA9" i="24"/>
  <c r="AIZ9" i="24"/>
  <c r="AIY9" i="24"/>
  <c r="AIX9" i="24"/>
  <c r="AIW9" i="24"/>
  <c r="AIV9" i="24"/>
  <c r="AIU9" i="24"/>
  <c r="AIT9" i="24"/>
  <c r="AIS9" i="24"/>
  <c r="AIR9" i="24"/>
  <c r="AIQ9" i="24"/>
  <c r="AIP9" i="24"/>
  <c r="AIO9" i="24"/>
  <c r="AIN9" i="24"/>
  <c r="AIM9" i="24"/>
  <c r="AIL9" i="24"/>
  <c r="AIK9" i="24"/>
  <c r="AIJ9" i="24"/>
  <c r="AII9" i="24"/>
  <c r="AIH9" i="24"/>
  <c r="AIG9" i="24"/>
  <c r="AIF9" i="24"/>
  <c r="AIE9" i="24"/>
  <c r="AID9" i="24"/>
  <c r="AIC9" i="24"/>
  <c r="AIB9" i="24"/>
  <c r="AIA9" i="24"/>
  <c r="AHZ9" i="24"/>
  <c r="AHY9" i="24"/>
  <c r="AHX9" i="24"/>
  <c r="AHW9" i="24"/>
  <c r="AHV9" i="24"/>
  <c r="AHU9" i="24"/>
  <c r="AHT9" i="24"/>
  <c r="AHS9" i="24"/>
  <c r="AHR9" i="24"/>
  <c r="AHQ9" i="24"/>
  <c r="AHP9" i="24"/>
  <c r="AHO9" i="24"/>
  <c r="AHN9" i="24"/>
  <c r="AHM9" i="24"/>
  <c r="AHL9" i="24"/>
  <c r="AHK9" i="24"/>
  <c r="AHJ9" i="24"/>
  <c r="AHI9" i="24"/>
  <c r="AHH9" i="24"/>
  <c r="AHG9" i="24"/>
  <c r="AHF9" i="24"/>
  <c r="AHE9" i="24"/>
  <c r="AHD9" i="24"/>
  <c r="AHC9" i="24"/>
  <c r="AHB9" i="24"/>
  <c r="AHA9" i="24"/>
  <c r="AGZ9" i="24"/>
  <c r="AGY9" i="24"/>
  <c r="AGX9" i="24"/>
  <c r="AGW9" i="24"/>
  <c r="AGV9" i="24"/>
  <c r="AGU9" i="24"/>
  <c r="AGT9" i="24"/>
  <c r="AGS9" i="24"/>
  <c r="AGR9" i="24"/>
  <c r="AGQ9" i="24"/>
  <c r="AGP9" i="24"/>
  <c r="AGO9" i="24"/>
  <c r="AGN9" i="24"/>
  <c r="AGM9" i="24"/>
  <c r="AGL9" i="24"/>
  <c r="AGK9" i="24"/>
  <c r="AGJ9" i="24"/>
  <c r="AGI9" i="24"/>
  <c r="AGH9" i="24"/>
  <c r="AGG9" i="24"/>
  <c r="AGF9" i="24"/>
  <c r="AGE9" i="24"/>
  <c r="AGD9" i="24"/>
  <c r="AGC9" i="24"/>
  <c r="AGB9" i="24"/>
  <c r="AGA9" i="24"/>
  <c r="AFZ9" i="24"/>
  <c r="AFY9" i="24"/>
  <c r="AFX9" i="24"/>
  <c r="AFW9" i="24"/>
  <c r="AFV9" i="24"/>
  <c r="AFU9" i="24"/>
  <c r="AFT9" i="24"/>
  <c r="AFS9" i="24"/>
  <c r="AFR9" i="24"/>
  <c r="AFQ9" i="24"/>
  <c r="AFP9" i="24"/>
  <c r="AFO9" i="24"/>
  <c r="AFN9" i="24"/>
  <c r="AFM9" i="24"/>
  <c r="AFL9" i="24"/>
  <c r="AFK9" i="24"/>
  <c r="AFJ9" i="24"/>
  <c r="AFI9" i="24"/>
  <c r="AFH9" i="24"/>
  <c r="AFG9" i="24"/>
  <c r="AFF9" i="24"/>
  <c r="AFE9" i="24"/>
  <c r="AFD9" i="24"/>
  <c r="AFC9" i="24"/>
  <c r="AFB9" i="24"/>
  <c r="AFA9" i="24"/>
  <c r="AEZ9" i="24"/>
  <c r="AEY9" i="24"/>
  <c r="AEX9" i="24"/>
  <c r="AEW9" i="24"/>
  <c r="AEV9" i="24"/>
  <c r="AEU9" i="24"/>
  <c r="AET9" i="24"/>
  <c r="AES9" i="24"/>
  <c r="AER9" i="24"/>
  <c r="AEQ9" i="24"/>
  <c r="AEP9" i="24"/>
  <c r="AEO9" i="24"/>
  <c r="AEN9" i="24"/>
  <c r="AEM9" i="24"/>
  <c r="AEL9" i="24"/>
  <c r="AEK9" i="24"/>
  <c r="AEJ9" i="24"/>
  <c r="AEI9" i="24"/>
  <c r="AEH9" i="24"/>
  <c r="AEG9" i="24"/>
  <c r="AEF9" i="24"/>
  <c r="AEE9" i="24"/>
  <c r="AED9" i="24"/>
  <c r="AEC9" i="24"/>
  <c r="AEB9" i="24"/>
  <c r="AEA9" i="24"/>
  <c r="ADZ9" i="24"/>
  <c r="ADY9" i="24"/>
  <c r="ADX9" i="24"/>
  <c r="ADW9" i="24"/>
  <c r="ADV9" i="24"/>
  <c r="ADU9" i="24"/>
  <c r="ADT9" i="24"/>
  <c r="ADS9" i="24"/>
  <c r="ADR9" i="24"/>
  <c r="ADQ9" i="24"/>
  <c r="ADP9" i="24"/>
  <c r="ADO9" i="24"/>
  <c r="ADN9" i="24"/>
  <c r="ADM9" i="24"/>
  <c r="ADL9" i="24"/>
  <c r="ADK9" i="24"/>
  <c r="ADJ9" i="24"/>
  <c r="ADI9" i="24"/>
  <c r="ADH9" i="24"/>
  <c r="ADG9" i="24"/>
  <c r="ADF9" i="24"/>
  <c r="ADE9" i="24"/>
  <c r="ADD9" i="24"/>
  <c r="ADC9" i="24"/>
  <c r="ADB9" i="24"/>
  <c r="ADA9" i="24"/>
  <c r="ACZ9" i="24"/>
  <c r="ACY9" i="24"/>
  <c r="ACX9" i="24"/>
  <c r="ACW9" i="24"/>
  <c r="ACV9" i="24"/>
  <c r="ACU9" i="24"/>
  <c r="ACT9" i="24"/>
  <c r="ACS9" i="24"/>
  <c r="ACR9" i="24"/>
  <c r="ACQ9" i="24"/>
  <c r="ACP9" i="24"/>
  <c r="ACO9" i="24"/>
  <c r="ACN9" i="24"/>
  <c r="ACM9" i="24"/>
  <c r="ACL9" i="24"/>
  <c r="ACK9" i="24"/>
  <c r="ACJ9" i="24"/>
  <c r="ACI9" i="24"/>
  <c r="ACH9" i="24"/>
  <c r="ACG9" i="24"/>
  <c r="ACF9" i="24"/>
  <c r="ACE9" i="24"/>
  <c r="ACD9" i="24"/>
  <c r="ACC9" i="24"/>
  <c r="ACB9" i="24"/>
  <c r="ACA9" i="24"/>
  <c r="ABZ9" i="24"/>
  <c r="ABY9" i="24"/>
  <c r="ABX9" i="24"/>
  <c r="ABW9" i="24"/>
  <c r="ABV9" i="24"/>
  <c r="ABU9" i="24"/>
  <c r="ABT9" i="24"/>
  <c r="ABS9" i="24"/>
  <c r="ABR9" i="24"/>
  <c r="ABQ9" i="24"/>
  <c r="ABP9" i="24"/>
  <c r="ABO9" i="24"/>
  <c r="ABN9" i="24"/>
  <c r="ABM9" i="24"/>
  <c r="ABL9" i="24"/>
  <c r="ABK9" i="24"/>
  <c r="ABJ9" i="24"/>
  <c r="ABI9" i="24"/>
  <c r="ABH9" i="24"/>
  <c r="ABG9" i="24"/>
  <c r="ABF9" i="24"/>
  <c r="ABE9" i="24"/>
  <c r="ABD9" i="24"/>
  <c r="ABC9" i="24"/>
  <c r="ABB9" i="24"/>
  <c r="ABA9" i="24"/>
  <c r="AAZ9" i="24"/>
  <c r="AAY9" i="24"/>
  <c r="AAX9" i="24"/>
  <c r="AAW9" i="24"/>
  <c r="AAV9" i="24"/>
  <c r="AAU9" i="24"/>
  <c r="AAT9" i="24"/>
  <c r="AAS9" i="24"/>
  <c r="AAR9" i="24"/>
  <c r="AAQ9" i="24"/>
  <c r="AAP9" i="24"/>
  <c r="AAO9" i="24"/>
  <c r="AAN9" i="24"/>
  <c r="AAM9" i="24"/>
  <c r="AAL9" i="24"/>
  <c r="AAK9" i="24"/>
  <c r="AAJ9" i="24"/>
  <c r="AAI9" i="24"/>
  <c r="AAH9" i="24"/>
  <c r="AAG9" i="24"/>
  <c r="AAF9" i="24"/>
  <c r="AAE9" i="24"/>
  <c r="AAD9" i="24"/>
  <c r="AAC9" i="24"/>
  <c r="AAB9" i="24"/>
  <c r="AAA9" i="24"/>
  <c r="ZZ9" i="24"/>
  <c r="ZY9" i="24"/>
  <c r="ZX9" i="24"/>
  <c r="ZW9" i="24"/>
  <c r="ZV9" i="24"/>
  <c r="ZU9" i="24"/>
  <c r="ZT9" i="24"/>
  <c r="ZS9" i="24"/>
  <c r="ZR9" i="24"/>
  <c r="ZQ9" i="24"/>
  <c r="ZP9" i="24"/>
  <c r="ZO9" i="24"/>
  <c r="ZN9" i="24"/>
  <c r="ZM9" i="24"/>
  <c r="ZL9" i="24"/>
  <c r="ZK9" i="24"/>
  <c r="ZJ9" i="24"/>
  <c r="ZI9" i="24"/>
  <c r="ZH9" i="24"/>
  <c r="ZG9" i="24"/>
  <c r="ZF9" i="24"/>
  <c r="ZE9" i="24"/>
  <c r="ZD9" i="24"/>
  <c r="ZC9" i="24"/>
  <c r="ZB9" i="24"/>
  <c r="ZA9" i="24"/>
  <c r="YZ9" i="24"/>
  <c r="YY9" i="24"/>
  <c r="YX9" i="24"/>
  <c r="YW9" i="24"/>
  <c r="YV9" i="24"/>
  <c r="YU9" i="24"/>
  <c r="YT9" i="24"/>
  <c r="YS9" i="24"/>
  <c r="YR9" i="24"/>
  <c r="YQ9" i="24"/>
  <c r="YP9" i="24"/>
  <c r="YO9" i="24"/>
  <c r="YN9" i="24"/>
  <c r="YM9" i="24"/>
  <c r="YL9" i="24"/>
  <c r="YK9" i="24"/>
  <c r="YJ9" i="24"/>
  <c r="YI9" i="24"/>
  <c r="YH9" i="24"/>
  <c r="YG9" i="24"/>
  <c r="YF9" i="24"/>
  <c r="YE9" i="24"/>
  <c r="YD9" i="24"/>
  <c r="YC9" i="24"/>
  <c r="YB9" i="24"/>
  <c r="YA9" i="24"/>
  <c r="XZ9" i="24"/>
  <c r="XY9" i="24"/>
  <c r="XX9" i="24"/>
  <c r="XW9" i="24"/>
  <c r="XV9" i="24"/>
  <c r="XU9" i="24"/>
  <c r="XT9" i="24"/>
  <c r="XS9" i="24"/>
  <c r="XR9" i="24"/>
  <c r="XQ9" i="24"/>
  <c r="XP9" i="24"/>
  <c r="XO9" i="24"/>
  <c r="XN9" i="24"/>
  <c r="XM9" i="24"/>
  <c r="XL9" i="24"/>
  <c r="XK9" i="24"/>
  <c r="XJ9" i="24"/>
  <c r="XI9" i="24"/>
  <c r="XH9" i="24"/>
  <c r="XG9" i="24"/>
  <c r="XF9" i="24"/>
  <c r="XE9" i="24"/>
  <c r="XD9" i="24"/>
  <c r="XC9" i="24"/>
  <c r="XB9" i="24"/>
  <c r="XA9" i="24"/>
  <c r="WZ9" i="24"/>
  <c r="WY9" i="24"/>
  <c r="WX9" i="24"/>
  <c r="WW9" i="24"/>
  <c r="WV9" i="24"/>
  <c r="WU9" i="24"/>
  <c r="WT9" i="24"/>
  <c r="WS9" i="24"/>
  <c r="WR9" i="24"/>
  <c r="WQ9" i="24"/>
  <c r="WP9" i="24"/>
  <c r="WO9" i="24"/>
  <c r="WN9" i="24"/>
  <c r="WM9" i="24"/>
  <c r="WL9" i="24"/>
  <c r="WK9" i="24"/>
  <c r="WJ9" i="24"/>
  <c r="WI9" i="24"/>
  <c r="WH9" i="24"/>
  <c r="WG9" i="24"/>
  <c r="WF9" i="24"/>
  <c r="WE9" i="24"/>
  <c r="WD9" i="24"/>
  <c r="WC9" i="24"/>
  <c r="WB9" i="24"/>
  <c r="WA9" i="24"/>
  <c r="VZ9" i="24"/>
  <c r="VY9" i="24"/>
  <c r="VX9" i="24"/>
  <c r="VW9" i="24"/>
  <c r="VV9" i="24"/>
  <c r="VU9" i="24"/>
  <c r="VT9" i="24"/>
  <c r="VS9" i="24"/>
  <c r="VR9" i="24"/>
  <c r="VQ9" i="24"/>
  <c r="VP9" i="24"/>
  <c r="VO9" i="24"/>
  <c r="VN9" i="24"/>
  <c r="VM9" i="24"/>
  <c r="VL9" i="24"/>
  <c r="VK9" i="24"/>
  <c r="VJ9" i="24"/>
  <c r="VI9" i="24"/>
  <c r="VH9" i="24"/>
  <c r="VG9" i="24"/>
  <c r="VF9" i="24"/>
  <c r="VE9" i="24"/>
  <c r="VD9" i="24"/>
  <c r="VC9" i="24"/>
  <c r="VB9" i="24"/>
  <c r="VA9" i="24"/>
  <c r="UZ9" i="24"/>
  <c r="UY9" i="24"/>
  <c r="UX9" i="24"/>
  <c r="UW9" i="24"/>
  <c r="UV9" i="24"/>
  <c r="UU9" i="24"/>
  <c r="UT9" i="24"/>
  <c r="US9" i="24"/>
  <c r="UR9" i="24"/>
  <c r="UQ9" i="24"/>
  <c r="UP9" i="24"/>
  <c r="UO9" i="24"/>
  <c r="UN9" i="24"/>
  <c r="UM9" i="24"/>
  <c r="UL9" i="24"/>
  <c r="UK9" i="24"/>
  <c r="UJ9" i="24"/>
  <c r="UI9" i="24"/>
  <c r="UH9" i="24"/>
  <c r="UG9" i="24"/>
  <c r="UF9" i="24"/>
  <c r="UE9" i="24"/>
  <c r="UD9" i="24"/>
  <c r="UC9" i="24"/>
  <c r="UB9" i="24"/>
  <c r="UA9" i="24"/>
  <c r="TZ9" i="24"/>
  <c r="TY9" i="24"/>
  <c r="TX9" i="24"/>
  <c r="TW9" i="24"/>
  <c r="TV9" i="24"/>
  <c r="TU9" i="24"/>
  <c r="TT9" i="24"/>
  <c r="TS9" i="24"/>
  <c r="TR9" i="24"/>
  <c r="TQ9" i="24"/>
  <c r="TP9" i="24"/>
  <c r="TO9" i="24"/>
  <c r="TN9" i="24"/>
  <c r="TM9" i="24"/>
  <c r="TL9" i="24"/>
  <c r="TK9" i="24"/>
  <c r="TJ9" i="24"/>
  <c r="TI9" i="24"/>
  <c r="TH9" i="24"/>
  <c r="TG9" i="24"/>
  <c r="TF9" i="24"/>
  <c r="TE9" i="24"/>
  <c r="TD9" i="24"/>
  <c r="TC9" i="24"/>
  <c r="TB9" i="24"/>
  <c r="TA9" i="24"/>
  <c r="SZ9" i="24"/>
  <c r="SY9" i="24"/>
  <c r="SX9" i="24"/>
  <c r="SW9" i="24"/>
  <c r="SV9" i="24"/>
  <c r="SU9" i="24"/>
  <c r="ST9" i="24"/>
  <c r="SS9" i="24"/>
  <c r="SR9" i="24"/>
  <c r="SQ9" i="24"/>
  <c r="SP9" i="24"/>
  <c r="SO9" i="24"/>
  <c r="SN9" i="24"/>
  <c r="SM9" i="24"/>
  <c r="SL9" i="24"/>
  <c r="SK9" i="24"/>
  <c r="SJ9" i="24"/>
  <c r="SI9" i="24"/>
  <c r="SH9" i="24"/>
  <c r="SG9" i="24"/>
  <c r="SF9" i="24"/>
  <c r="SE9" i="24"/>
  <c r="SD9" i="24"/>
  <c r="SC9" i="24"/>
  <c r="SB9" i="24"/>
  <c r="SA9" i="24"/>
  <c r="RZ9" i="24"/>
  <c r="RY9" i="24"/>
  <c r="RX9" i="24"/>
  <c r="RW9" i="24"/>
  <c r="RV9" i="24"/>
  <c r="RU9" i="24"/>
  <c r="RT9" i="24"/>
  <c r="RS9" i="24"/>
  <c r="RR9" i="24"/>
  <c r="RQ9" i="24"/>
  <c r="RP9" i="24"/>
  <c r="RO9" i="24"/>
  <c r="RN9" i="24"/>
  <c r="RM9" i="24"/>
  <c r="RL9" i="24"/>
  <c r="RK9" i="24"/>
  <c r="RJ9" i="24"/>
  <c r="RI9" i="24"/>
  <c r="RH9" i="24"/>
  <c r="RG9" i="24"/>
  <c r="RF9" i="24"/>
  <c r="RE9" i="24"/>
  <c r="RD9" i="24"/>
  <c r="RC9" i="24"/>
  <c r="RB9" i="24"/>
  <c r="RA9" i="24"/>
  <c r="QZ9" i="24"/>
  <c r="QY9" i="24"/>
  <c r="QX9" i="24"/>
  <c r="QW9" i="24"/>
  <c r="QV9" i="24"/>
  <c r="QU9" i="24"/>
  <c r="QT9" i="24"/>
  <c r="QS9" i="24"/>
  <c r="QR9" i="24"/>
  <c r="QQ9" i="24"/>
  <c r="QP9" i="24"/>
  <c r="QO9" i="24"/>
  <c r="QN9" i="24"/>
  <c r="QM9" i="24"/>
  <c r="QL9" i="24"/>
  <c r="QK9" i="24"/>
  <c r="QJ9" i="24"/>
  <c r="QI9" i="24"/>
  <c r="QH9" i="24"/>
  <c r="QG9" i="24"/>
  <c r="QF9" i="24"/>
  <c r="QE9" i="24"/>
  <c r="QD9" i="24"/>
  <c r="QC9" i="24"/>
  <c r="QB9" i="24"/>
  <c r="QA9" i="24"/>
  <c r="PZ9" i="24"/>
  <c r="PY9" i="24"/>
  <c r="PX9" i="24"/>
  <c r="PW9" i="24"/>
  <c r="PV9" i="24"/>
  <c r="PU9" i="24"/>
  <c r="PT9" i="24"/>
  <c r="PS9" i="24"/>
  <c r="PR9" i="24"/>
  <c r="PQ9" i="24"/>
  <c r="PP9" i="24"/>
  <c r="PO9" i="24"/>
  <c r="PN9" i="24"/>
  <c r="PM9" i="24"/>
  <c r="PL9" i="24"/>
  <c r="PK9" i="24"/>
  <c r="PJ9" i="24"/>
  <c r="PI9" i="24"/>
  <c r="PH9" i="24"/>
  <c r="PG9" i="24"/>
  <c r="PF9" i="24"/>
  <c r="PE9" i="24"/>
  <c r="PD9" i="24"/>
  <c r="PC9" i="24"/>
  <c r="PB9" i="24"/>
  <c r="PA9" i="24"/>
  <c r="OZ9" i="24"/>
  <c r="OY9" i="24"/>
  <c r="OX9" i="24"/>
  <c r="OW9" i="24"/>
  <c r="OV9" i="24"/>
  <c r="OU9" i="24"/>
  <c r="OT9" i="24"/>
  <c r="OS9" i="24"/>
  <c r="OR9" i="24"/>
  <c r="OQ9" i="24"/>
  <c r="OP9" i="24"/>
  <c r="OO9" i="24"/>
  <c r="ON9" i="24"/>
  <c r="OM9" i="24"/>
  <c r="OL9" i="24"/>
  <c r="OK9" i="24"/>
  <c r="OJ9" i="24"/>
  <c r="OI9" i="24"/>
  <c r="OH9" i="24"/>
  <c r="OG9" i="24"/>
  <c r="OF9" i="24"/>
  <c r="OE9" i="24"/>
  <c r="OD9" i="24"/>
  <c r="OC9" i="24"/>
  <c r="OB9" i="24"/>
  <c r="OA9" i="24"/>
  <c r="NZ9" i="24"/>
  <c r="NY9" i="24"/>
  <c r="NX9" i="24"/>
  <c r="NW9" i="24"/>
  <c r="NV9" i="24"/>
  <c r="NU9" i="24"/>
  <c r="NT9" i="24"/>
  <c r="NS9" i="24"/>
  <c r="NR9" i="24"/>
  <c r="NQ9" i="24"/>
  <c r="NP9" i="24"/>
  <c r="NO9" i="24"/>
  <c r="NN9" i="24"/>
  <c r="NM9" i="24"/>
  <c r="NL9" i="24"/>
  <c r="NK9" i="24"/>
  <c r="NJ9" i="24"/>
  <c r="NI9" i="24"/>
  <c r="NH9" i="24"/>
  <c r="NG9" i="24"/>
  <c r="NF9" i="24"/>
  <c r="NE9" i="24"/>
  <c r="ND9" i="24"/>
  <c r="NC9" i="24"/>
  <c r="NB9" i="24"/>
  <c r="NA9" i="24"/>
  <c r="MZ9" i="24"/>
  <c r="MY9" i="24"/>
  <c r="MX9" i="24"/>
  <c r="MW9" i="24"/>
  <c r="MV9" i="24"/>
  <c r="MU9" i="24"/>
  <c r="MT9" i="24"/>
  <c r="MS9" i="24"/>
  <c r="MR9" i="24"/>
  <c r="MQ9" i="24"/>
  <c r="MP9" i="24"/>
  <c r="MO9" i="24"/>
  <c r="MN9" i="24"/>
  <c r="MM9" i="24"/>
  <c r="ML9" i="24"/>
  <c r="MK9" i="24"/>
  <c r="MJ9" i="24"/>
  <c r="MI9" i="24"/>
  <c r="MH9" i="24"/>
  <c r="MG9" i="24"/>
  <c r="MF9" i="24"/>
  <c r="ME9" i="24"/>
  <c r="MD9" i="24"/>
  <c r="MC9" i="24"/>
  <c r="MB9" i="24"/>
  <c r="MA9" i="24"/>
  <c r="LZ9" i="24"/>
  <c r="LY9" i="24"/>
  <c r="LX9" i="24"/>
  <c r="LW9" i="24"/>
  <c r="LV9" i="24"/>
  <c r="LU9" i="24"/>
  <c r="LT9" i="24"/>
  <c r="LS9" i="24"/>
  <c r="LR9" i="24"/>
  <c r="LQ9" i="24"/>
  <c r="LP9" i="24"/>
  <c r="LO9" i="24"/>
  <c r="LN9" i="24"/>
  <c r="LM9" i="24"/>
  <c r="LL9" i="24"/>
  <c r="LK9" i="24"/>
  <c r="LJ9" i="24"/>
  <c r="LI9" i="24"/>
  <c r="LH9" i="24"/>
  <c r="LG9" i="24"/>
  <c r="LF9" i="24"/>
  <c r="LE9" i="24"/>
  <c r="LD9" i="24"/>
  <c r="LC9" i="24"/>
  <c r="LB9" i="24"/>
  <c r="LA9" i="24"/>
  <c r="KZ9" i="24"/>
  <c r="KY9" i="24"/>
  <c r="KX9" i="24"/>
  <c r="KW9" i="24"/>
  <c r="KV9" i="24"/>
  <c r="KU9" i="24"/>
  <c r="KT9" i="24"/>
  <c r="KS9" i="24"/>
  <c r="KR9" i="24"/>
  <c r="KQ9" i="24"/>
  <c r="KP9" i="24"/>
  <c r="KO9" i="24"/>
  <c r="KN9" i="24"/>
  <c r="KM9" i="24"/>
  <c r="KL9" i="24"/>
  <c r="KK9" i="24"/>
  <c r="KJ9" i="24"/>
  <c r="KI9" i="24"/>
  <c r="KH9" i="24"/>
  <c r="KG9" i="24"/>
  <c r="KF9" i="24"/>
  <c r="KE9" i="24"/>
  <c r="KD9" i="24"/>
  <c r="KC9" i="24"/>
  <c r="KB9" i="24"/>
  <c r="KA9" i="24"/>
  <c r="JZ9" i="24"/>
  <c r="JY9" i="24"/>
  <c r="JX9" i="24"/>
  <c r="JW9" i="24"/>
  <c r="JV9" i="24"/>
  <c r="JU9" i="24"/>
  <c r="JT9" i="24"/>
  <c r="JS9" i="24"/>
  <c r="JR9" i="24"/>
  <c r="JQ9" i="24"/>
  <c r="JP9" i="24"/>
  <c r="JO9" i="24"/>
  <c r="JN9" i="24"/>
  <c r="JM9" i="24"/>
  <c r="JL9" i="24"/>
  <c r="JK9" i="24"/>
  <c r="JJ9" i="24"/>
  <c r="JI9" i="24"/>
  <c r="JH9" i="24"/>
  <c r="JG9" i="24"/>
  <c r="JF9" i="24"/>
  <c r="JE9" i="24"/>
  <c r="JD9" i="24"/>
  <c r="JC9" i="24"/>
  <c r="JB9" i="24"/>
  <c r="JA9" i="24"/>
  <c r="IZ9" i="24"/>
  <c r="IY9" i="24"/>
  <c r="IX9" i="24"/>
  <c r="IW9" i="24"/>
  <c r="IV9" i="24"/>
  <c r="IU9" i="24"/>
  <c r="IT9" i="24"/>
  <c r="IS9" i="24"/>
  <c r="IR9" i="24"/>
  <c r="IQ9" i="24"/>
  <c r="IP9" i="24"/>
  <c r="IO9" i="24"/>
  <c r="IN9" i="24"/>
  <c r="IM9" i="24"/>
  <c r="IL9" i="24"/>
  <c r="IK9" i="24"/>
  <c r="IJ9" i="24"/>
  <c r="II9" i="24"/>
  <c r="IH9" i="24"/>
  <c r="IG9" i="24"/>
  <c r="IF9" i="24"/>
  <c r="IE9" i="24"/>
  <c r="ID9" i="24"/>
  <c r="IC9" i="24"/>
  <c r="IB9" i="24"/>
  <c r="IA9" i="24"/>
  <c r="HZ9" i="24"/>
  <c r="HY9" i="24"/>
  <c r="HX9" i="24"/>
  <c r="HW9" i="24"/>
  <c r="HV9" i="24"/>
  <c r="HU9" i="24"/>
  <c r="HT9" i="24"/>
  <c r="HS9" i="24"/>
  <c r="HR9" i="24"/>
  <c r="HQ9" i="24"/>
  <c r="HP9" i="24"/>
  <c r="HO9" i="24"/>
  <c r="HN9" i="24"/>
  <c r="HM9" i="24"/>
  <c r="HL9" i="24"/>
  <c r="HK9" i="24"/>
  <c r="HJ9" i="24"/>
  <c r="HI9" i="24"/>
  <c r="HH9" i="24"/>
  <c r="HG9" i="24"/>
  <c r="HF9" i="24"/>
  <c r="HE9" i="24"/>
  <c r="HD9" i="24"/>
  <c r="HC9" i="24"/>
  <c r="HB9" i="24"/>
  <c r="HA9" i="24"/>
  <c r="GZ9" i="24"/>
  <c r="GY9" i="24"/>
  <c r="GX9" i="24"/>
  <c r="GW9" i="24"/>
  <c r="GV9" i="24"/>
  <c r="GU9" i="24"/>
  <c r="GT9" i="24"/>
  <c r="GS9" i="24"/>
  <c r="GR9" i="24"/>
  <c r="GQ9" i="24"/>
  <c r="GP9" i="24"/>
  <c r="GO9" i="24"/>
  <c r="GN9" i="24"/>
  <c r="GM9" i="24"/>
  <c r="GL9" i="24"/>
  <c r="GK9" i="24"/>
  <c r="GJ9" i="24"/>
  <c r="GI9" i="24"/>
  <c r="GH9" i="24"/>
  <c r="GG9" i="24"/>
  <c r="GF9" i="24"/>
  <c r="GE9" i="24"/>
  <c r="GD9" i="24"/>
  <c r="GC9" i="24"/>
  <c r="GB9" i="24"/>
  <c r="GA9" i="24"/>
  <c r="FZ9" i="24"/>
  <c r="FY9" i="24"/>
  <c r="FX9" i="24"/>
  <c r="FW9" i="24"/>
  <c r="FV9" i="24"/>
  <c r="FU9" i="24"/>
  <c r="FT9" i="24"/>
  <c r="FS9" i="24"/>
  <c r="FR9" i="24"/>
  <c r="FQ9" i="24"/>
  <c r="FP9" i="24"/>
  <c r="FO9" i="24"/>
  <c r="FI9" i="24"/>
  <c r="FH9" i="24"/>
  <c r="FG9" i="24"/>
  <c r="FF9" i="24"/>
  <c r="FE9" i="24"/>
  <c r="FD9" i="24"/>
  <c r="FC9" i="24"/>
  <c r="FB9" i="24"/>
  <c r="FA9" i="24"/>
  <c r="EZ9" i="24"/>
  <c r="EY9" i="24"/>
  <c r="EX9" i="24"/>
  <c r="EW9" i="24"/>
  <c r="EV9" i="24"/>
  <c r="EU9" i="24"/>
  <c r="ET9" i="24"/>
  <c r="ES9" i="24"/>
  <c r="ER9" i="24"/>
  <c r="EQ9" i="24"/>
  <c r="EP9" i="24"/>
  <c r="EO9" i="24"/>
  <c r="EN9" i="24"/>
  <c r="EM9" i="24"/>
  <c r="EL9" i="24"/>
  <c r="EK9" i="24"/>
  <c r="EJ9" i="24"/>
  <c r="EI9" i="24"/>
  <c r="EH9" i="24"/>
  <c r="FL9" i="24" s="1"/>
  <c r="EG9" i="24"/>
  <c r="FK9" i="24" s="1"/>
  <c r="EF9" i="24"/>
  <c r="EE9" i="24"/>
  <c r="ED9" i="24"/>
  <c r="EC9" i="24"/>
  <c r="EB9" i="24"/>
  <c r="EA9" i="24"/>
  <c r="DZ9" i="24"/>
  <c r="DY9" i="24"/>
  <c r="DX9" i="24"/>
  <c r="DW9" i="24"/>
  <c r="DV9" i="24"/>
  <c r="DU9" i="24"/>
  <c r="DT9" i="24"/>
  <c r="DS9" i="24"/>
  <c r="DR9" i="24"/>
  <c r="DQ9" i="24"/>
  <c r="DP9" i="24"/>
  <c r="DO9" i="24"/>
  <c r="DN9" i="24"/>
  <c r="DM9" i="24"/>
  <c r="DL9" i="24"/>
  <c r="DK9" i="24"/>
  <c r="DJ9" i="24"/>
  <c r="DI9" i="24"/>
  <c r="DH9" i="24"/>
  <c r="DG9" i="24"/>
  <c r="DF9" i="24"/>
  <c r="DE9" i="24"/>
  <c r="DD9" i="24"/>
  <c r="DC9" i="24"/>
  <c r="DB9" i="24"/>
  <c r="DA9" i="24"/>
  <c r="CZ9" i="24"/>
  <c r="CY9" i="24"/>
  <c r="CX9" i="24"/>
  <c r="CW9" i="24"/>
  <c r="CV9" i="24"/>
  <c r="CU9" i="24"/>
  <c r="CT9" i="24"/>
  <c r="CS9" i="24"/>
  <c r="CR9" i="24"/>
  <c r="CQ9" i="24"/>
  <c r="CP9" i="24"/>
  <c r="CO9" i="24"/>
  <c r="CN9" i="24"/>
  <c r="CM9" i="24"/>
  <c r="CL9" i="24"/>
  <c r="CK9" i="24"/>
  <c r="CJ9" i="24"/>
  <c r="CI9" i="24"/>
  <c r="CH9" i="24"/>
  <c r="CG9" i="24"/>
  <c r="CF9" i="24"/>
  <c r="CE9" i="24"/>
  <c r="CD9" i="24"/>
  <c r="CC9" i="24"/>
  <c r="CB9" i="24"/>
  <c r="CA9" i="24"/>
  <c r="BZ9" i="24"/>
  <c r="BY9" i="24"/>
  <c r="BX9" i="24"/>
  <c r="BW9" i="24"/>
  <c r="BV9" i="24"/>
  <c r="BU9" i="24"/>
  <c r="BT9" i="24"/>
  <c r="BS9" i="24"/>
  <c r="BR9" i="24"/>
  <c r="BQ9" i="24"/>
  <c r="BP9" i="24"/>
  <c r="BO9" i="24"/>
  <c r="BN9" i="24"/>
  <c r="BM9" i="24"/>
  <c r="BL9" i="24"/>
  <c r="BK9" i="24"/>
  <c r="BJ9" i="24"/>
  <c r="BI9" i="24"/>
  <c r="BH9" i="24"/>
  <c r="BG9" i="24"/>
  <c r="BF9" i="24"/>
  <c r="BE9" i="24"/>
  <c r="BD9" i="24"/>
  <c r="BC9" i="24"/>
  <c r="BB9" i="24"/>
  <c r="BA9" i="24"/>
  <c r="AZ9" i="24"/>
  <c r="AY9" i="24"/>
  <c r="AX9" i="24"/>
  <c r="AW9" i="24"/>
  <c r="AV9" i="24"/>
  <c r="AU9" i="24"/>
  <c r="AT9" i="24"/>
  <c r="AS9" i="24"/>
  <c r="AR9" i="24"/>
  <c r="AQ9" i="24"/>
  <c r="AP9" i="24"/>
  <c r="AO9" i="24"/>
  <c r="AN9" i="24"/>
  <c r="AM9" i="24"/>
  <c r="AL9" i="24"/>
  <c r="AK9" i="24"/>
  <c r="AJ9" i="24"/>
  <c r="AI9" i="24"/>
  <c r="AH9" i="24"/>
  <c r="AG9" i="24"/>
  <c r="AF9" i="24"/>
  <c r="AE9" i="24"/>
  <c r="AD9" i="24"/>
  <c r="AC9" i="24"/>
  <c r="AB9" i="24"/>
  <c r="AA9" i="24"/>
  <c r="Z9" i="24"/>
  <c r="Y9" i="24"/>
  <c r="X9" i="24"/>
  <c r="N2" i="47" s="1"/>
  <c r="FM9" i="24" l="1"/>
  <c r="FJ9" i="24"/>
  <c r="FN9" i="24"/>
  <c r="N357" i="47"/>
  <c r="N1610" i="47"/>
  <c r="N1618" i="47"/>
  <c r="N1626" i="47"/>
  <c r="N1634" i="47"/>
  <c r="N1638" i="47"/>
  <c r="N1642" i="47"/>
  <c r="N1646" i="47"/>
  <c r="N1650" i="47"/>
  <c r="N1654" i="47"/>
  <c r="N1658" i="47"/>
  <c r="N1662" i="47"/>
  <c r="N1666" i="47"/>
  <c r="N1670" i="47"/>
  <c r="N1674" i="47"/>
  <c r="N1678" i="47"/>
  <c r="N1682" i="47"/>
  <c r="N1686" i="47"/>
  <c r="N1614" i="47"/>
  <c r="N1622" i="47"/>
  <c r="N1630" i="47"/>
  <c r="N1249" i="47"/>
  <c r="N1253" i="47"/>
  <c r="N1257" i="47"/>
  <c r="N1261" i="47"/>
  <c r="N1265" i="47"/>
  <c r="N1269" i="47"/>
  <c r="N1273" i="47"/>
  <c r="N1285" i="47"/>
  <c r="N1297" i="47"/>
  <c r="N1301" i="47"/>
  <c r="N1305" i="47"/>
  <c r="N1309" i="47"/>
  <c r="N1313" i="47"/>
  <c r="N1317" i="47"/>
  <c r="N1321" i="47"/>
  <c r="N1325" i="47"/>
  <c r="N1329" i="47"/>
  <c r="N1333" i="47"/>
  <c r="N1337" i="47"/>
  <c r="N1353" i="47"/>
  <c r="N1357" i="47"/>
  <c r="N1361" i="47"/>
  <c r="N1365" i="47"/>
  <c r="N1369" i="47"/>
  <c r="N1373" i="47"/>
  <c r="N1377" i="47"/>
  <c r="N1381" i="47"/>
  <c r="N1385" i="47"/>
  <c r="N1389" i="47"/>
  <c r="N1393" i="47"/>
  <c r="N1397" i="47"/>
  <c r="N1401" i="47"/>
  <c r="N1405" i="47"/>
  <c r="N1409" i="47"/>
  <c r="N1413" i="47"/>
  <c r="N1417" i="47"/>
  <c r="N1421" i="47"/>
  <c r="N1281" i="47"/>
  <c r="N1293" i="47"/>
  <c r="N1277" i="47"/>
  <c r="N1289" i="47"/>
  <c r="N1349" i="47"/>
  <c r="N1425" i="47"/>
  <c r="N1429" i="47"/>
  <c r="N1433" i="47"/>
  <c r="N1437" i="47"/>
  <c r="N1441" i="47"/>
  <c r="N1445" i="47"/>
  <c r="N1449" i="47"/>
  <c r="N1453" i="47"/>
  <c r="N1457" i="47"/>
  <c r="N1461" i="47"/>
  <c r="N1465" i="47"/>
  <c r="N1469" i="47"/>
  <c r="N1473" i="47"/>
  <c r="N1477" i="47"/>
  <c r="N1481" i="47"/>
  <c r="N1485" i="47"/>
  <c r="N1489" i="47"/>
  <c r="N1493" i="47"/>
  <c r="N1497" i="47"/>
  <c r="N1501" i="47"/>
  <c r="N1505" i="47"/>
  <c r="N1509" i="47"/>
  <c r="N1513" i="47"/>
  <c r="N1517" i="47"/>
  <c r="N1521" i="47"/>
  <c r="N1525" i="47"/>
  <c r="N1529" i="47"/>
  <c r="N1533" i="47"/>
  <c r="N1345" i="47"/>
  <c r="N1341" i="47"/>
  <c r="N4" i="47"/>
  <c r="N16" i="47"/>
  <c r="N28" i="47"/>
  <c r="N40" i="47"/>
  <c r="N52" i="47"/>
  <c r="N64" i="47"/>
  <c r="N76" i="47"/>
  <c r="N88" i="47"/>
  <c r="N104" i="47"/>
  <c r="N116" i="47"/>
  <c r="N128" i="47"/>
  <c r="N144" i="47"/>
  <c r="N156" i="47"/>
  <c r="N168" i="47"/>
  <c r="N180" i="47"/>
  <c r="N192" i="47"/>
  <c r="N204" i="47"/>
  <c r="N216" i="47"/>
  <c r="N228" i="47"/>
  <c r="N248" i="47"/>
  <c r="N260" i="47"/>
  <c r="N272" i="47"/>
  <c r="N284" i="47"/>
  <c r="N296" i="47"/>
  <c r="N308" i="47"/>
  <c r="N320" i="47"/>
  <c r="N332" i="47"/>
  <c r="N344" i="47"/>
  <c r="N356" i="47"/>
  <c r="N368" i="47"/>
  <c r="N380" i="47"/>
  <c r="N392" i="47"/>
  <c r="N404" i="47"/>
  <c r="N416" i="47"/>
  <c r="N428" i="47"/>
  <c r="N440" i="47"/>
  <c r="N452" i="47"/>
  <c r="N464" i="47"/>
  <c r="N476" i="47"/>
  <c r="N488" i="47"/>
  <c r="N500" i="47"/>
  <c r="N512" i="47"/>
  <c r="N524" i="47"/>
  <c r="N536" i="47"/>
  <c r="N548" i="47"/>
  <c r="N560" i="47"/>
  <c r="N572" i="47"/>
  <c r="N584" i="47"/>
  <c r="N596" i="47"/>
  <c r="N608" i="47"/>
  <c r="N620" i="47"/>
  <c r="N628" i="47"/>
  <c r="N644" i="47"/>
  <c r="N660" i="47"/>
  <c r="N1537" i="47"/>
  <c r="N1541" i="47"/>
  <c r="N1545" i="47"/>
  <c r="N1549" i="47"/>
  <c r="N1553" i="47"/>
  <c r="N1557" i="47"/>
  <c r="N1561" i="47"/>
  <c r="N1565" i="47"/>
  <c r="N1569" i="47"/>
  <c r="N1573" i="47"/>
  <c r="N1577" i="47"/>
  <c r="N1581" i="47"/>
  <c r="N1585" i="47"/>
  <c r="N1589" i="47"/>
  <c r="N1593" i="47"/>
  <c r="N1597" i="47"/>
  <c r="N1601" i="47"/>
  <c r="N1605" i="47"/>
  <c r="N1609" i="47"/>
  <c r="N12" i="47"/>
  <c r="N24" i="47"/>
  <c r="N36" i="47"/>
  <c r="N48" i="47"/>
  <c r="N60" i="47"/>
  <c r="N72" i="47"/>
  <c r="N84" i="47"/>
  <c r="N96" i="47"/>
  <c r="N108" i="47"/>
  <c r="N120" i="47"/>
  <c r="N132" i="47"/>
  <c r="N140" i="47"/>
  <c r="N152" i="47"/>
  <c r="N164" i="47"/>
  <c r="N176" i="47"/>
  <c r="N188" i="47"/>
  <c r="N200" i="47"/>
  <c r="N212" i="47"/>
  <c r="N224" i="47"/>
  <c r="N244" i="47"/>
  <c r="N256" i="47"/>
  <c r="N268" i="47"/>
  <c r="N280" i="47"/>
  <c r="N292" i="47"/>
  <c r="N304" i="47"/>
  <c r="N316" i="47"/>
  <c r="N328" i="47"/>
  <c r="N340" i="47"/>
  <c r="N352" i="47"/>
  <c r="N364" i="47"/>
  <c r="N376" i="47"/>
  <c r="N388" i="47"/>
  <c r="N400" i="47"/>
  <c r="N408" i="47"/>
  <c r="N420" i="47"/>
  <c r="N432" i="47"/>
  <c r="N444" i="47"/>
  <c r="N456" i="47"/>
  <c r="N468" i="47"/>
  <c r="N480" i="47"/>
  <c r="N492" i="47"/>
  <c r="N504" i="47"/>
  <c r="N516" i="47"/>
  <c r="N528" i="47"/>
  <c r="N540" i="47"/>
  <c r="N552" i="47"/>
  <c r="N564" i="47"/>
  <c r="N580" i="47"/>
  <c r="N592" i="47"/>
  <c r="N604" i="47"/>
  <c r="N616" i="47"/>
  <c r="N632" i="47"/>
  <c r="N640" i="47"/>
  <c r="N652" i="47"/>
  <c r="N8" i="47"/>
  <c r="N20" i="47"/>
  <c r="N32" i="47"/>
  <c r="N44" i="47"/>
  <c r="N56" i="47"/>
  <c r="N68" i="47"/>
  <c r="N80" i="47"/>
  <c r="N92" i="47"/>
  <c r="N100" i="47"/>
  <c r="N112" i="47"/>
  <c r="N124" i="47"/>
  <c r="N136" i="47"/>
  <c r="N148" i="47"/>
  <c r="N160" i="47"/>
  <c r="N172" i="47"/>
  <c r="N184" i="47"/>
  <c r="N196" i="47"/>
  <c r="N208" i="47"/>
  <c r="N220" i="47"/>
  <c r="N232" i="47"/>
  <c r="N252" i="47"/>
  <c r="N264" i="47"/>
  <c r="N276" i="47"/>
  <c r="N288" i="47"/>
  <c r="N300" i="47"/>
  <c r="N312" i="47"/>
  <c r="N324" i="47"/>
  <c r="N336" i="47"/>
  <c r="N348" i="47"/>
  <c r="N360" i="47"/>
  <c r="N372" i="47"/>
  <c r="N384" i="47"/>
  <c r="N396" i="47"/>
  <c r="N412" i="47"/>
  <c r="N424" i="47"/>
  <c r="N436" i="47"/>
  <c r="N448" i="47"/>
  <c r="N460" i="47"/>
  <c r="N472" i="47"/>
  <c r="N484" i="47"/>
  <c r="N496" i="47"/>
  <c r="N508" i="47"/>
  <c r="N520" i="47"/>
  <c r="N532" i="47"/>
  <c r="N544" i="47"/>
  <c r="N556" i="47"/>
  <c r="N568" i="47"/>
  <c r="N576" i="47"/>
  <c r="N588" i="47"/>
  <c r="N600" i="47"/>
  <c r="N612" i="47"/>
  <c r="N624" i="47"/>
  <c r="N636" i="47"/>
  <c r="N648" i="47"/>
  <c r="N672" i="47"/>
  <c r="N684" i="47"/>
  <c r="N696" i="47"/>
  <c r="N708" i="47"/>
  <c r="N720" i="47"/>
  <c r="N732" i="47"/>
  <c r="N744" i="47"/>
  <c r="N756" i="47"/>
  <c r="N768" i="47"/>
  <c r="N780" i="47"/>
  <c r="N792" i="47"/>
  <c r="N808" i="47"/>
  <c r="N820" i="47"/>
  <c r="N829" i="47"/>
  <c r="N841" i="47"/>
  <c r="N853" i="47"/>
  <c r="N861" i="47"/>
  <c r="N877" i="47"/>
  <c r="N881" i="47"/>
  <c r="N1613" i="47"/>
  <c r="N1617" i="47"/>
  <c r="N1621" i="47"/>
  <c r="N1625" i="47"/>
  <c r="N1629" i="47"/>
  <c r="N1633" i="47"/>
  <c r="N1637" i="47"/>
  <c r="N1641" i="47"/>
  <c r="N1645" i="47"/>
  <c r="N1649" i="47"/>
  <c r="N1653" i="47"/>
  <c r="N1657" i="47"/>
  <c r="N1661" i="47"/>
  <c r="N664" i="47"/>
  <c r="N680" i="47"/>
  <c r="N692" i="47"/>
  <c r="N704" i="47"/>
  <c r="N716" i="47"/>
  <c r="N728" i="47"/>
  <c r="N740" i="47"/>
  <c r="N752" i="47"/>
  <c r="N764" i="47"/>
  <c r="N776" i="47"/>
  <c r="N788" i="47"/>
  <c r="N800" i="47"/>
  <c r="N812" i="47"/>
  <c r="N833" i="47"/>
  <c r="N845" i="47"/>
  <c r="N857" i="47"/>
  <c r="N869" i="47"/>
  <c r="N889" i="47"/>
  <c r="N1502" i="47"/>
  <c r="N656" i="47"/>
  <c r="N668" i="47"/>
  <c r="N676" i="47"/>
  <c r="N688" i="47"/>
  <c r="N700" i="47"/>
  <c r="N712" i="47"/>
  <c r="N724" i="47"/>
  <c r="N736" i="47"/>
  <c r="N748" i="47"/>
  <c r="N760" i="47"/>
  <c r="N772" i="47"/>
  <c r="N784" i="47"/>
  <c r="N796" i="47"/>
  <c r="N804" i="47"/>
  <c r="N816" i="47"/>
  <c r="N825" i="47"/>
  <c r="N837" i="47"/>
  <c r="N849" i="47"/>
  <c r="N865" i="47"/>
  <c r="N873" i="47"/>
  <c r="N885" i="47"/>
  <c r="N45" i="47"/>
  <c r="N9" i="47"/>
  <c r="N17" i="47"/>
  <c r="N25" i="47"/>
  <c r="N33" i="47"/>
  <c r="N41" i="47"/>
  <c r="N49" i="47"/>
  <c r="N5" i="47"/>
  <c r="N13" i="47"/>
  <c r="N21" i="47"/>
  <c r="N29" i="47"/>
  <c r="N37" i="47"/>
  <c r="N53" i="47"/>
  <c r="N277" i="47"/>
  <c r="N289" i="47"/>
  <c r="N305" i="47"/>
  <c r="N317" i="47"/>
  <c r="N329" i="47"/>
  <c r="N341" i="47"/>
  <c r="N353" i="47"/>
  <c r="N365" i="47"/>
  <c r="N377" i="47"/>
  <c r="N389" i="47"/>
  <c r="N401" i="47"/>
  <c r="N413" i="47"/>
  <c r="N425" i="47"/>
  <c r="N433" i="47"/>
  <c r="N449" i="47"/>
  <c r="N461" i="47"/>
  <c r="N473" i="47"/>
  <c r="N485" i="47"/>
  <c r="N497" i="47"/>
  <c r="N509" i="47"/>
  <c r="N521" i="47"/>
  <c r="N533" i="47"/>
  <c r="N545" i="47"/>
  <c r="N557" i="47"/>
  <c r="N569" i="47"/>
  <c r="N581" i="47"/>
  <c r="N593" i="47"/>
  <c r="N601" i="47"/>
  <c r="N613" i="47"/>
  <c r="N625" i="47"/>
  <c r="N637" i="47"/>
  <c r="N649" i="47"/>
  <c r="N661" i="47"/>
  <c r="N673" i="47"/>
  <c r="N685" i="47"/>
  <c r="N693" i="47"/>
  <c r="N709" i="47"/>
  <c r="N725" i="47"/>
  <c r="N733" i="47"/>
  <c r="N741" i="47"/>
  <c r="N757" i="47"/>
  <c r="N765" i="47"/>
  <c r="N781" i="47"/>
  <c r="N793" i="47"/>
  <c r="N805" i="47"/>
  <c r="N813" i="47"/>
  <c r="N834" i="47"/>
  <c r="N846" i="47"/>
  <c r="N858" i="47"/>
  <c r="N870" i="47"/>
  <c r="N882" i="47"/>
  <c r="N894" i="47"/>
  <c r="N902" i="47"/>
  <c r="N57" i="47"/>
  <c r="N97" i="47"/>
  <c r="N109" i="47"/>
  <c r="N113" i="47"/>
  <c r="N117" i="47"/>
  <c r="N121" i="47"/>
  <c r="N125" i="47"/>
  <c r="N133" i="47"/>
  <c r="N141" i="47"/>
  <c r="N149" i="47"/>
  <c r="N157" i="47"/>
  <c r="N165" i="47"/>
  <c r="N173" i="47"/>
  <c r="N181" i="47"/>
  <c r="N185" i="47"/>
  <c r="N193" i="47"/>
  <c r="N201" i="47"/>
  <c r="N209" i="47"/>
  <c r="N213" i="47"/>
  <c r="N217" i="47"/>
  <c r="N221" i="47"/>
  <c r="N225" i="47"/>
  <c r="N229" i="47"/>
  <c r="N233" i="47"/>
  <c r="N237" i="47"/>
  <c r="N241" i="47"/>
  <c r="N245" i="47"/>
  <c r="N249" i="47"/>
  <c r="N253" i="47"/>
  <c r="N257" i="47"/>
  <c r="N265" i="47"/>
  <c r="N273" i="47"/>
  <c r="N285" i="47"/>
  <c r="N297" i="47"/>
  <c r="N309" i="47"/>
  <c r="N325" i="47"/>
  <c r="N337" i="47"/>
  <c r="N349" i="47"/>
  <c r="N361" i="47"/>
  <c r="N373" i="47"/>
  <c r="N385" i="47"/>
  <c r="N393" i="47"/>
  <c r="N405" i="47"/>
  <c r="N417" i="47"/>
  <c r="N429" i="47"/>
  <c r="N441" i="47"/>
  <c r="N453" i="47"/>
  <c r="N465" i="47"/>
  <c r="N477" i="47"/>
  <c r="N489" i="47"/>
  <c r="N501" i="47"/>
  <c r="N513" i="47"/>
  <c r="N529" i="47"/>
  <c r="N541" i="47"/>
  <c r="N553" i="47"/>
  <c r="N561" i="47"/>
  <c r="N573" i="47"/>
  <c r="N589" i="47"/>
  <c r="N605" i="47"/>
  <c r="N617" i="47"/>
  <c r="N629" i="47"/>
  <c r="N641" i="47"/>
  <c r="N653" i="47"/>
  <c r="N665" i="47"/>
  <c r="N677" i="47"/>
  <c r="N689" i="47"/>
  <c r="N701" i="47"/>
  <c r="N713" i="47"/>
  <c r="N721" i="47"/>
  <c r="N737" i="47"/>
  <c r="N745" i="47"/>
  <c r="N753" i="47"/>
  <c r="N769" i="47"/>
  <c r="N785" i="47"/>
  <c r="N789" i="47"/>
  <c r="N809" i="47"/>
  <c r="N817" i="47"/>
  <c r="N826" i="47"/>
  <c r="N838" i="47"/>
  <c r="N850" i="47"/>
  <c r="N862" i="47"/>
  <c r="N874" i="47"/>
  <c r="N886" i="47"/>
  <c r="N898" i="47"/>
  <c r="N906" i="47"/>
  <c r="N61" i="47"/>
  <c r="N65" i="47"/>
  <c r="N69" i="47"/>
  <c r="N73" i="47"/>
  <c r="N77" i="47"/>
  <c r="N81" i="47"/>
  <c r="N85" i="47"/>
  <c r="N89" i="47"/>
  <c r="N93" i="47"/>
  <c r="N101" i="47"/>
  <c r="N105" i="47"/>
  <c r="N129" i="47"/>
  <c r="N137" i="47"/>
  <c r="N145" i="47"/>
  <c r="N153" i="47"/>
  <c r="N161" i="47"/>
  <c r="N169" i="47"/>
  <c r="N177" i="47"/>
  <c r="N189" i="47"/>
  <c r="N197" i="47"/>
  <c r="N205" i="47"/>
  <c r="N261" i="47"/>
  <c r="N269" i="47"/>
  <c r="N281" i="47"/>
  <c r="N293" i="47"/>
  <c r="N301" i="47"/>
  <c r="N313" i="47"/>
  <c r="N321" i="47"/>
  <c r="N333" i="47"/>
  <c r="N345" i="47"/>
  <c r="N369" i="47"/>
  <c r="N381" i="47"/>
  <c r="N397" i="47"/>
  <c r="N409" i="47"/>
  <c r="N421" i="47"/>
  <c r="N437" i="47"/>
  <c r="N445" i="47"/>
  <c r="N457" i="47"/>
  <c r="N469" i="47"/>
  <c r="N481" i="47"/>
  <c r="N493" i="47"/>
  <c r="N505" i="47"/>
  <c r="N517" i="47"/>
  <c r="N525" i="47"/>
  <c r="N537" i="47"/>
  <c r="N549" i="47"/>
  <c r="N565" i="47"/>
  <c r="N577" i="47"/>
  <c r="N585" i="47"/>
  <c r="N597" i="47"/>
  <c r="N609" i="47"/>
  <c r="N621" i="47"/>
  <c r="N633" i="47"/>
  <c r="N645" i="47"/>
  <c r="N657" i="47"/>
  <c r="N669" i="47"/>
  <c r="N681" i="47"/>
  <c r="N697" i="47"/>
  <c r="N705" i="47"/>
  <c r="N717" i="47"/>
  <c r="N729" i="47"/>
  <c r="N749" i="47"/>
  <c r="N761" i="47"/>
  <c r="N773" i="47"/>
  <c r="N777" i="47"/>
  <c r="N797" i="47"/>
  <c r="N801" i="47"/>
  <c r="N821" i="47"/>
  <c r="N830" i="47"/>
  <c r="N842" i="47"/>
  <c r="N854" i="47"/>
  <c r="N866" i="47"/>
  <c r="N878" i="47"/>
  <c r="N890" i="47"/>
  <c r="N910" i="47"/>
  <c r="N914" i="47"/>
  <c r="N926" i="47"/>
  <c r="N938" i="47"/>
  <c r="N950" i="47"/>
  <c r="N962" i="47"/>
  <c r="N974" i="47"/>
  <c r="N986" i="47"/>
  <c r="N998" i="47"/>
  <c r="N1010" i="47"/>
  <c r="N1022" i="47"/>
  <c r="N1034" i="47"/>
  <c r="N1050" i="47"/>
  <c r="N1058" i="47"/>
  <c r="N1070" i="47"/>
  <c r="N1082" i="47"/>
  <c r="N1094" i="47"/>
  <c r="N1106" i="47"/>
  <c r="N1118" i="47"/>
  <c r="N1130" i="47"/>
  <c r="N1138" i="47"/>
  <c r="N1154" i="47"/>
  <c r="N1665" i="47"/>
  <c r="N1669" i="47"/>
  <c r="N1673" i="47"/>
  <c r="N1677" i="47"/>
  <c r="N1681" i="47"/>
  <c r="N1685" i="47"/>
  <c r="N918" i="47"/>
  <c r="N930" i="47"/>
  <c r="N942" i="47"/>
  <c r="N954" i="47"/>
  <c r="N966" i="47"/>
  <c r="N978" i="47"/>
  <c r="N990" i="47"/>
  <c r="N1002" i="47"/>
  <c r="N1014" i="47"/>
  <c r="N1026" i="47"/>
  <c r="N1038" i="47"/>
  <c r="N1046" i="47"/>
  <c r="N1062" i="47"/>
  <c r="N1074" i="47"/>
  <c r="N1090" i="47"/>
  <c r="N1102" i="47"/>
  <c r="N1114" i="47"/>
  <c r="N1126" i="47"/>
  <c r="N1142" i="47"/>
  <c r="N1150" i="47"/>
  <c r="N1162" i="47"/>
  <c r="N1170" i="47"/>
  <c r="N1178" i="47"/>
  <c r="N1186" i="47"/>
  <c r="N1190" i="47"/>
  <c r="N1198" i="47"/>
  <c r="N1206" i="47"/>
  <c r="N1214" i="47"/>
  <c r="N1222" i="47"/>
  <c r="N1230" i="47"/>
  <c r="N1242" i="47"/>
  <c r="N1250" i="47"/>
  <c r="N1254" i="47"/>
  <c r="N1262" i="47"/>
  <c r="N1270" i="47"/>
  <c r="N1282" i="47"/>
  <c r="N1286" i="47"/>
  <c r="N1294" i="47"/>
  <c r="N1302" i="47"/>
  <c r="N1314" i="47"/>
  <c r="N1318" i="47"/>
  <c r="N1326" i="47"/>
  <c r="N1334" i="47"/>
  <c r="N1346" i="47"/>
  <c r="N1350" i="47"/>
  <c r="N1358" i="47"/>
  <c r="N1366" i="47"/>
  <c r="N1374" i="47"/>
  <c r="N1382" i="47"/>
  <c r="N1390" i="47"/>
  <c r="N1398" i="47"/>
  <c r="N1406" i="47"/>
  <c r="N1414" i="47"/>
  <c r="N1422" i="47"/>
  <c r="N1510" i="47"/>
  <c r="N1518" i="47"/>
  <c r="N1526" i="47"/>
  <c r="N1534" i="47"/>
  <c r="N1546" i="47"/>
  <c r="N1554" i="47"/>
  <c r="N1562" i="47"/>
  <c r="N1570" i="47"/>
  <c r="N1578" i="47"/>
  <c r="N1586" i="47"/>
  <c r="N1594" i="47"/>
  <c r="N1602" i="47"/>
  <c r="N1606" i="47"/>
  <c r="N922" i="47"/>
  <c r="N934" i="47"/>
  <c r="N946" i="47"/>
  <c r="N958" i="47"/>
  <c r="N970" i="47"/>
  <c r="N982" i="47"/>
  <c r="N994" i="47"/>
  <c r="N1006" i="47"/>
  <c r="N1018" i="47"/>
  <c r="N1030" i="47"/>
  <c r="N1042" i="47"/>
  <c r="N1054" i="47"/>
  <c r="N1066" i="47"/>
  <c r="N1078" i="47"/>
  <c r="N1086" i="47"/>
  <c r="N1098" i="47"/>
  <c r="N1110" i="47"/>
  <c r="N1122" i="47"/>
  <c r="N1134" i="47"/>
  <c r="N1146" i="47"/>
  <c r="N1158" i="47"/>
  <c r="N1166" i="47"/>
  <c r="N1174" i="47"/>
  <c r="N1182" i="47"/>
  <c r="N1194" i="47"/>
  <c r="N1202" i="47"/>
  <c r="N1210" i="47"/>
  <c r="N1218" i="47"/>
  <c r="N1226" i="47"/>
  <c r="N1234" i="47"/>
  <c r="N1238" i="47"/>
  <c r="N1246" i="47"/>
  <c r="N1258" i="47"/>
  <c r="N1266" i="47"/>
  <c r="N1274" i="47"/>
  <c r="N1278" i="47"/>
  <c r="N1290" i="47"/>
  <c r="N1298" i="47"/>
  <c r="N1306" i="47"/>
  <c r="N1310" i="47"/>
  <c r="N1322" i="47"/>
  <c r="N1330" i="47"/>
  <c r="N1338" i="47"/>
  <c r="N1342" i="47"/>
  <c r="N1354" i="47"/>
  <c r="N1362" i="47"/>
  <c r="N1370" i="47"/>
  <c r="N1378" i="47"/>
  <c r="N1386" i="47"/>
  <c r="N1394" i="47"/>
  <c r="N1402" i="47"/>
  <c r="N1410" i="47"/>
  <c r="N1418" i="47"/>
  <c r="N1426" i="47"/>
  <c r="N1430" i="47"/>
  <c r="N1434" i="47"/>
  <c r="N1438" i="47"/>
  <c r="N1442" i="47"/>
  <c r="N1446" i="47"/>
  <c r="N1450" i="47"/>
  <c r="N1454" i="47"/>
  <c r="N1458" i="47"/>
  <c r="N1462" i="47"/>
  <c r="N1466" i="47"/>
  <c r="N1470" i="47"/>
  <c r="N1474" i="47"/>
  <c r="N1478" i="47"/>
  <c r="N1482" i="47"/>
  <c r="N1486" i="47"/>
  <c r="N1490" i="47"/>
  <c r="N1494" i="47"/>
  <c r="N1498" i="47"/>
  <c r="N1506" i="47"/>
  <c r="N1514" i="47"/>
  <c r="N1522" i="47"/>
  <c r="N1530" i="47"/>
  <c r="N1538" i="47"/>
  <c r="N1542" i="47"/>
  <c r="N1550" i="47"/>
  <c r="N1558" i="47"/>
  <c r="N1566" i="47"/>
  <c r="N1574" i="47"/>
  <c r="N1582" i="47"/>
  <c r="N1590" i="47"/>
  <c r="N1598" i="47"/>
  <c r="N10" i="47"/>
  <c r="N22" i="47"/>
  <c r="N34" i="47"/>
  <c r="N46" i="47"/>
  <c r="N58" i="47"/>
  <c r="N70" i="47"/>
  <c r="N82" i="47"/>
  <c r="N94" i="47"/>
  <c r="N106" i="47"/>
  <c r="N118" i="47"/>
  <c r="N134" i="47"/>
  <c r="N236" i="47"/>
  <c r="N240" i="47"/>
  <c r="N6" i="47"/>
  <c r="N18" i="47"/>
  <c r="N26" i="47"/>
  <c r="N38" i="47"/>
  <c r="N54" i="47"/>
  <c r="N66" i="47"/>
  <c r="N78" i="47"/>
  <c r="N90" i="47"/>
  <c r="N102" i="47"/>
  <c r="N114" i="47"/>
  <c r="N126" i="47"/>
  <c r="N138" i="47"/>
  <c r="N146" i="47"/>
  <c r="N154" i="47"/>
  <c r="N162" i="47"/>
  <c r="N170" i="47"/>
  <c r="N178" i="47"/>
  <c r="N186" i="47"/>
  <c r="N194" i="47"/>
  <c r="N202" i="47"/>
  <c r="N206" i="47"/>
  <c r="N210" i="47"/>
  <c r="N214" i="47"/>
  <c r="N218" i="47"/>
  <c r="N222" i="47"/>
  <c r="N226" i="47"/>
  <c r="N230" i="47"/>
  <c r="N234" i="47"/>
  <c r="N238" i="47"/>
  <c r="N242" i="47"/>
  <c r="N246" i="47"/>
  <c r="N250" i="47"/>
  <c r="N254" i="47"/>
  <c r="N258" i="47"/>
  <c r="N262" i="47"/>
  <c r="N266" i="47"/>
  <c r="N270" i="47"/>
  <c r="N274" i="47"/>
  <c r="N278" i="47"/>
  <c r="N282" i="47"/>
  <c r="N286" i="47"/>
  <c r="N290" i="47"/>
  <c r="N294" i="47"/>
  <c r="N298" i="47"/>
  <c r="N302" i="47"/>
  <c r="N306" i="47"/>
  <c r="N310" i="47"/>
  <c r="N314" i="47"/>
  <c r="N318" i="47"/>
  <c r="N322" i="47"/>
  <c r="N326" i="47"/>
  <c r="N330" i="47"/>
  <c r="N334" i="47"/>
  <c r="N338" i="47"/>
  <c r="N342" i="47"/>
  <c r="N346" i="47"/>
  <c r="N350" i="47"/>
  <c r="N354" i="47"/>
  <c r="N358" i="47"/>
  <c r="N362" i="47"/>
  <c r="N366" i="47"/>
  <c r="N370" i="47"/>
  <c r="N374" i="47"/>
  <c r="N378" i="47"/>
  <c r="N382" i="47"/>
  <c r="N386" i="47"/>
  <c r="N390" i="47"/>
  <c r="N394" i="47"/>
  <c r="N398" i="47"/>
  <c r="N402" i="47"/>
  <c r="N406" i="47"/>
  <c r="N410" i="47"/>
  <c r="N414" i="47"/>
  <c r="N418" i="47"/>
  <c r="N422" i="47"/>
  <c r="N426" i="47"/>
  <c r="N430" i="47"/>
  <c r="N434" i="47"/>
  <c r="N438" i="47"/>
  <c r="N442" i="47"/>
  <c r="N446" i="47"/>
  <c r="N450" i="47"/>
  <c r="N454" i="47"/>
  <c r="N458" i="47"/>
  <c r="N462" i="47"/>
  <c r="N466" i="47"/>
  <c r="N470" i="47"/>
  <c r="N474" i="47"/>
  <c r="N478" i="47"/>
  <c r="N482" i="47"/>
  <c r="N486" i="47"/>
  <c r="N490" i="47"/>
  <c r="N494" i="47"/>
  <c r="N498" i="47"/>
  <c r="N502" i="47"/>
  <c r="N506" i="47"/>
  <c r="N510" i="47"/>
  <c r="N514" i="47"/>
  <c r="N518" i="47"/>
  <c r="N522" i="47"/>
  <c r="N526" i="47"/>
  <c r="N530" i="47"/>
  <c r="N534" i="47"/>
  <c r="N538" i="47"/>
  <c r="N542" i="47"/>
  <c r="N546" i="47"/>
  <c r="N550" i="47"/>
  <c r="N554" i="47"/>
  <c r="N558" i="47"/>
  <c r="N562" i="47"/>
  <c r="N566" i="47"/>
  <c r="N570" i="47"/>
  <c r="N574" i="47"/>
  <c r="N578" i="47"/>
  <c r="N582" i="47"/>
  <c r="N586" i="47"/>
  <c r="N590" i="47"/>
  <c r="N594" i="47"/>
  <c r="B202" i="47" s="1"/>
  <c r="N598" i="47"/>
  <c r="N602" i="47"/>
  <c r="N606" i="47"/>
  <c r="N610" i="47"/>
  <c r="N614" i="47"/>
  <c r="N618" i="47"/>
  <c r="N622" i="47"/>
  <c r="N626" i="47"/>
  <c r="N630" i="47"/>
  <c r="N634" i="47"/>
  <c r="N638" i="47"/>
  <c r="N642" i="47"/>
  <c r="N14" i="47"/>
  <c r="N30" i="47"/>
  <c r="N42" i="47"/>
  <c r="N50" i="47"/>
  <c r="N62" i="47"/>
  <c r="N74" i="47"/>
  <c r="N86" i="47"/>
  <c r="N98" i="47"/>
  <c r="N110" i="47"/>
  <c r="N122" i="47"/>
  <c r="N130" i="47"/>
  <c r="N142" i="47"/>
  <c r="N150" i="47"/>
  <c r="N158" i="47"/>
  <c r="N166" i="47"/>
  <c r="N174" i="47"/>
  <c r="N182" i="47"/>
  <c r="N190" i="47"/>
  <c r="N198" i="47"/>
  <c r="N3" i="47"/>
  <c r="N7" i="47"/>
  <c r="N11" i="47"/>
  <c r="N15" i="47"/>
  <c r="N19" i="47"/>
  <c r="N23" i="47"/>
  <c r="N27" i="47"/>
  <c r="N31" i="47"/>
  <c r="N35" i="47"/>
  <c r="N39" i="47"/>
  <c r="N43" i="47"/>
  <c r="N47" i="47"/>
  <c r="N51" i="47"/>
  <c r="N55" i="47"/>
  <c r="N59" i="47"/>
  <c r="N63" i="47"/>
  <c r="N67" i="47"/>
  <c r="N71" i="47"/>
  <c r="N75" i="47"/>
  <c r="N79" i="47"/>
  <c r="N83" i="47"/>
  <c r="N87" i="47"/>
  <c r="N91" i="47"/>
  <c r="N95" i="47"/>
  <c r="N99" i="47"/>
  <c r="N103" i="47"/>
  <c r="N107" i="47"/>
  <c r="N111" i="47"/>
  <c r="N115" i="47"/>
  <c r="N119" i="47"/>
  <c r="N123" i="47"/>
  <c r="N127" i="47"/>
  <c r="N131" i="47"/>
  <c r="N135" i="47"/>
  <c r="N139" i="47"/>
  <c r="N143" i="47"/>
  <c r="N147" i="47"/>
  <c r="N151" i="47"/>
  <c r="N155" i="47"/>
  <c r="N159" i="47"/>
  <c r="N163" i="47"/>
  <c r="N167" i="47"/>
  <c r="N171" i="47"/>
  <c r="N175" i="47"/>
  <c r="N179" i="47"/>
  <c r="N183" i="47"/>
  <c r="N187" i="47"/>
  <c r="N191" i="47"/>
  <c r="N195" i="47"/>
  <c r="N199" i="47"/>
  <c r="N203" i="47"/>
  <c r="N207" i="47"/>
  <c r="N211" i="47"/>
  <c r="N215" i="47"/>
  <c r="N219" i="47"/>
  <c r="N223" i="47"/>
  <c r="N227" i="47"/>
  <c r="N231" i="47"/>
  <c r="N235" i="47"/>
  <c r="N239" i="47"/>
  <c r="N243" i="47"/>
  <c r="N247" i="47"/>
  <c r="N251" i="47"/>
  <c r="N255" i="47"/>
  <c r="N259" i="47"/>
  <c r="N263" i="47"/>
  <c r="N267" i="47"/>
  <c r="N271" i="47"/>
  <c r="N275" i="47"/>
  <c r="N279" i="47"/>
  <c r="N283" i="47"/>
  <c r="N287" i="47"/>
  <c r="N291" i="47"/>
  <c r="N295" i="47"/>
  <c r="N299" i="47"/>
  <c r="N303" i="47"/>
  <c r="N307" i="47"/>
  <c r="N311" i="47"/>
  <c r="N315" i="47"/>
  <c r="N319" i="47"/>
  <c r="N323" i="47"/>
  <c r="N327" i="47"/>
  <c r="N331" i="47"/>
  <c r="N335" i="47"/>
  <c r="N339" i="47"/>
  <c r="N343" i="47"/>
  <c r="N347" i="47"/>
  <c r="N351" i="47"/>
  <c r="N355" i="47"/>
  <c r="N359" i="47"/>
  <c r="N363" i="47"/>
  <c r="N367" i="47"/>
  <c r="N371" i="47"/>
  <c r="N375" i="47"/>
  <c r="N379" i="47"/>
  <c r="N383" i="47"/>
  <c r="N387" i="47"/>
  <c r="N391" i="47"/>
  <c r="N395" i="47"/>
  <c r="N399" i="47"/>
  <c r="N403" i="47"/>
  <c r="N407" i="47"/>
  <c r="N411" i="47"/>
  <c r="N415" i="47"/>
  <c r="N419" i="47"/>
  <c r="N423" i="47"/>
  <c r="N427" i="47"/>
  <c r="N431" i="47"/>
  <c r="N435" i="47"/>
  <c r="N439" i="47"/>
  <c r="N443" i="47"/>
  <c r="N447" i="47"/>
  <c r="N451" i="47"/>
  <c r="N455" i="47"/>
  <c r="N459" i="47"/>
  <c r="N463" i="47"/>
  <c r="N467" i="47"/>
  <c r="N471" i="47"/>
  <c r="N475" i="47"/>
  <c r="N479" i="47"/>
  <c r="N483" i="47"/>
  <c r="N487" i="47"/>
  <c r="N491" i="47"/>
  <c r="N495" i="47"/>
  <c r="N499" i="47"/>
  <c r="N503" i="47"/>
  <c r="N507" i="47"/>
  <c r="N511" i="47"/>
  <c r="N515" i="47"/>
  <c r="N519" i="47"/>
  <c r="N523" i="47"/>
  <c r="N527" i="47"/>
  <c r="N531" i="47"/>
  <c r="N535" i="47"/>
  <c r="N539" i="47"/>
  <c r="N543" i="47"/>
  <c r="N547" i="47"/>
  <c r="N551" i="47"/>
  <c r="N555" i="47"/>
  <c r="N559" i="47"/>
  <c r="N563" i="47"/>
  <c r="N567" i="47"/>
  <c r="N571" i="47"/>
  <c r="N575" i="47"/>
  <c r="N579" i="47"/>
  <c r="N893" i="47"/>
  <c r="N897" i="47"/>
  <c r="N901" i="47"/>
  <c r="N905" i="47"/>
  <c r="N646" i="47"/>
  <c r="N650" i="47"/>
  <c r="N654" i="47"/>
  <c r="N658" i="47"/>
  <c r="N662" i="47"/>
  <c r="N666" i="47"/>
  <c r="N670" i="47"/>
  <c r="N674" i="47"/>
  <c r="N678" i="47"/>
  <c r="N682" i="47"/>
  <c r="N686" i="47"/>
  <c r="N690" i="47"/>
  <c r="N694" i="47"/>
  <c r="N698" i="47"/>
  <c r="N702" i="47"/>
  <c r="N706" i="47"/>
  <c r="N710" i="47"/>
  <c r="N714" i="47"/>
  <c r="N718" i="47"/>
  <c r="N722" i="47"/>
  <c r="N726" i="47"/>
  <c r="N730" i="47"/>
  <c r="N734" i="47"/>
  <c r="N738" i="47"/>
  <c r="N742" i="47"/>
  <c r="N746" i="47"/>
  <c r="N750" i="47"/>
  <c r="N754" i="47"/>
  <c r="N758" i="47"/>
  <c r="N762" i="47"/>
  <c r="N766" i="47"/>
  <c r="N770" i="47"/>
  <c r="N774" i="47"/>
  <c r="N778" i="47"/>
  <c r="N782" i="47"/>
  <c r="N786" i="47"/>
  <c r="N790" i="47"/>
  <c r="N794" i="47"/>
  <c r="N798" i="47"/>
  <c r="N802" i="47"/>
  <c r="N806" i="47"/>
  <c r="N810" i="47"/>
  <c r="N814" i="47"/>
  <c r="N818" i="47"/>
  <c r="N822" i="47"/>
  <c r="N827" i="47"/>
  <c r="N831" i="47"/>
  <c r="N835" i="47"/>
  <c r="N839" i="47"/>
  <c r="N843" i="47"/>
  <c r="N847" i="47"/>
  <c r="N851" i="47"/>
  <c r="N855" i="47"/>
  <c r="N859" i="47"/>
  <c r="N863" i="47"/>
  <c r="N867" i="47"/>
  <c r="N871" i="47"/>
  <c r="N875" i="47"/>
  <c r="N879" i="47"/>
  <c r="N883" i="47"/>
  <c r="N887" i="47"/>
  <c r="N891" i="47"/>
  <c r="N895" i="47"/>
  <c r="N899" i="47"/>
  <c r="N903" i="47"/>
  <c r="N907" i="47"/>
  <c r="N911" i="47"/>
  <c r="N915" i="47"/>
  <c r="N919" i="47"/>
  <c r="N583" i="47"/>
  <c r="N587" i="47"/>
  <c r="N591" i="47"/>
  <c r="N595" i="47"/>
  <c r="N599" i="47"/>
  <c r="N603" i="47"/>
  <c r="N607" i="47"/>
  <c r="N611" i="47"/>
  <c r="N615" i="47"/>
  <c r="N619" i="47"/>
  <c r="N623" i="47"/>
  <c r="N627" i="47"/>
  <c r="N631" i="47"/>
  <c r="N635" i="47"/>
  <c r="N639" i="47"/>
  <c r="N643" i="47"/>
  <c r="N647" i="47"/>
  <c r="N651" i="47"/>
  <c r="N655" i="47"/>
  <c r="N659" i="47"/>
  <c r="N663" i="47"/>
  <c r="N667" i="47"/>
  <c r="N671" i="47"/>
  <c r="N675" i="47"/>
  <c r="N679" i="47"/>
  <c r="N683" i="47"/>
  <c r="N687" i="47"/>
  <c r="N691" i="47"/>
  <c r="N695" i="47"/>
  <c r="N699" i="47"/>
  <c r="N703" i="47"/>
  <c r="N707" i="47"/>
  <c r="N711" i="47"/>
  <c r="N715" i="47"/>
  <c r="N719" i="47"/>
  <c r="N723" i="47"/>
  <c r="N727" i="47"/>
  <c r="N731" i="47"/>
  <c r="N735" i="47"/>
  <c r="N739" i="47"/>
  <c r="N743" i="47"/>
  <c r="N747" i="47"/>
  <c r="N751" i="47"/>
  <c r="N755" i="47"/>
  <c r="N759" i="47"/>
  <c r="N763" i="47"/>
  <c r="N767" i="47"/>
  <c r="N771" i="47"/>
  <c r="N775" i="47"/>
  <c r="N779" i="47"/>
  <c r="N783" i="47"/>
  <c r="N787" i="47"/>
  <c r="N791" i="47"/>
  <c r="N795" i="47"/>
  <c r="N799" i="47"/>
  <c r="N803" i="47"/>
  <c r="N807" i="47"/>
  <c r="N811" i="47"/>
  <c r="N815" i="47"/>
  <c r="N819" i="47"/>
  <c r="N823" i="47"/>
  <c r="N824" i="47"/>
  <c r="N828" i="47"/>
  <c r="N832" i="47"/>
  <c r="N836" i="47"/>
  <c r="N840" i="47"/>
  <c r="N844" i="47"/>
  <c r="N848" i="47"/>
  <c r="N852" i="47"/>
  <c r="N856" i="47"/>
  <c r="N860" i="47"/>
  <c r="N864" i="47"/>
  <c r="N868" i="47"/>
  <c r="N872" i="47"/>
  <c r="N876" i="47"/>
  <c r="N880" i="47"/>
  <c r="N884" i="47"/>
  <c r="N888" i="47"/>
  <c r="N892" i="47"/>
  <c r="N896" i="47"/>
  <c r="N900" i="47"/>
  <c r="N904" i="47"/>
  <c r="N908" i="47"/>
  <c r="N912" i="47"/>
  <c r="N916" i="47"/>
  <c r="N909" i="47"/>
  <c r="N913" i="47"/>
  <c r="N917" i="47"/>
  <c r="N921" i="47"/>
  <c r="N925" i="47"/>
  <c r="N929" i="47"/>
  <c r="N933" i="47"/>
  <c r="N937" i="47"/>
  <c r="N941" i="47"/>
  <c r="N945" i="47"/>
  <c r="N949" i="47"/>
  <c r="N953" i="47"/>
  <c r="N957" i="47"/>
  <c r="N961" i="47"/>
  <c r="N965" i="47"/>
  <c r="N969" i="47"/>
  <c r="N973" i="47"/>
  <c r="N977" i="47"/>
  <c r="N981" i="47"/>
  <c r="N985" i="47"/>
  <c r="N989" i="47"/>
  <c r="N993" i="47"/>
  <c r="N997" i="47"/>
  <c r="N1001" i="47"/>
  <c r="N1005" i="47"/>
  <c r="N1009" i="47"/>
  <c r="N1013" i="47"/>
  <c r="N1017" i="47"/>
  <c r="N1021" i="47"/>
  <c r="N1025" i="47"/>
  <c r="N1029" i="47"/>
  <c r="N1033" i="47"/>
  <c r="N1037" i="47"/>
  <c r="N1041" i="47"/>
  <c r="N1045" i="47"/>
  <c r="N1049" i="47"/>
  <c r="N1053" i="47"/>
  <c r="N1057" i="47"/>
  <c r="N1061" i="47"/>
  <c r="N1065" i="47"/>
  <c r="N1069" i="47"/>
  <c r="N1073" i="47"/>
  <c r="N1077" i="47"/>
  <c r="N1081" i="47"/>
  <c r="N1085" i="47"/>
  <c r="N1089" i="47"/>
  <c r="N1093" i="47"/>
  <c r="N1097" i="47"/>
  <c r="N1101" i="47"/>
  <c r="N1105" i="47"/>
  <c r="N1109" i="47"/>
  <c r="N1113" i="47"/>
  <c r="N1117" i="47"/>
  <c r="N1121" i="47"/>
  <c r="N1125" i="47"/>
  <c r="N1129" i="47"/>
  <c r="N1133" i="47"/>
  <c r="N1137" i="47"/>
  <c r="N1141" i="47"/>
  <c r="N1145" i="47"/>
  <c r="N1149" i="47"/>
  <c r="N1153" i="47"/>
  <c r="N1157" i="47"/>
  <c r="N1161" i="47"/>
  <c r="N1165" i="47"/>
  <c r="N1169" i="47"/>
  <c r="N1173" i="47"/>
  <c r="N1177" i="47"/>
  <c r="N1181" i="47"/>
  <c r="N1185" i="47"/>
  <c r="N1189" i="47"/>
  <c r="N1193" i="47"/>
  <c r="N1197" i="47"/>
  <c r="N1201" i="47"/>
  <c r="N1205" i="47"/>
  <c r="N1209" i="47"/>
  <c r="N1213" i="47"/>
  <c r="N1217" i="47"/>
  <c r="N1221" i="47"/>
  <c r="N1225" i="47"/>
  <c r="N1229" i="47"/>
  <c r="N1233" i="47"/>
  <c r="N1237" i="47"/>
  <c r="N1241" i="47"/>
  <c r="N1245" i="47"/>
  <c r="N923" i="47"/>
  <c r="N927" i="47"/>
  <c r="N931" i="47"/>
  <c r="N935" i="47"/>
  <c r="N939" i="47"/>
  <c r="N943" i="47"/>
  <c r="N947" i="47"/>
  <c r="N951" i="47"/>
  <c r="N955" i="47"/>
  <c r="N959" i="47"/>
  <c r="N963" i="47"/>
  <c r="N967" i="47"/>
  <c r="N971" i="47"/>
  <c r="N975" i="47"/>
  <c r="N979" i="47"/>
  <c r="N983" i="47"/>
  <c r="N987" i="47"/>
  <c r="N991" i="47"/>
  <c r="N995" i="47"/>
  <c r="N999" i="47"/>
  <c r="N1003" i="47"/>
  <c r="N1007" i="47"/>
  <c r="N1011" i="47"/>
  <c r="N1015" i="47"/>
  <c r="N1019" i="47"/>
  <c r="N1023" i="47"/>
  <c r="N1027" i="47"/>
  <c r="N1031" i="47"/>
  <c r="N1035" i="47"/>
  <c r="N1039" i="47"/>
  <c r="N1043" i="47"/>
  <c r="N1047" i="47"/>
  <c r="N1051" i="47"/>
  <c r="N1055" i="47"/>
  <c r="N1059" i="47"/>
  <c r="N1063" i="47"/>
  <c r="N1067" i="47"/>
  <c r="N1071" i="47"/>
  <c r="N1075" i="47"/>
  <c r="N1079" i="47"/>
  <c r="N1083" i="47"/>
  <c r="N1087" i="47"/>
  <c r="N1091" i="47"/>
  <c r="N1095" i="47"/>
  <c r="N1099" i="47"/>
  <c r="N1103" i="47"/>
  <c r="N1107" i="47"/>
  <c r="N1111" i="47"/>
  <c r="N1115" i="47"/>
  <c r="N1119" i="47"/>
  <c r="N1123" i="47"/>
  <c r="N1127" i="47"/>
  <c r="N1131" i="47"/>
  <c r="N1135" i="47"/>
  <c r="N1139" i="47"/>
  <c r="N1143" i="47"/>
  <c r="N1147" i="47"/>
  <c r="N1151" i="47"/>
  <c r="N1155" i="47"/>
  <c r="N1159" i="47"/>
  <c r="N1163" i="47"/>
  <c r="N1167" i="47"/>
  <c r="N1171" i="47"/>
  <c r="N1175" i="47"/>
  <c r="N1179" i="47"/>
  <c r="N1183" i="47"/>
  <c r="N1187" i="47"/>
  <c r="N1191" i="47"/>
  <c r="N1195" i="47"/>
  <c r="N1199" i="47"/>
  <c r="N1203" i="47"/>
  <c r="N1207" i="47"/>
  <c r="N1211" i="47"/>
  <c r="N1215" i="47"/>
  <c r="N1219" i="47"/>
  <c r="N1223" i="47"/>
  <c r="N1227" i="47"/>
  <c r="N1231" i="47"/>
  <c r="N1235" i="47"/>
  <c r="N1239" i="47"/>
  <c r="N1243" i="47"/>
  <c r="N1247" i="47"/>
  <c r="N1251" i="47"/>
  <c r="N1255" i="47"/>
  <c r="N1259" i="47"/>
  <c r="N1263" i="47"/>
  <c r="N1267" i="47"/>
  <c r="N1271" i="47"/>
  <c r="N1275" i="47"/>
  <c r="N1279" i="47"/>
  <c r="N1283" i="47"/>
  <c r="N1287" i="47"/>
  <c r="N1291" i="47"/>
  <c r="N1295" i="47"/>
  <c r="N1299" i="47"/>
  <c r="N1303" i="47"/>
  <c r="N1307" i="47"/>
  <c r="N1311" i="47"/>
  <c r="N1315" i="47"/>
  <c r="N1319" i="47"/>
  <c r="N1323" i="47"/>
  <c r="N1327" i="47"/>
  <c r="N1331" i="47"/>
  <c r="N1335" i="47"/>
  <c r="N1339" i="47"/>
  <c r="N1343" i="47"/>
  <c r="N1347" i="47"/>
  <c r="N920" i="47"/>
  <c r="N924" i="47"/>
  <c r="N928" i="47"/>
  <c r="N932" i="47"/>
  <c r="N936" i="47"/>
  <c r="N940" i="47"/>
  <c r="N944" i="47"/>
  <c r="N948" i="47"/>
  <c r="N952" i="47"/>
  <c r="N956" i="47"/>
  <c r="N960" i="47"/>
  <c r="N964" i="47"/>
  <c r="N968" i="47"/>
  <c r="N972" i="47"/>
  <c r="N976" i="47"/>
  <c r="N980" i="47"/>
  <c r="N984" i="47"/>
  <c r="N988" i="47"/>
  <c r="N992" i="47"/>
  <c r="N996" i="47"/>
  <c r="N1000" i="47"/>
  <c r="N1004" i="47"/>
  <c r="N1008" i="47"/>
  <c r="N1012" i="47"/>
  <c r="N1016" i="47"/>
  <c r="N1020" i="47"/>
  <c r="N1024" i="47"/>
  <c r="N1028" i="47"/>
  <c r="N1032" i="47"/>
  <c r="N1036" i="47"/>
  <c r="N1040" i="47"/>
  <c r="N1044" i="47"/>
  <c r="N1048" i="47"/>
  <c r="N1056" i="47"/>
  <c r="N1252" i="47"/>
  <c r="N1256" i="47"/>
  <c r="N1260" i="47"/>
  <c r="N1264" i="47"/>
  <c r="N1268" i="47"/>
  <c r="N1272" i="47"/>
  <c r="N1276" i="47"/>
  <c r="N1280" i="47"/>
  <c r="N1284" i="47"/>
  <c r="N1288" i="47"/>
  <c r="N1292" i="47"/>
  <c r="N1296" i="47"/>
  <c r="N1300" i="47"/>
  <c r="N1304" i="47"/>
  <c r="N1308" i="47"/>
  <c r="N1312" i="47"/>
  <c r="N1316" i="47"/>
  <c r="N1320" i="47"/>
  <c r="N1324" i="47"/>
  <c r="N1328" i="47"/>
  <c r="N1332" i="47"/>
  <c r="N1336" i="47"/>
  <c r="N1340" i="47"/>
  <c r="N1344" i="47"/>
  <c r="N1351" i="47"/>
  <c r="N1355" i="47"/>
  <c r="N1359" i="47"/>
  <c r="N1363" i="47"/>
  <c r="N1367" i="47"/>
  <c r="N1371" i="47"/>
  <c r="N1375" i="47"/>
  <c r="N1379" i="47"/>
  <c r="N1383" i="47"/>
  <c r="N1387" i="47"/>
  <c r="N1391" i="47"/>
  <c r="N1395" i="47"/>
  <c r="N1399" i="47"/>
  <c r="N1403" i="47"/>
  <c r="N1407" i="47"/>
  <c r="N1411" i="47"/>
  <c r="N1415" i="47"/>
  <c r="N1419" i="47"/>
  <c r="N1423" i="47"/>
  <c r="N1427" i="47"/>
  <c r="N1431" i="47"/>
  <c r="N1435" i="47"/>
  <c r="N1439" i="47"/>
  <c r="N1443" i="47"/>
  <c r="N1447" i="47"/>
  <c r="N1451" i="47"/>
  <c r="N1455" i="47"/>
  <c r="N1459" i="47"/>
  <c r="N1463" i="47"/>
  <c r="N1467" i="47"/>
  <c r="N1471" i="47"/>
  <c r="N1475" i="47"/>
  <c r="N1479" i="47"/>
  <c r="N1483" i="47"/>
  <c r="N1487" i="47"/>
  <c r="N1491" i="47"/>
  <c r="N1495" i="47"/>
  <c r="N1499" i="47"/>
  <c r="N1503" i="47"/>
  <c r="N1507" i="47"/>
  <c r="N1511" i="47"/>
  <c r="N1515" i="47"/>
  <c r="N1519" i="47"/>
  <c r="N1523" i="47"/>
  <c r="N1527" i="47"/>
  <c r="N1531" i="47"/>
  <c r="N1535" i="47"/>
  <c r="N1539" i="47"/>
  <c r="N1543" i="47"/>
  <c r="N1547" i="47"/>
  <c r="N1551" i="47"/>
  <c r="N1555" i="47"/>
  <c r="N1559" i="47"/>
  <c r="N1563" i="47"/>
  <c r="N1567" i="47"/>
  <c r="N1571" i="47"/>
  <c r="N1575" i="47"/>
  <c r="N1579" i="47"/>
  <c r="N1583" i="47"/>
  <c r="N1587" i="47"/>
  <c r="N1591" i="47"/>
  <c r="N1595" i="47"/>
  <c r="N1599" i="47"/>
  <c r="N1603" i="47"/>
  <c r="N1607" i="47"/>
  <c r="N1611" i="47"/>
  <c r="N1615" i="47"/>
  <c r="N1619" i="47"/>
  <c r="N1623" i="47"/>
  <c r="N1627" i="47"/>
  <c r="N1631" i="47"/>
  <c r="N1635" i="47"/>
  <c r="N1639" i="47"/>
  <c r="N1643" i="47"/>
  <c r="N1647" i="47"/>
  <c r="N1651" i="47"/>
  <c r="N1655" i="47"/>
  <c r="N1659" i="47"/>
  <c r="N1663" i="47"/>
  <c r="N1667" i="47"/>
  <c r="N1671" i="47"/>
  <c r="N1675" i="47"/>
  <c r="N1679" i="47"/>
  <c r="N1683" i="47"/>
  <c r="N1687" i="47"/>
  <c r="N1348" i="47"/>
  <c r="N1356" i="47"/>
  <c r="N1376" i="47"/>
  <c r="N1380" i="47"/>
  <c r="N1384" i="47"/>
  <c r="N1388" i="47"/>
  <c r="N1392" i="47"/>
  <c r="N1396" i="47"/>
  <c r="N1400" i="47"/>
  <c r="N1404" i="47"/>
  <c r="N1408" i="47"/>
  <c r="N1412" i="47"/>
  <c r="N1416" i="47"/>
  <c r="N1420" i="47"/>
  <c r="N1424" i="47"/>
  <c r="N1428" i="47"/>
  <c r="N1432" i="47"/>
  <c r="N1436" i="47"/>
  <c r="N1440" i="47"/>
  <c r="N1444" i="47"/>
  <c r="N1448" i="47"/>
  <c r="N1452" i="47"/>
  <c r="N1456" i="47"/>
  <c r="N1460" i="47"/>
  <c r="N1464" i="47"/>
  <c r="N1468" i="47"/>
  <c r="N1472" i="47"/>
  <c r="N1476" i="47"/>
  <c r="N1480" i="47"/>
  <c r="N1484" i="47"/>
  <c r="N1488" i="47"/>
  <c r="N1492" i="47"/>
  <c r="N1496" i="47"/>
  <c r="N1500" i="47"/>
  <c r="N1504" i="47"/>
  <c r="N1508" i="47"/>
  <c r="N1512" i="47"/>
  <c r="N1516" i="47"/>
  <c r="N1520" i="47"/>
  <c r="N1524" i="47"/>
  <c r="N1528" i="47"/>
  <c r="N1532" i="47"/>
  <c r="N1536" i="47"/>
  <c r="N1540" i="47"/>
  <c r="N1544" i="47"/>
  <c r="N1548" i="47"/>
  <c r="N1552" i="47"/>
  <c r="N1556" i="47"/>
  <c r="N1560" i="47"/>
  <c r="N1564" i="47"/>
  <c r="N1568" i="47"/>
  <c r="N1572" i="47"/>
  <c r="N1576" i="47"/>
  <c r="N1580" i="47"/>
  <c r="N1584" i="47"/>
  <c r="N1588" i="47"/>
  <c r="N1592" i="47"/>
  <c r="N1596" i="47"/>
  <c r="N1600" i="47"/>
  <c r="N1604" i="47"/>
  <c r="N1608" i="47"/>
  <c r="N1612" i="47"/>
  <c r="N1616" i="47"/>
  <c r="N1620" i="47"/>
  <c r="N1624" i="47"/>
  <c r="N1628" i="47"/>
  <c r="N1632" i="47"/>
  <c r="N1636" i="47"/>
  <c r="N1640" i="47"/>
  <c r="N1644" i="47"/>
  <c r="N1648" i="47"/>
  <c r="N1652" i="47"/>
  <c r="N1656" i="47"/>
  <c r="N1660" i="47"/>
  <c r="N1664" i="47"/>
  <c r="N1668" i="47"/>
  <c r="N1672" i="47"/>
  <c r="N1676" i="47"/>
  <c r="N1680" i="47"/>
  <c r="N1684" i="47"/>
  <c r="BME1" i="55"/>
  <c r="N1687" i="49"/>
  <c r="F473" i="49" s="1"/>
  <c r="N1686" i="49"/>
  <c r="E473" i="49" s="1"/>
  <c r="N1685" i="49"/>
  <c r="D473" i="49" s="1"/>
  <c r="N1684" i="49"/>
  <c r="C473" i="49" s="1"/>
  <c r="N1683" i="49"/>
  <c r="B473" i="49" s="1"/>
  <c r="N1682" i="49"/>
  <c r="F472" i="49" s="1"/>
  <c r="N1681" i="49"/>
  <c r="E472" i="49" s="1"/>
  <c r="N1680" i="49"/>
  <c r="D472" i="49" s="1"/>
  <c r="N1679" i="49"/>
  <c r="C472" i="49" s="1"/>
  <c r="N1678" i="49"/>
  <c r="B472" i="49" s="1"/>
  <c r="N1677" i="49"/>
  <c r="F471" i="49" s="1"/>
  <c r="N1676" i="49"/>
  <c r="E471" i="49" s="1"/>
  <c r="N1675" i="49"/>
  <c r="D471" i="49" s="1"/>
  <c r="N1674" i="49"/>
  <c r="C471" i="49" s="1"/>
  <c r="N1673" i="49"/>
  <c r="B471" i="49" s="1"/>
  <c r="N1672" i="49"/>
  <c r="F470" i="49" s="1"/>
  <c r="N1671" i="49"/>
  <c r="E470" i="49" s="1"/>
  <c r="N1670" i="49"/>
  <c r="D470" i="49" s="1"/>
  <c r="N1669" i="49"/>
  <c r="C470" i="49" s="1"/>
  <c r="N1668" i="49"/>
  <c r="B470" i="49" s="1"/>
  <c r="N1667" i="49"/>
  <c r="F469" i="49" s="1"/>
  <c r="N1666" i="49"/>
  <c r="E469" i="49" s="1"/>
  <c r="N1665" i="49"/>
  <c r="D469" i="49" s="1"/>
  <c r="N1664" i="49"/>
  <c r="C469" i="49" s="1"/>
  <c r="N1663" i="49"/>
  <c r="B469" i="49" s="1"/>
  <c r="N1662" i="49"/>
  <c r="E465" i="49" s="1"/>
  <c r="N1661" i="49"/>
  <c r="D465" i="49" s="1"/>
  <c r="N1660" i="49"/>
  <c r="C465" i="49" s="1"/>
  <c r="N1659" i="49"/>
  <c r="B465" i="49" s="1"/>
  <c r="N1658" i="49"/>
  <c r="E464" i="49" s="1"/>
  <c r="N1657" i="49"/>
  <c r="D464" i="49" s="1"/>
  <c r="N1656" i="49"/>
  <c r="C464" i="49" s="1"/>
  <c r="N1655" i="49"/>
  <c r="B464" i="49" s="1"/>
  <c r="N1654" i="49"/>
  <c r="E463" i="49" s="1"/>
  <c r="N1653" i="49"/>
  <c r="D463" i="49" s="1"/>
  <c r="N1652" i="49"/>
  <c r="C463" i="49" s="1"/>
  <c r="N1651" i="49"/>
  <c r="B463" i="49" s="1"/>
  <c r="N1650" i="49"/>
  <c r="E462" i="49" s="1"/>
  <c r="N1649" i="49"/>
  <c r="D462" i="49" s="1"/>
  <c r="N1648" i="49"/>
  <c r="C462" i="49" s="1"/>
  <c r="N1647" i="49"/>
  <c r="B462" i="49" s="1"/>
  <c r="N1646" i="49"/>
  <c r="E461" i="49" s="1"/>
  <c r="N1645" i="49"/>
  <c r="D461" i="49" s="1"/>
  <c r="N1644" i="49"/>
  <c r="C461" i="49" s="1"/>
  <c r="N1643" i="49"/>
  <c r="B461" i="49" s="1"/>
  <c r="N1642" i="49"/>
  <c r="E460" i="49" s="1"/>
  <c r="N1641" i="49"/>
  <c r="D460" i="49" s="1"/>
  <c r="N1640" i="49"/>
  <c r="C460" i="49" s="1"/>
  <c r="N1639" i="49"/>
  <c r="B460" i="49" s="1"/>
  <c r="N1638" i="49"/>
  <c r="F456" i="49" s="1"/>
  <c r="N1637" i="49"/>
  <c r="E456" i="49" s="1"/>
  <c r="N1636" i="49"/>
  <c r="D456" i="49" s="1"/>
  <c r="N1635" i="49"/>
  <c r="C456" i="49" s="1"/>
  <c r="N1634" i="49"/>
  <c r="B456" i="49" s="1"/>
  <c r="N1633" i="49"/>
  <c r="F455" i="49" s="1"/>
  <c r="N1632" i="49"/>
  <c r="E455" i="49" s="1"/>
  <c r="N1631" i="49"/>
  <c r="D455" i="49" s="1"/>
  <c r="N1630" i="49"/>
  <c r="C455" i="49" s="1"/>
  <c r="N1629" i="49"/>
  <c r="B455" i="49" s="1"/>
  <c r="N1628" i="49"/>
  <c r="F454" i="49" s="1"/>
  <c r="N1627" i="49"/>
  <c r="E454" i="49" s="1"/>
  <c r="N1626" i="49"/>
  <c r="D454" i="49" s="1"/>
  <c r="N1625" i="49"/>
  <c r="C454" i="49" s="1"/>
  <c r="N1624" i="49"/>
  <c r="B454" i="49" s="1"/>
  <c r="N1623" i="49"/>
  <c r="F453" i="49" s="1"/>
  <c r="N1622" i="49"/>
  <c r="E453" i="49" s="1"/>
  <c r="N1621" i="49"/>
  <c r="D453" i="49" s="1"/>
  <c r="N1620" i="49"/>
  <c r="C453" i="49" s="1"/>
  <c r="N1619" i="49"/>
  <c r="B453" i="49" s="1"/>
  <c r="N1618" i="49"/>
  <c r="F452" i="49" s="1"/>
  <c r="N1617" i="49"/>
  <c r="E452" i="49" s="1"/>
  <c r="N1616" i="49"/>
  <c r="D452" i="49" s="1"/>
  <c r="N1615" i="49"/>
  <c r="C452" i="49" s="1"/>
  <c r="N1614" i="49"/>
  <c r="B452" i="49" s="1"/>
  <c r="N1613" i="49"/>
  <c r="F451" i="49" s="1"/>
  <c r="N1612" i="49"/>
  <c r="E451" i="49" s="1"/>
  <c r="N1611" i="49"/>
  <c r="D451" i="49" s="1"/>
  <c r="N1610" i="49"/>
  <c r="C451" i="49" s="1"/>
  <c r="N1609" i="49"/>
  <c r="B451" i="49" s="1"/>
  <c r="N1608" i="49"/>
  <c r="F450" i="49" s="1"/>
  <c r="N1607" i="49"/>
  <c r="E450" i="49" s="1"/>
  <c r="N1606" i="49"/>
  <c r="D450" i="49" s="1"/>
  <c r="N1605" i="49"/>
  <c r="C450" i="49" s="1"/>
  <c r="N1604" i="49"/>
  <c r="B450" i="49" s="1"/>
  <c r="N1603" i="49"/>
  <c r="N1602" i="49"/>
  <c r="N1601" i="49"/>
  <c r="N1600" i="49"/>
  <c r="N1599" i="49"/>
  <c r="N1598" i="49"/>
  <c r="F448" i="49" s="1"/>
  <c r="N1597" i="49"/>
  <c r="E448" i="49" s="1"/>
  <c r="N1596" i="49"/>
  <c r="D448" i="49" s="1"/>
  <c r="N1595" i="49"/>
  <c r="C448" i="49" s="1"/>
  <c r="N1594" i="49"/>
  <c r="B448" i="49" s="1"/>
  <c r="N1593" i="49"/>
  <c r="F447" i="49" s="1"/>
  <c r="N1592" i="49"/>
  <c r="E447" i="49" s="1"/>
  <c r="N1591" i="49"/>
  <c r="D447" i="49" s="1"/>
  <c r="N1590" i="49"/>
  <c r="C447" i="49" s="1"/>
  <c r="N1589" i="49"/>
  <c r="B447" i="49" s="1"/>
  <c r="N1588" i="49"/>
  <c r="F446" i="49" s="1"/>
  <c r="N1587" i="49"/>
  <c r="E446" i="49" s="1"/>
  <c r="N1586" i="49"/>
  <c r="D446" i="49" s="1"/>
  <c r="N1585" i="49"/>
  <c r="C446" i="49" s="1"/>
  <c r="N1584" i="49"/>
  <c r="B446" i="49" s="1"/>
  <c r="N1583" i="49"/>
  <c r="F445" i="49" s="1"/>
  <c r="N1582" i="49"/>
  <c r="E445" i="49" s="1"/>
  <c r="N1581" i="49"/>
  <c r="D445" i="49" s="1"/>
  <c r="N1580" i="49"/>
  <c r="C445" i="49" s="1"/>
  <c r="N1579" i="49"/>
  <c r="B445" i="49" s="1"/>
  <c r="N1578" i="49"/>
  <c r="F444" i="49" s="1"/>
  <c r="N1577" i="49"/>
  <c r="E444" i="49" s="1"/>
  <c r="N1576" i="49"/>
  <c r="D444" i="49" s="1"/>
  <c r="N1575" i="49"/>
  <c r="C444" i="49" s="1"/>
  <c r="N1574" i="49"/>
  <c r="B444" i="49" s="1"/>
  <c r="N1573" i="49"/>
  <c r="F443" i="49" s="1"/>
  <c r="N1572" i="49"/>
  <c r="E443" i="49" s="1"/>
  <c r="N1571" i="49"/>
  <c r="D443" i="49" s="1"/>
  <c r="N1570" i="49"/>
  <c r="C443" i="49" s="1"/>
  <c r="N1569" i="49"/>
  <c r="B443" i="49" s="1"/>
  <c r="N1568" i="49"/>
  <c r="F442" i="49" s="1"/>
  <c r="N1567" i="49"/>
  <c r="E442" i="49" s="1"/>
  <c r="N1566" i="49"/>
  <c r="D442" i="49" s="1"/>
  <c r="N1565" i="49"/>
  <c r="C442" i="49" s="1"/>
  <c r="N1564" i="49"/>
  <c r="B442" i="49" s="1"/>
  <c r="N1563" i="49"/>
  <c r="N1562" i="49"/>
  <c r="N1561" i="49"/>
  <c r="N1560" i="49"/>
  <c r="N1559" i="49"/>
  <c r="N1558" i="49"/>
  <c r="F440" i="49" s="1"/>
  <c r="N1557" i="49"/>
  <c r="E440" i="49" s="1"/>
  <c r="N1556" i="49"/>
  <c r="D440" i="49" s="1"/>
  <c r="N1555" i="49"/>
  <c r="C440" i="49" s="1"/>
  <c r="N1554" i="49"/>
  <c r="B440" i="49" s="1"/>
  <c r="N1553" i="49"/>
  <c r="F439" i="49" s="1"/>
  <c r="N1552" i="49"/>
  <c r="E439" i="49" s="1"/>
  <c r="N1551" i="49"/>
  <c r="D439" i="49" s="1"/>
  <c r="N1550" i="49"/>
  <c r="C439" i="49" s="1"/>
  <c r="N1549" i="49"/>
  <c r="B439" i="49" s="1"/>
  <c r="N1548" i="49"/>
  <c r="F438" i="49" s="1"/>
  <c r="N1547" i="49"/>
  <c r="E438" i="49" s="1"/>
  <c r="N1546" i="49"/>
  <c r="D438" i="49" s="1"/>
  <c r="N1545" i="49"/>
  <c r="C438" i="49" s="1"/>
  <c r="N1544" i="49"/>
  <c r="B438" i="49" s="1"/>
  <c r="N1543" i="49"/>
  <c r="F437" i="49" s="1"/>
  <c r="N1542" i="49"/>
  <c r="E437" i="49" s="1"/>
  <c r="N1541" i="49"/>
  <c r="D437" i="49" s="1"/>
  <c r="N1540" i="49"/>
  <c r="C437" i="49" s="1"/>
  <c r="N1539" i="49"/>
  <c r="B437" i="49" s="1"/>
  <c r="N1538" i="49"/>
  <c r="F436" i="49" s="1"/>
  <c r="N1537" i="49"/>
  <c r="E436" i="49" s="1"/>
  <c r="N1536" i="49"/>
  <c r="D436" i="49" s="1"/>
  <c r="N1535" i="49"/>
  <c r="C436" i="49" s="1"/>
  <c r="N1534" i="49"/>
  <c r="B436" i="49" s="1"/>
  <c r="N1533" i="49"/>
  <c r="F435" i="49" s="1"/>
  <c r="N1532" i="49"/>
  <c r="E435" i="49" s="1"/>
  <c r="N1531" i="49"/>
  <c r="D435" i="49" s="1"/>
  <c r="N1530" i="49"/>
  <c r="C435" i="49" s="1"/>
  <c r="N1529" i="49"/>
  <c r="B435" i="49" s="1"/>
  <c r="N1528" i="49"/>
  <c r="F434" i="49" s="1"/>
  <c r="N1527" i="49"/>
  <c r="E434" i="49" s="1"/>
  <c r="N1526" i="49"/>
  <c r="D434" i="49" s="1"/>
  <c r="N1525" i="49"/>
  <c r="C434" i="49" s="1"/>
  <c r="N1524" i="49"/>
  <c r="B434" i="49" s="1"/>
  <c r="N1523" i="49"/>
  <c r="F433" i="49" s="1"/>
  <c r="N1522" i="49"/>
  <c r="E433" i="49" s="1"/>
  <c r="N1521" i="49"/>
  <c r="D433" i="49" s="1"/>
  <c r="N1520" i="49"/>
  <c r="C433" i="49" s="1"/>
  <c r="N1519" i="49"/>
  <c r="B433" i="49" s="1"/>
  <c r="N1518" i="49"/>
  <c r="F432" i="49" s="1"/>
  <c r="N1517" i="49"/>
  <c r="E432" i="49" s="1"/>
  <c r="N1516" i="49"/>
  <c r="D432" i="49" s="1"/>
  <c r="N1515" i="49"/>
  <c r="C432" i="49" s="1"/>
  <c r="N1514" i="49"/>
  <c r="B432" i="49" s="1"/>
  <c r="N1513" i="49"/>
  <c r="N1512" i="49"/>
  <c r="N1511" i="49"/>
  <c r="N1510" i="49"/>
  <c r="N1509" i="49"/>
  <c r="N1508" i="49"/>
  <c r="F430" i="49" s="1"/>
  <c r="N1507" i="49"/>
  <c r="E430" i="49" s="1"/>
  <c r="N1506" i="49"/>
  <c r="D430" i="49" s="1"/>
  <c r="N1505" i="49"/>
  <c r="C430" i="49" s="1"/>
  <c r="N1504" i="49"/>
  <c r="B430" i="49" s="1"/>
  <c r="N1503" i="49"/>
  <c r="F429" i="49" s="1"/>
  <c r="N1502" i="49"/>
  <c r="E429" i="49" s="1"/>
  <c r="N1501" i="49"/>
  <c r="D429" i="49" s="1"/>
  <c r="N1500" i="49"/>
  <c r="C429" i="49" s="1"/>
  <c r="N1499" i="49"/>
  <c r="B429" i="49" s="1"/>
  <c r="N1498" i="49"/>
  <c r="F428" i="49" s="1"/>
  <c r="N1497" i="49"/>
  <c r="E428" i="49" s="1"/>
  <c r="N1496" i="49"/>
  <c r="D428" i="49" s="1"/>
  <c r="N1495" i="49"/>
  <c r="C428" i="49" s="1"/>
  <c r="N1494" i="49"/>
  <c r="B428" i="49" s="1"/>
  <c r="N1493" i="49"/>
  <c r="F427" i="49" s="1"/>
  <c r="N1492" i="49"/>
  <c r="E427" i="49" s="1"/>
  <c r="N1491" i="49"/>
  <c r="D427" i="49" s="1"/>
  <c r="N1490" i="49"/>
  <c r="C427" i="49" s="1"/>
  <c r="N1489" i="49"/>
  <c r="B427" i="49" s="1"/>
  <c r="N1488" i="49"/>
  <c r="F426" i="49" s="1"/>
  <c r="N1487" i="49"/>
  <c r="E426" i="49" s="1"/>
  <c r="N1486" i="49"/>
  <c r="D426" i="49" s="1"/>
  <c r="N1485" i="49"/>
  <c r="C426" i="49" s="1"/>
  <c r="N1484" i="49"/>
  <c r="B426" i="49" s="1"/>
  <c r="N1483" i="49"/>
  <c r="F425" i="49" s="1"/>
  <c r="N1482" i="49"/>
  <c r="E425" i="49" s="1"/>
  <c r="N1481" i="49"/>
  <c r="D425" i="49" s="1"/>
  <c r="N1480" i="49"/>
  <c r="C425" i="49" s="1"/>
  <c r="N1479" i="49"/>
  <c r="B425" i="49" s="1"/>
  <c r="N1478" i="49"/>
  <c r="F424" i="49" s="1"/>
  <c r="N1477" i="49"/>
  <c r="E424" i="49" s="1"/>
  <c r="N1476" i="49"/>
  <c r="D424" i="49" s="1"/>
  <c r="N1475" i="49"/>
  <c r="C424" i="49" s="1"/>
  <c r="N1474" i="49"/>
  <c r="B424" i="49" s="1"/>
  <c r="N1473" i="49"/>
  <c r="F423" i="49" s="1"/>
  <c r="N1472" i="49"/>
  <c r="E423" i="49" s="1"/>
  <c r="N1471" i="49"/>
  <c r="D423" i="49" s="1"/>
  <c r="N1470" i="49"/>
  <c r="C423" i="49" s="1"/>
  <c r="N1469" i="49"/>
  <c r="B423" i="49" s="1"/>
  <c r="N1468" i="49"/>
  <c r="F422" i="49" s="1"/>
  <c r="N1467" i="49"/>
  <c r="E422" i="49" s="1"/>
  <c r="N1466" i="49"/>
  <c r="D422" i="49" s="1"/>
  <c r="N1465" i="49"/>
  <c r="C422" i="49" s="1"/>
  <c r="N1464" i="49"/>
  <c r="B422" i="49" s="1"/>
  <c r="N1463" i="49"/>
  <c r="F421" i="49" s="1"/>
  <c r="N1462" i="49"/>
  <c r="E421" i="49" s="1"/>
  <c r="N1461" i="49"/>
  <c r="D421" i="49" s="1"/>
  <c r="N1460" i="49"/>
  <c r="C421" i="49" s="1"/>
  <c r="N1459" i="49"/>
  <c r="B421" i="49" s="1"/>
  <c r="N1458" i="49"/>
  <c r="F420" i="49" s="1"/>
  <c r="N1457" i="49"/>
  <c r="E420" i="49" s="1"/>
  <c r="N1456" i="49"/>
  <c r="D420" i="49" s="1"/>
  <c r="N1455" i="49"/>
  <c r="C420" i="49" s="1"/>
  <c r="N1454" i="49"/>
  <c r="B420" i="49" s="1"/>
  <c r="N1453" i="49"/>
  <c r="N1452" i="49"/>
  <c r="N1451" i="49"/>
  <c r="N1450" i="49"/>
  <c r="N1449" i="49"/>
  <c r="N1448" i="49"/>
  <c r="F415" i="49" s="1"/>
  <c r="N1447" i="49"/>
  <c r="E415" i="49" s="1"/>
  <c r="N1446" i="49"/>
  <c r="D415" i="49" s="1"/>
  <c r="N1445" i="49"/>
  <c r="C415" i="49" s="1"/>
  <c r="N1444" i="49"/>
  <c r="B415" i="49" s="1"/>
  <c r="N1443" i="49"/>
  <c r="F414" i="49" s="1"/>
  <c r="N1442" i="49"/>
  <c r="E414" i="49" s="1"/>
  <c r="N1441" i="49"/>
  <c r="D414" i="49" s="1"/>
  <c r="N1440" i="49"/>
  <c r="C414" i="49" s="1"/>
  <c r="N1439" i="49"/>
  <c r="B414" i="49" s="1"/>
  <c r="N1438" i="49"/>
  <c r="F413" i="49" s="1"/>
  <c r="N1437" i="49"/>
  <c r="E413" i="49" s="1"/>
  <c r="N1436" i="49"/>
  <c r="D413" i="49" s="1"/>
  <c r="N1435" i="49"/>
  <c r="C413" i="49" s="1"/>
  <c r="N1434" i="49"/>
  <c r="B413" i="49" s="1"/>
  <c r="N1433" i="49"/>
  <c r="F412" i="49" s="1"/>
  <c r="N1432" i="49"/>
  <c r="E412" i="49" s="1"/>
  <c r="N1431" i="49"/>
  <c r="D412" i="49" s="1"/>
  <c r="N1430" i="49"/>
  <c r="C412" i="49" s="1"/>
  <c r="N1429" i="49"/>
  <c r="B412" i="49" s="1"/>
  <c r="N1428" i="49"/>
  <c r="F411" i="49" s="1"/>
  <c r="N1427" i="49"/>
  <c r="E411" i="49" s="1"/>
  <c r="N1426" i="49"/>
  <c r="D411" i="49" s="1"/>
  <c r="N1425" i="49"/>
  <c r="C411" i="49" s="1"/>
  <c r="N1424" i="49"/>
  <c r="B411" i="49" s="1"/>
  <c r="N1423" i="49"/>
  <c r="F410" i="49" s="1"/>
  <c r="N1422" i="49"/>
  <c r="E410" i="49" s="1"/>
  <c r="N1421" i="49"/>
  <c r="D410" i="49" s="1"/>
  <c r="N1420" i="49"/>
  <c r="C410" i="49" s="1"/>
  <c r="N1419" i="49"/>
  <c r="B410" i="49" s="1"/>
  <c r="N1418" i="49"/>
  <c r="F409" i="49" s="1"/>
  <c r="N1417" i="49"/>
  <c r="E409" i="49" s="1"/>
  <c r="N1416" i="49"/>
  <c r="D409" i="49" s="1"/>
  <c r="N1415" i="49"/>
  <c r="C409" i="49" s="1"/>
  <c r="N1414" i="49"/>
  <c r="B409" i="49" s="1"/>
  <c r="N1413" i="49"/>
  <c r="F408" i="49" s="1"/>
  <c r="N1412" i="49"/>
  <c r="E408" i="49" s="1"/>
  <c r="N1411" i="49"/>
  <c r="D408" i="49" s="1"/>
  <c r="N1410" i="49"/>
  <c r="C408" i="49" s="1"/>
  <c r="N1409" i="49"/>
  <c r="B408" i="49" s="1"/>
  <c r="N1408" i="49"/>
  <c r="F407" i="49" s="1"/>
  <c r="N1407" i="49"/>
  <c r="E407" i="49" s="1"/>
  <c r="N1406" i="49"/>
  <c r="D407" i="49" s="1"/>
  <c r="N1405" i="49"/>
  <c r="C407" i="49" s="1"/>
  <c r="N1404" i="49"/>
  <c r="B407" i="49" s="1"/>
  <c r="N1403" i="49"/>
  <c r="F406" i="49" s="1"/>
  <c r="N1402" i="49"/>
  <c r="E406" i="49" s="1"/>
  <c r="N1401" i="49"/>
  <c r="D406" i="49" s="1"/>
  <c r="N1400" i="49"/>
  <c r="C406" i="49" s="1"/>
  <c r="N1399" i="49"/>
  <c r="B406" i="49" s="1"/>
  <c r="N1398" i="49"/>
  <c r="F405" i="49" s="1"/>
  <c r="N1397" i="49"/>
  <c r="E405" i="49" s="1"/>
  <c r="N1396" i="49"/>
  <c r="D405" i="49" s="1"/>
  <c r="N1395" i="49"/>
  <c r="C405" i="49" s="1"/>
  <c r="N1394" i="49"/>
  <c r="B405" i="49" s="1"/>
  <c r="N1393" i="49"/>
  <c r="F404" i="49" s="1"/>
  <c r="N1392" i="49"/>
  <c r="E404" i="49" s="1"/>
  <c r="N1391" i="49"/>
  <c r="D404" i="49" s="1"/>
  <c r="N1390" i="49"/>
  <c r="C404" i="49" s="1"/>
  <c r="N1389" i="49"/>
  <c r="B404" i="49" s="1"/>
  <c r="N1388" i="49"/>
  <c r="F403" i="49" s="1"/>
  <c r="N1387" i="49"/>
  <c r="E403" i="49" s="1"/>
  <c r="N1386" i="49"/>
  <c r="D403" i="49" s="1"/>
  <c r="N1385" i="49"/>
  <c r="C403" i="49" s="1"/>
  <c r="N1384" i="49"/>
  <c r="B403" i="49" s="1"/>
  <c r="N1383" i="49"/>
  <c r="F402" i="49" s="1"/>
  <c r="N1382" i="49"/>
  <c r="E402" i="49" s="1"/>
  <c r="N1381" i="49"/>
  <c r="D402" i="49" s="1"/>
  <c r="N1380" i="49"/>
  <c r="C402" i="49" s="1"/>
  <c r="N1379" i="49"/>
  <c r="B402" i="49" s="1"/>
  <c r="N1378" i="49"/>
  <c r="F401" i="49" s="1"/>
  <c r="N1377" i="49"/>
  <c r="E401" i="49" s="1"/>
  <c r="N1376" i="49"/>
  <c r="D401" i="49" s="1"/>
  <c r="N1375" i="49"/>
  <c r="C401" i="49" s="1"/>
  <c r="N1374" i="49"/>
  <c r="B401" i="49" s="1"/>
  <c r="N1373" i="49"/>
  <c r="F397" i="49" s="1"/>
  <c r="N1372" i="49"/>
  <c r="E397" i="49" s="1"/>
  <c r="N1371" i="49"/>
  <c r="D397" i="49" s="1"/>
  <c r="N1370" i="49"/>
  <c r="C397" i="49" s="1"/>
  <c r="N1369" i="49"/>
  <c r="B397" i="49" s="1"/>
  <c r="N1368" i="49"/>
  <c r="F396" i="49" s="1"/>
  <c r="N1367" i="49"/>
  <c r="E396" i="49" s="1"/>
  <c r="N1366" i="49"/>
  <c r="D396" i="49" s="1"/>
  <c r="N1365" i="49"/>
  <c r="C396" i="49" s="1"/>
  <c r="N1364" i="49"/>
  <c r="B396" i="49" s="1"/>
  <c r="N1363" i="49"/>
  <c r="F395" i="49" s="1"/>
  <c r="N1362" i="49"/>
  <c r="E395" i="49" s="1"/>
  <c r="N1361" i="49"/>
  <c r="D395" i="49" s="1"/>
  <c r="N1360" i="49"/>
  <c r="C395" i="49" s="1"/>
  <c r="N1359" i="49"/>
  <c r="B395" i="49" s="1"/>
  <c r="N1358" i="49"/>
  <c r="F394" i="49" s="1"/>
  <c r="N1357" i="49"/>
  <c r="E394" i="49" s="1"/>
  <c r="N1356" i="49"/>
  <c r="D394" i="49" s="1"/>
  <c r="N1355" i="49"/>
  <c r="C394" i="49" s="1"/>
  <c r="N1354" i="49"/>
  <c r="B394" i="49" s="1"/>
  <c r="N1353" i="49"/>
  <c r="F393" i="49" s="1"/>
  <c r="N1352" i="49"/>
  <c r="E393" i="49" s="1"/>
  <c r="N1351" i="49"/>
  <c r="D393" i="49" s="1"/>
  <c r="N1350" i="49"/>
  <c r="C393" i="49" s="1"/>
  <c r="N1349" i="49"/>
  <c r="B393" i="49" s="1"/>
  <c r="N1348" i="49"/>
  <c r="F392" i="49" s="1"/>
  <c r="N1347" i="49"/>
  <c r="E392" i="49" s="1"/>
  <c r="N1346" i="49"/>
  <c r="D392" i="49" s="1"/>
  <c r="N1345" i="49"/>
  <c r="C392" i="49" s="1"/>
  <c r="N1344" i="49"/>
  <c r="B392" i="49" s="1"/>
  <c r="N1343" i="49"/>
  <c r="F391" i="49" s="1"/>
  <c r="N1342" i="49"/>
  <c r="E391" i="49" s="1"/>
  <c r="N1341" i="49"/>
  <c r="D391" i="49" s="1"/>
  <c r="N1340" i="49"/>
  <c r="C391" i="49" s="1"/>
  <c r="N1339" i="49"/>
  <c r="B391" i="49" s="1"/>
  <c r="N1338" i="49"/>
  <c r="N1337" i="49"/>
  <c r="N1336" i="49"/>
  <c r="N1335" i="49"/>
  <c r="N1334" i="49"/>
  <c r="N1333" i="49"/>
  <c r="F389" i="49" s="1"/>
  <c r="N1332" i="49"/>
  <c r="E389" i="49" s="1"/>
  <c r="N1331" i="49"/>
  <c r="D389" i="49" s="1"/>
  <c r="N1330" i="49"/>
  <c r="C389" i="49" s="1"/>
  <c r="N1329" i="49"/>
  <c r="B389" i="49" s="1"/>
  <c r="N1328" i="49"/>
  <c r="F388" i="49" s="1"/>
  <c r="N1327" i="49"/>
  <c r="E388" i="49" s="1"/>
  <c r="N1326" i="49"/>
  <c r="D388" i="49" s="1"/>
  <c r="N1325" i="49"/>
  <c r="C388" i="49" s="1"/>
  <c r="N1324" i="49"/>
  <c r="B388" i="49" s="1"/>
  <c r="N1323" i="49"/>
  <c r="F387" i="49" s="1"/>
  <c r="N1322" i="49"/>
  <c r="E387" i="49" s="1"/>
  <c r="N1321" i="49"/>
  <c r="D387" i="49" s="1"/>
  <c r="N1320" i="49"/>
  <c r="C387" i="49" s="1"/>
  <c r="N1319" i="49"/>
  <c r="B387" i="49" s="1"/>
  <c r="N1318" i="49"/>
  <c r="F386" i="49" s="1"/>
  <c r="N1317" i="49"/>
  <c r="E386" i="49" s="1"/>
  <c r="N1316" i="49"/>
  <c r="D386" i="49" s="1"/>
  <c r="N1315" i="49"/>
  <c r="C386" i="49" s="1"/>
  <c r="N1314" i="49"/>
  <c r="B386" i="49" s="1"/>
  <c r="N1313" i="49"/>
  <c r="F385" i="49" s="1"/>
  <c r="N1312" i="49"/>
  <c r="E385" i="49" s="1"/>
  <c r="N1311" i="49"/>
  <c r="D385" i="49" s="1"/>
  <c r="N1310" i="49"/>
  <c r="C385" i="49" s="1"/>
  <c r="N1309" i="49"/>
  <c r="B385" i="49" s="1"/>
  <c r="N1308" i="49"/>
  <c r="F384" i="49" s="1"/>
  <c r="N1307" i="49"/>
  <c r="E384" i="49" s="1"/>
  <c r="N1306" i="49"/>
  <c r="D384" i="49" s="1"/>
  <c r="N1305" i="49"/>
  <c r="C384" i="49" s="1"/>
  <c r="N1304" i="49"/>
  <c r="B384" i="49" s="1"/>
  <c r="N1303" i="49"/>
  <c r="F383" i="49" s="1"/>
  <c r="N1302" i="49"/>
  <c r="E383" i="49" s="1"/>
  <c r="N1301" i="49"/>
  <c r="D383" i="49" s="1"/>
  <c r="N1300" i="49"/>
  <c r="C383" i="49" s="1"/>
  <c r="N1299" i="49"/>
  <c r="B383" i="49" s="1"/>
  <c r="N1298" i="49"/>
  <c r="N1297" i="49"/>
  <c r="N1296" i="49"/>
  <c r="N1295" i="49"/>
  <c r="N1294" i="49"/>
  <c r="N1293" i="49"/>
  <c r="F381" i="49" s="1"/>
  <c r="N1292" i="49"/>
  <c r="E381" i="49" s="1"/>
  <c r="N1291" i="49"/>
  <c r="D381" i="49" s="1"/>
  <c r="N1290" i="49"/>
  <c r="C381" i="49" s="1"/>
  <c r="N1289" i="49"/>
  <c r="B381" i="49" s="1"/>
  <c r="N1288" i="49"/>
  <c r="F380" i="49" s="1"/>
  <c r="N1287" i="49"/>
  <c r="E380" i="49" s="1"/>
  <c r="N1286" i="49"/>
  <c r="D380" i="49" s="1"/>
  <c r="N1285" i="49"/>
  <c r="C380" i="49" s="1"/>
  <c r="N1284" i="49"/>
  <c r="B380" i="49" s="1"/>
  <c r="N1283" i="49"/>
  <c r="F379" i="49" s="1"/>
  <c r="N1282" i="49"/>
  <c r="E379" i="49" s="1"/>
  <c r="N1281" i="49"/>
  <c r="D379" i="49" s="1"/>
  <c r="N1280" i="49"/>
  <c r="C379" i="49" s="1"/>
  <c r="N1279" i="49"/>
  <c r="B379" i="49" s="1"/>
  <c r="N1278" i="49"/>
  <c r="F378" i="49" s="1"/>
  <c r="N1277" i="49"/>
  <c r="E378" i="49" s="1"/>
  <c r="N1276" i="49"/>
  <c r="D378" i="49" s="1"/>
  <c r="N1275" i="49"/>
  <c r="C378" i="49" s="1"/>
  <c r="N1274" i="49"/>
  <c r="B378" i="49" s="1"/>
  <c r="N1273" i="49"/>
  <c r="F377" i="49" s="1"/>
  <c r="N1272" i="49"/>
  <c r="E377" i="49" s="1"/>
  <c r="N1271" i="49"/>
  <c r="D377" i="49" s="1"/>
  <c r="N1270" i="49"/>
  <c r="C377" i="49" s="1"/>
  <c r="N1269" i="49"/>
  <c r="B377" i="49" s="1"/>
  <c r="N1268" i="49"/>
  <c r="F376" i="49" s="1"/>
  <c r="N1267" i="49"/>
  <c r="E376" i="49" s="1"/>
  <c r="N1266" i="49"/>
  <c r="D376" i="49" s="1"/>
  <c r="N1265" i="49"/>
  <c r="C376" i="49" s="1"/>
  <c r="N1264" i="49"/>
  <c r="B376" i="49" s="1"/>
  <c r="N1263" i="49"/>
  <c r="F375" i="49" s="1"/>
  <c r="N1262" i="49"/>
  <c r="E375" i="49" s="1"/>
  <c r="N1261" i="49"/>
  <c r="D375" i="49" s="1"/>
  <c r="N1260" i="49"/>
  <c r="C375" i="49" s="1"/>
  <c r="N1259" i="49"/>
  <c r="B375" i="49" s="1"/>
  <c r="N1258" i="49"/>
  <c r="F374" i="49" s="1"/>
  <c r="N1257" i="49"/>
  <c r="E374" i="49" s="1"/>
  <c r="N1256" i="49"/>
  <c r="D374" i="49" s="1"/>
  <c r="N1255" i="49"/>
  <c r="C374" i="49" s="1"/>
  <c r="N1254" i="49"/>
  <c r="B374" i="49" s="1"/>
  <c r="N1253" i="49"/>
  <c r="F373" i="49" s="1"/>
  <c r="N1252" i="49"/>
  <c r="E373" i="49" s="1"/>
  <c r="N1251" i="49"/>
  <c r="D373" i="49" s="1"/>
  <c r="N1250" i="49"/>
  <c r="C373" i="49" s="1"/>
  <c r="N1249" i="49"/>
  <c r="B373" i="49" s="1"/>
  <c r="N1248" i="49"/>
  <c r="N1247" i="49"/>
  <c r="N1246" i="49"/>
  <c r="N1245" i="49"/>
  <c r="N1244" i="49"/>
  <c r="N1243" i="49"/>
  <c r="F371" i="49" s="1"/>
  <c r="N1242" i="49"/>
  <c r="E371" i="49" s="1"/>
  <c r="N1241" i="49"/>
  <c r="D371" i="49" s="1"/>
  <c r="N1240" i="49"/>
  <c r="C371" i="49" s="1"/>
  <c r="N1239" i="49"/>
  <c r="B371" i="49" s="1"/>
  <c r="N1238" i="49"/>
  <c r="F370" i="49" s="1"/>
  <c r="N1237" i="49"/>
  <c r="E370" i="49" s="1"/>
  <c r="N1236" i="49"/>
  <c r="D370" i="49" s="1"/>
  <c r="N1235" i="49"/>
  <c r="C370" i="49" s="1"/>
  <c r="N1234" i="49"/>
  <c r="B370" i="49" s="1"/>
  <c r="N1233" i="49"/>
  <c r="F369" i="49" s="1"/>
  <c r="N1232" i="49"/>
  <c r="E369" i="49" s="1"/>
  <c r="N1231" i="49"/>
  <c r="D369" i="49" s="1"/>
  <c r="N1230" i="49"/>
  <c r="C369" i="49" s="1"/>
  <c r="N1229" i="49"/>
  <c r="B369" i="49" s="1"/>
  <c r="N1228" i="49"/>
  <c r="F368" i="49" s="1"/>
  <c r="N1227" i="49"/>
  <c r="E368" i="49" s="1"/>
  <c r="N1226" i="49"/>
  <c r="D368" i="49" s="1"/>
  <c r="N1225" i="49"/>
  <c r="C368" i="49" s="1"/>
  <c r="N1224" i="49"/>
  <c r="B368" i="49" s="1"/>
  <c r="N1223" i="49"/>
  <c r="F367" i="49" s="1"/>
  <c r="N1222" i="49"/>
  <c r="E367" i="49" s="1"/>
  <c r="N1221" i="49"/>
  <c r="D367" i="49" s="1"/>
  <c r="N1220" i="49"/>
  <c r="C367" i="49" s="1"/>
  <c r="N1219" i="49"/>
  <c r="B367" i="49" s="1"/>
  <c r="N1218" i="49"/>
  <c r="F366" i="49" s="1"/>
  <c r="N1217" i="49"/>
  <c r="E366" i="49" s="1"/>
  <c r="N1216" i="49"/>
  <c r="D366" i="49" s="1"/>
  <c r="N1215" i="49"/>
  <c r="C366" i="49" s="1"/>
  <c r="N1214" i="49"/>
  <c r="B366" i="49" s="1"/>
  <c r="N1213" i="49"/>
  <c r="F365" i="49" s="1"/>
  <c r="N1212" i="49"/>
  <c r="E365" i="49" s="1"/>
  <c r="N1211" i="49"/>
  <c r="D365" i="49" s="1"/>
  <c r="N1210" i="49"/>
  <c r="C365" i="49" s="1"/>
  <c r="N1209" i="49"/>
  <c r="B365" i="49" s="1"/>
  <c r="N1208" i="49"/>
  <c r="F364" i="49" s="1"/>
  <c r="N1207" i="49"/>
  <c r="E364" i="49" s="1"/>
  <c r="N1206" i="49"/>
  <c r="D364" i="49" s="1"/>
  <c r="N1205" i="49"/>
  <c r="C364" i="49" s="1"/>
  <c r="N1204" i="49"/>
  <c r="B364" i="49" s="1"/>
  <c r="N1203" i="49"/>
  <c r="F363" i="49" s="1"/>
  <c r="N1202" i="49"/>
  <c r="E363" i="49" s="1"/>
  <c r="N1201" i="49"/>
  <c r="D363" i="49" s="1"/>
  <c r="N1200" i="49"/>
  <c r="C363" i="49" s="1"/>
  <c r="N1199" i="49"/>
  <c r="B363" i="49" s="1"/>
  <c r="N1198" i="49"/>
  <c r="F362" i="49" s="1"/>
  <c r="N1197" i="49"/>
  <c r="E362" i="49" s="1"/>
  <c r="N1196" i="49"/>
  <c r="D362" i="49" s="1"/>
  <c r="N1195" i="49"/>
  <c r="C362" i="49" s="1"/>
  <c r="N1194" i="49"/>
  <c r="B362" i="49" s="1"/>
  <c r="N1193" i="49"/>
  <c r="F361" i="49" s="1"/>
  <c r="N1192" i="49"/>
  <c r="E361" i="49" s="1"/>
  <c r="N1191" i="49"/>
  <c r="D361" i="49" s="1"/>
  <c r="N1190" i="49"/>
  <c r="C361" i="49" s="1"/>
  <c r="N1189" i="49"/>
  <c r="B361" i="49" s="1"/>
  <c r="N1188" i="49"/>
  <c r="N1187" i="49"/>
  <c r="N1186" i="49"/>
  <c r="N1185" i="49"/>
  <c r="N1184" i="49"/>
  <c r="N1183" i="49"/>
  <c r="F356" i="49" s="1"/>
  <c r="N1182" i="49"/>
  <c r="E356" i="49" s="1"/>
  <c r="N1181" i="49"/>
  <c r="D356" i="49" s="1"/>
  <c r="N1180" i="49"/>
  <c r="C356" i="49" s="1"/>
  <c r="N1179" i="49"/>
  <c r="B356" i="49" s="1"/>
  <c r="N1178" i="49"/>
  <c r="F355" i="49" s="1"/>
  <c r="N1177" i="49"/>
  <c r="E355" i="49" s="1"/>
  <c r="N1176" i="49"/>
  <c r="D355" i="49" s="1"/>
  <c r="N1175" i="49"/>
  <c r="C355" i="49" s="1"/>
  <c r="N1174" i="49"/>
  <c r="B355" i="49" s="1"/>
  <c r="N1173" i="49"/>
  <c r="F354" i="49" s="1"/>
  <c r="N1172" i="49"/>
  <c r="E354" i="49" s="1"/>
  <c r="N1171" i="49"/>
  <c r="D354" i="49" s="1"/>
  <c r="N1170" i="49"/>
  <c r="C354" i="49" s="1"/>
  <c r="N1169" i="49"/>
  <c r="B354" i="49" s="1"/>
  <c r="N1168" i="49"/>
  <c r="F353" i="49" s="1"/>
  <c r="N1167" i="49"/>
  <c r="E353" i="49" s="1"/>
  <c r="N1166" i="49"/>
  <c r="D353" i="49" s="1"/>
  <c r="N1165" i="49"/>
  <c r="C353" i="49" s="1"/>
  <c r="N1164" i="49"/>
  <c r="B353" i="49" s="1"/>
  <c r="N1163" i="49"/>
  <c r="F352" i="49" s="1"/>
  <c r="N1162" i="49"/>
  <c r="E352" i="49" s="1"/>
  <c r="N1161" i="49"/>
  <c r="D352" i="49" s="1"/>
  <c r="N1160" i="49"/>
  <c r="C352" i="49" s="1"/>
  <c r="N1159" i="49"/>
  <c r="B352" i="49" s="1"/>
  <c r="N1158" i="49"/>
  <c r="F351" i="49" s="1"/>
  <c r="N1157" i="49"/>
  <c r="E351" i="49" s="1"/>
  <c r="N1156" i="49"/>
  <c r="D351" i="49" s="1"/>
  <c r="N1155" i="49"/>
  <c r="C351" i="49" s="1"/>
  <c r="N1154" i="49"/>
  <c r="B351" i="49" s="1"/>
  <c r="N1153" i="49"/>
  <c r="F350" i="49" s="1"/>
  <c r="N1152" i="49"/>
  <c r="E350" i="49" s="1"/>
  <c r="N1151" i="49"/>
  <c r="D350" i="49" s="1"/>
  <c r="N1150" i="49"/>
  <c r="C350" i="49" s="1"/>
  <c r="N1149" i="49"/>
  <c r="B350" i="49" s="1"/>
  <c r="N1148" i="49"/>
  <c r="N1147" i="49"/>
  <c r="N1146" i="49"/>
  <c r="N1145" i="49"/>
  <c r="N1144" i="49"/>
  <c r="N1143" i="49"/>
  <c r="F348" i="49" s="1"/>
  <c r="N1142" i="49"/>
  <c r="E348" i="49" s="1"/>
  <c r="N1141" i="49"/>
  <c r="D348" i="49" s="1"/>
  <c r="N1140" i="49"/>
  <c r="C348" i="49" s="1"/>
  <c r="N1139" i="49"/>
  <c r="B348" i="49" s="1"/>
  <c r="N1138" i="49"/>
  <c r="F347" i="49" s="1"/>
  <c r="N1137" i="49"/>
  <c r="E347" i="49" s="1"/>
  <c r="N1136" i="49"/>
  <c r="D347" i="49" s="1"/>
  <c r="N1135" i="49"/>
  <c r="C347" i="49" s="1"/>
  <c r="N1134" i="49"/>
  <c r="B347" i="49" s="1"/>
  <c r="N1133" i="49"/>
  <c r="F346" i="49" s="1"/>
  <c r="N1132" i="49"/>
  <c r="E346" i="49" s="1"/>
  <c r="N1131" i="49"/>
  <c r="D346" i="49" s="1"/>
  <c r="N1130" i="49"/>
  <c r="C346" i="49" s="1"/>
  <c r="N1129" i="49"/>
  <c r="B346" i="49" s="1"/>
  <c r="N1128" i="49"/>
  <c r="F345" i="49" s="1"/>
  <c r="N1127" i="49"/>
  <c r="E345" i="49" s="1"/>
  <c r="N1126" i="49"/>
  <c r="D345" i="49" s="1"/>
  <c r="N1125" i="49"/>
  <c r="C345" i="49" s="1"/>
  <c r="N1124" i="49"/>
  <c r="B345" i="49" s="1"/>
  <c r="N1123" i="49"/>
  <c r="F344" i="49" s="1"/>
  <c r="N1122" i="49"/>
  <c r="E344" i="49" s="1"/>
  <c r="N1121" i="49"/>
  <c r="D344" i="49" s="1"/>
  <c r="N1120" i="49"/>
  <c r="C344" i="49" s="1"/>
  <c r="N1119" i="49"/>
  <c r="B344" i="49" s="1"/>
  <c r="N1118" i="49"/>
  <c r="F343" i="49" s="1"/>
  <c r="N1117" i="49"/>
  <c r="E343" i="49" s="1"/>
  <c r="N1116" i="49"/>
  <c r="D343" i="49" s="1"/>
  <c r="N1115" i="49"/>
  <c r="C343" i="49" s="1"/>
  <c r="N1114" i="49"/>
  <c r="B343" i="49" s="1"/>
  <c r="N1113" i="49"/>
  <c r="F342" i="49" s="1"/>
  <c r="N1112" i="49"/>
  <c r="E342" i="49" s="1"/>
  <c r="N1111" i="49"/>
  <c r="D342" i="49" s="1"/>
  <c r="N1110" i="49"/>
  <c r="C342" i="49" s="1"/>
  <c r="N1109" i="49"/>
  <c r="B342" i="49" s="1"/>
  <c r="N1108" i="49"/>
  <c r="N1107" i="49"/>
  <c r="N1106" i="49"/>
  <c r="N1105" i="49"/>
  <c r="N1104" i="49"/>
  <c r="N1103" i="49"/>
  <c r="F340" i="49" s="1"/>
  <c r="N1102" i="49"/>
  <c r="E340" i="49" s="1"/>
  <c r="N1101" i="49"/>
  <c r="D340" i="49" s="1"/>
  <c r="N1100" i="49"/>
  <c r="C340" i="49" s="1"/>
  <c r="N1099" i="49"/>
  <c r="B340" i="49" s="1"/>
  <c r="N1098" i="49"/>
  <c r="F339" i="49" s="1"/>
  <c r="N1097" i="49"/>
  <c r="E339" i="49" s="1"/>
  <c r="N1096" i="49"/>
  <c r="D339" i="49" s="1"/>
  <c r="N1095" i="49"/>
  <c r="C339" i="49" s="1"/>
  <c r="N1094" i="49"/>
  <c r="B339" i="49" s="1"/>
  <c r="N1093" i="49"/>
  <c r="F338" i="49" s="1"/>
  <c r="N1092" i="49"/>
  <c r="E338" i="49" s="1"/>
  <c r="N1091" i="49"/>
  <c r="D338" i="49" s="1"/>
  <c r="N1090" i="49"/>
  <c r="C338" i="49" s="1"/>
  <c r="N1089" i="49"/>
  <c r="B338" i="49" s="1"/>
  <c r="N1088" i="49"/>
  <c r="F337" i="49" s="1"/>
  <c r="N1087" i="49"/>
  <c r="E337" i="49" s="1"/>
  <c r="N1086" i="49"/>
  <c r="D337" i="49" s="1"/>
  <c r="N1085" i="49"/>
  <c r="C337" i="49" s="1"/>
  <c r="N1084" i="49"/>
  <c r="B337" i="49" s="1"/>
  <c r="N1083" i="49"/>
  <c r="F336" i="49" s="1"/>
  <c r="N1082" i="49"/>
  <c r="E336" i="49" s="1"/>
  <c r="N1081" i="49"/>
  <c r="D336" i="49" s="1"/>
  <c r="N1080" i="49"/>
  <c r="C336" i="49" s="1"/>
  <c r="N1079" i="49"/>
  <c r="B336" i="49" s="1"/>
  <c r="N1078" i="49"/>
  <c r="F335" i="49" s="1"/>
  <c r="N1077" i="49"/>
  <c r="E335" i="49" s="1"/>
  <c r="N1076" i="49"/>
  <c r="D335" i="49" s="1"/>
  <c r="N1075" i="49"/>
  <c r="C335" i="49" s="1"/>
  <c r="N1074" i="49"/>
  <c r="B335" i="49" s="1"/>
  <c r="N1073" i="49"/>
  <c r="F334" i="49" s="1"/>
  <c r="N1072" i="49"/>
  <c r="E334" i="49" s="1"/>
  <c r="N1071" i="49"/>
  <c r="D334" i="49" s="1"/>
  <c r="N1070" i="49"/>
  <c r="C334" i="49" s="1"/>
  <c r="N1069" i="49"/>
  <c r="B334" i="49" s="1"/>
  <c r="N1068" i="49"/>
  <c r="F333" i="49" s="1"/>
  <c r="N1067" i="49"/>
  <c r="E333" i="49" s="1"/>
  <c r="N1066" i="49"/>
  <c r="D333" i="49" s="1"/>
  <c r="N1065" i="49"/>
  <c r="C333" i="49" s="1"/>
  <c r="N1064" i="49"/>
  <c r="B333" i="49" s="1"/>
  <c r="N1063" i="49"/>
  <c r="F332" i="49" s="1"/>
  <c r="N1062" i="49"/>
  <c r="E332" i="49" s="1"/>
  <c r="N1061" i="49"/>
  <c r="D332" i="49" s="1"/>
  <c r="N1060" i="49"/>
  <c r="C332" i="49" s="1"/>
  <c r="N1059" i="49"/>
  <c r="B332" i="49" s="1"/>
  <c r="N1058" i="49"/>
  <c r="N1057" i="49"/>
  <c r="N1056" i="49"/>
  <c r="N1055" i="49"/>
  <c r="N1054" i="49"/>
  <c r="N1053" i="49"/>
  <c r="F330" i="49" s="1"/>
  <c r="N1052" i="49"/>
  <c r="E330" i="49" s="1"/>
  <c r="N1051" i="49"/>
  <c r="D330" i="49" s="1"/>
  <c r="N1050" i="49"/>
  <c r="C330" i="49" s="1"/>
  <c r="N1049" i="49"/>
  <c r="B330" i="49" s="1"/>
  <c r="N1048" i="49"/>
  <c r="F329" i="49" s="1"/>
  <c r="N1047" i="49"/>
  <c r="E329" i="49" s="1"/>
  <c r="N1046" i="49"/>
  <c r="D329" i="49" s="1"/>
  <c r="N1045" i="49"/>
  <c r="C329" i="49" s="1"/>
  <c r="N1044" i="49"/>
  <c r="B329" i="49" s="1"/>
  <c r="N1043" i="49"/>
  <c r="F328" i="49" s="1"/>
  <c r="N1042" i="49"/>
  <c r="E328" i="49" s="1"/>
  <c r="N1041" i="49"/>
  <c r="D328" i="49" s="1"/>
  <c r="N1040" i="49"/>
  <c r="C328" i="49" s="1"/>
  <c r="N1039" i="49"/>
  <c r="B328" i="49" s="1"/>
  <c r="N1038" i="49"/>
  <c r="F327" i="49" s="1"/>
  <c r="N1037" i="49"/>
  <c r="E327" i="49" s="1"/>
  <c r="N1036" i="49"/>
  <c r="D327" i="49" s="1"/>
  <c r="N1035" i="49"/>
  <c r="C327" i="49" s="1"/>
  <c r="N1034" i="49"/>
  <c r="B327" i="49" s="1"/>
  <c r="N1033" i="49"/>
  <c r="F326" i="49" s="1"/>
  <c r="N1032" i="49"/>
  <c r="E326" i="49" s="1"/>
  <c r="N1031" i="49"/>
  <c r="D326" i="49" s="1"/>
  <c r="N1030" i="49"/>
  <c r="C326" i="49" s="1"/>
  <c r="N1029" i="49"/>
  <c r="B326" i="49" s="1"/>
  <c r="N1028" i="49"/>
  <c r="F325" i="49" s="1"/>
  <c r="N1027" i="49"/>
  <c r="E325" i="49" s="1"/>
  <c r="N1026" i="49"/>
  <c r="D325" i="49" s="1"/>
  <c r="N1025" i="49"/>
  <c r="C325" i="49" s="1"/>
  <c r="N1024" i="49"/>
  <c r="B325" i="49" s="1"/>
  <c r="N1023" i="49"/>
  <c r="F324" i="49" s="1"/>
  <c r="N1022" i="49"/>
  <c r="E324" i="49" s="1"/>
  <c r="N1021" i="49"/>
  <c r="D324" i="49" s="1"/>
  <c r="N1020" i="49"/>
  <c r="C324" i="49" s="1"/>
  <c r="N1019" i="49"/>
  <c r="B324" i="49" s="1"/>
  <c r="N1018" i="49"/>
  <c r="F323" i="49" s="1"/>
  <c r="N1017" i="49"/>
  <c r="E323" i="49" s="1"/>
  <c r="N1016" i="49"/>
  <c r="D323" i="49" s="1"/>
  <c r="N1015" i="49"/>
  <c r="C323" i="49" s="1"/>
  <c r="N1014" i="49"/>
  <c r="B323" i="49" s="1"/>
  <c r="N1013" i="49"/>
  <c r="F322" i="49" s="1"/>
  <c r="N1012" i="49"/>
  <c r="E322" i="49" s="1"/>
  <c r="N1011" i="49"/>
  <c r="D322" i="49" s="1"/>
  <c r="N1010" i="49"/>
  <c r="C322" i="49" s="1"/>
  <c r="N1009" i="49"/>
  <c r="B322" i="49" s="1"/>
  <c r="N1008" i="49"/>
  <c r="F321" i="49" s="1"/>
  <c r="N1007" i="49"/>
  <c r="E321" i="49" s="1"/>
  <c r="N1006" i="49"/>
  <c r="D321" i="49" s="1"/>
  <c r="N1005" i="49"/>
  <c r="C321" i="49" s="1"/>
  <c r="N1004" i="49"/>
  <c r="B321" i="49" s="1"/>
  <c r="N1003" i="49"/>
  <c r="F320" i="49" s="1"/>
  <c r="N1002" i="49"/>
  <c r="E320" i="49" s="1"/>
  <c r="N1001" i="49"/>
  <c r="D320" i="49" s="1"/>
  <c r="N1000" i="49"/>
  <c r="C320" i="49" s="1"/>
  <c r="N999" i="49"/>
  <c r="B320" i="49" s="1"/>
  <c r="N998" i="49"/>
  <c r="N997" i="49"/>
  <c r="N996" i="49"/>
  <c r="N995" i="49"/>
  <c r="N994" i="49"/>
  <c r="N993" i="49"/>
  <c r="F315" i="49" s="1"/>
  <c r="N992" i="49"/>
  <c r="E315" i="49" s="1"/>
  <c r="N991" i="49"/>
  <c r="D315" i="49" s="1"/>
  <c r="N990" i="49"/>
  <c r="C315" i="49" s="1"/>
  <c r="N989" i="49"/>
  <c r="B315" i="49" s="1"/>
  <c r="N988" i="49"/>
  <c r="F314" i="49" s="1"/>
  <c r="N987" i="49"/>
  <c r="E314" i="49" s="1"/>
  <c r="N986" i="49"/>
  <c r="D314" i="49" s="1"/>
  <c r="N985" i="49"/>
  <c r="C314" i="49" s="1"/>
  <c r="N984" i="49"/>
  <c r="B314" i="49" s="1"/>
  <c r="N983" i="49"/>
  <c r="F313" i="49" s="1"/>
  <c r="N982" i="49"/>
  <c r="E313" i="49" s="1"/>
  <c r="N981" i="49"/>
  <c r="D313" i="49" s="1"/>
  <c r="N980" i="49"/>
  <c r="C313" i="49" s="1"/>
  <c r="N979" i="49"/>
  <c r="B313" i="49" s="1"/>
  <c r="N978" i="49"/>
  <c r="F312" i="49" s="1"/>
  <c r="N977" i="49"/>
  <c r="E312" i="49" s="1"/>
  <c r="N976" i="49"/>
  <c r="D312" i="49" s="1"/>
  <c r="N975" i="49"/>
  <c r="C312" i="49" s="1"/>
  <c r="N974" i="49"/>
  <c r="B312" i="49" s="1"/>
  <c r="N973" i="49"/>
  <c r="F311" i="49" s="1"/>
  <c r="N972" i="49"/>
  <c r="E311" i="49" s="1"/>
  <c r="N971" i="49"/>
  <c r="D311" i="49" s="1"/>
  <c r="N970" i="49"/>
  <c r="C311" i="49" s="1"/>
  <c r="N969" i="49"/>
  <c r="B311" i="49" s="1"/>
  <c r="N968" i="49"/>
  <c r="F310" i="49" s="1"/>
  <c r="N967" i="49"/>
  <c r="E310" i="49" s="1"/>
  <c r="N966" i="49"/>
  <c r="D310" i="49" s="1"/>
  <c r="N965" i="49"/>
  <c r="C310" i="49" s="1"/>
  <c r="N964" i="49"/>
  <c r="B310" i="49" s="1"/>
  <c r="N963" i="49"/>
  <c r="F309" i="49" s="1"/>
  <c r="N962" i="49"/>
  <c r="E309" i="49" s="1"/>
  <c r="N961" i="49"/>
  <c r="D309" i="49" s="1"/>
  <c r="N960" i="49"/>
  <c r="C309" i="49" s="1"/>
  <c r="N959" i="49"/>
  <c r="B309" i="49" s="1"/>
  <c r="N958" i="49"/>
  <c r="F308" i="49" s="1"/>
  <c r="N957" i="49"/>
  <c r="E308" i="49" s="1"/>
  <c r="N956" i="49"/>
  <c r="D308" i="49" s="1"/>
  <c r="N955" i="49"/>
  <c r="C308" i="49" s="1"/>
  <c r="N954" i="49"/>
  <c r="B308" i="49" s="1"/>
  <c r="N953" i="49"/>
  <c r="F307" i="49" s="1"/>
  <c r="N952" i="49"/>
  <c r="E307" i="49" s="1"/>
  <c r="N951" i="49"/>
  <c r="D307" i="49" s="1"/>
  <c r="N950" i="49"/>
  <c r="C307" i="49" s="1"/>
  <c r="N949" i="49"/>
  <c r="B307" i="49" s="1"/>
  <c r="N948" i="49"/>
  <c r="F306" i="49" s="1"/>
  <c r="N947" i="49"/>
  <c r="E306" i="49" s="1"/>
  <c r="N946" i="49"/>
  <c r="D306" i="49" s="1"/>
  <c r="N945" i="49"/>
  <c r="C306" i="49" s="1"/>
  <c r="N944" i="49"/>
  <c r="B306" i="49" s="1"/>
  <c r="N943" i="49"/>
  <c r="F305" i="49" s="1"/>
  <c r="N942" i="49"/>
  <c r="E305" i="49" s="1"/>
  <c r="N941" i="49"/>
  <c r="D305" i="49" s="1"/>
  <c r="N940" i="49"/>
  <c r="C305" i="49" s="1"/>
  <c r="N939" i="49"/>
  <c r="B305" i="49" s="1"/>
  <c r="N938" i="49"/>
  <c r="F304" i="49" s="1"/>
  <c r="N937" i="49"/>
  <c r="E304" i="49" s="1"/>
  <c r="N936" i="49"/>
  <c r="D304" i="49" s="1"/>
  <c r="N935" i="49"/>
  <c r="C304" i="49" s="1"/>
  <c r="N934" i="49"/>
  <c r="B304" i="49" s="1"/>
  <c r="N933" i="49"/>
  <c r="F303" i="49" s="1"/>
  <c r="N932" i="49"/>
  <c r="E303" i="49" s="1"/>
  <c r="N931" i="49"/>
  <c r="D303" i="49" s="1"/>
  <c r="N930" i="49"/>
  <c r="C303" i="49" s="1"/>
  <c r="N929" i="49"/>
  <c r="B303" i="49" s="1"/>
  <c r="N928" i="49"/>
  <c r="F302" i="49" s="1"/>
  <c r="N927" i="49"/>
  <c r="E302" i="49" s="1"/>
  <c r="N926" i="49"/>
  <c r="D302" i="49" s="1"/>
  <c r="N925" i="49"/>
  <c r="C302" i="49" s="1"/>
  <c r="N924" i="49"/>
  <c r="B302" i="49" s="1"/>
  <c r="N923" i="49"/>
  <c r="F301" i="49" s="1"/>
  <c r="N922" i="49"/>
  <c r="E301" i="49" s="1"/>
  <c r="N921" i="49"/>
  <c r="D301" i="49" s="1"/>
  <c r="N920" i="49"/>
  <c r="C301" i="49" s="1"/>
  <c r="N919" i="49"/>
  <c r="B301" i="49" s="1"/>
  <c r="N918" i="49"/>
  <c r="F297" i="49" s="1"/>
  <c r="N917" i="49"/>
  <c r="E297" i="49" s="1"/>
  <c r="N916" i="49"/>
  <c r="D297" i="49" s="1"/>
  <c r="N915" i="49"/>
  <c r="C297" i="49" s="1"/>
  <c r="N914" i="49"/>
  <c r="B297" i="49" s="1"/>
  <c r="N913" i="49"/>
  <c r="F296" i="49" s="1"/>
  <c r="N912" i="49"/>
  <c r="E296" i="49" s="1"/>
  <c r="N911" i="49"/>
  <c r="D296" i="49" s="1"/>
  <c r="N910" i="49"/>
  <c r="C296" i="49" s="1"/>
  <c r="N909" i="49"/>
  <c r="B296" i="49" s="1"/>
  <c r="N908" i="49"/>
  <c r="F295" i="49" s="1"/>
  <c r="N907" i="49"/>
  <c r="E295" i="49" s="1"/>
  <c r="N906" i="49"/>
  <c r="D295" i="49" s="1"/>
  <c r="N905" i="49"/>
  <c r="C295" i="49" s="1"/>
  <c r="N904" i="49"/>
  <c r="B295" i="49" s="1"/>
  <c r="N903" i="49"/>
  <c r="F294" i="49" s="1"/>
  <c r="N902" i="49"/>
  <c r="E294" i="49" s="1"/>
  <c r="N901" i="49"/>
  <c r="D294" i="49" s="1"/>
  <c r="N900" i="49"/>
  <c r="C294" i="49" s="1"/>
  <c r="N899" i="49"/>
  <c r="B294" i="49" s="1"/>
  <c r="N898" i="49"/>
  <c r="F293" i="49" s="1"/>
  <c r="N897" i="49"/>
  <c r="E293" i="49" s="1"/>
  <c r="N896" i="49"/>
  <c r="D293" i="49" s="1"/>
  <c r="N895" i="49"/>
  <c r="C293" i="49" s="1"/>
  <c r="N894" i="49"/>
  <c r="B293" i="49" s="1"/>
  <c r="N893" i="49"/>
  <c r="F292" i="49" s="1"/>
  <c r="N892" i="49"/>
  <c r="E292" i="49" s="1"/>
  <c r="N891" i="49"/>
  <c r="D292" i="49" s="1"/>
  <c r="N890" i="49"/>
  <c r="C292" i="49" s="1"/>
  <c r="N889" i="49"/>
  <c r="B292" i="49" s="1"/>
  <c r="N888" i="49"/>
  <c r="F291" i="49" s="1"/>
  <c r="N887" i="49"/>
  <c r="E291" i="49" s="1"/>
  <c r="N886" i="49"/>
  <c r="D291" i="49" s="1"/>
  <c r="N885" i="49"/>
  <c r="C291" i="49" s="1"/>
  <c r="N884" i="49"/>
  <c r="B291" i="49" s="1"/>
  <c r="N883" i="49"/>
  <c r="F290" i="49" s="1"/>
  <c r="N882" i="49"/>
  <c r="E290" i="49" s="1"/>
  <c r="N881" i="49"/>
  <c r="D290" i="49" s="1"/>
  <c r="N880" i="49"/>
  <c r="C290" i="49" s="1"/>
  <c r="N879" i="49"/>
  <c r="B290" i="49" s="1"/>
  <c r="N878" i="49"/>
  <c r="F289" i="49" s="1"/>
  <c r="N877" i="49"/>
  <c r="E289" i="49" s="1"/>
  <c r="N876" i="49"/>
  <c r="D289" i="49" s="1"/>
  <c r="N875" i="49"/>
  <c r="C289" i="49" s="1"/>
  <c r="N874" i="49"/>
  <c r="B289" i="49" s="1"/>
  <c r="N873" i="49"/>
  <c r="F288" i="49" s="1"/>
  <c r="N872" i="49"/>
  <c r="E288" i="49" s="1"/>
  <c r="N871" i="49"/>
  <c r="D288" i="49" s="1"/>
  <c r="N870" i="49"/>
  <c r="C288" i="49" s="1"/>
  <c r="N869" i="49"/>
  <c r="B288" i="49" s="1"/>
  <c r="N868" i="49"/>
  <c r="D284" i="49" s="1"/>
  <c r="N867" i="49"/>
  <c r="C284" i="49" s="1"/>
  <c r="N866" i="49"/>
  <c r="B284" i="49" s="1"/>
  <c r="N865" i="49"/>
  <c r="D283" i="49" s="1"/>
  <c r="N864" i="49"/>
  <c r="C283" i="49" s="1"/>
  <c r="N863" i="49"/>
  <c r="B283" i="49" s="1"/>
  <c r="N862" i="49"/>
  <c r="D282" i="49" s="1"/>
  <c r="N861" i="49"/>
  <c r="C282" i="49" s="1"/>
  <c r="N860" i="49"/>
  <c r="B282" i="49" s="1"/>
  <c r="N859" i="49"/>
  <c r="D281" i="49" s="1"/>
  <c r="N858" i="49"/>
  <c r="C281" i="49" s="1"/>
  <c r="N857" i="49"/>
  <c r="B281" i="49" s="1"/>
  <c r="N856" i="49"/>
  <c r="D280" i="49" s="1"/>
  <c r="N855" i="49"/>
  <c r="C280" i="49" s="1"/>
  <c r="N854" i="49"/>
  <c r="B280" i="49" s="1"/>
  <c r="N853" i="49"/>
  <c r="D279" i="49" s="1"/>
  <c r="N852" i="49"/>
  <c r="C279" i="49" s="1"/>
  <c r="N851" i="49"/>
  <c r="B279" i="49" s="1"/>
  <c r="N850" i="49"/>
  <c r="D278" i="49" s="1"/>
  <c r="N849" i="49"/>
  <c r="C278" i="49" s="1"/>
  <c r="N848" i="49"/>
  <c r="B278" i="49" s="1"/>
  <c r="N847" i="49"/>
  <c r="D277" i="49" s="1"/>
  <c r="N846" i="49"/>
  <c r="C277" i="49" s="1"/>
  <c r="N845" i="49"/>
  <c r="B277" i="49" s="1"/>
  <c r="N844" i="49"/>
  <c r="D276" i="49" s="1"/>
  <c r="N843" i="49"/>
  <c r="C276" i="49" s="1"/>
  <c r="N842" i="49"/>
  <c r="B276" i="49" s="1"/>
  <c r="N841" i="49"/>
  <c r="D275" i="49" s="1"/>
  <c r="N840" i="49"/>
  <c r="C275" i="49" s="1"/>
  <c r="N839" i="49"/>
  <c r="B275" i="49" s="1"/>
  <c r="N838" i="49"/>
  <c r="D274" i="49" s="1"/>
  <c r="N837" i="49"/>
  <c r="C274" i="49" s="1"/>
  <c r="N836" i="49"/>
  <c r="B274" i="49" s="1"/>
  <c r="N835" i="49"/>
  <c r="D273" i="49" s="1"/>
  <c r="N834" i="49"/>
  <c r="C273" i="49" s="1"/>
  <c r="N833" i="49"/>
  <c r="B273" i="49" s="1"/>
  <c r="N832" i="49"/>
  <c r="D272" i="49" s="1"/>
  <c r="N831" i="49"/>
  <c r="C272" i="49" s="1"/>
  <c r="N830" i="49"/>
  <c r="B272" i="49" s="1"/>
  <c r="N829" i="49"/>
  <c r="D271" i="49" s="1"/>
  <c r="N828" i="49"/>
  <c r="C271" i="49" s="1"/>
  <c r="N827" i="49"/>
  <c r="B271" i="49" s="1"/>
  <c r="N826" i="49"/>
  <c r="D270" i="49" s="1"/>
  <c r="N825" i="49"/>
  <c r="C270" i="49" s="1"/>
  <c r="N824" i="49"/>
  <c r="B270" i="49" s="1"/>
  <c r="N823" i="49"/>
  <c r="D265" i="49" s="1"/>
  <c r="N822" i="49"/>
  <c r="C265" i="49" s="1"/>
  <c r="N821" i="49"/>
  <c r="B265" i="49" s="1"/>
  <c r="N820" i="49"/>
  <c r="D264" i="49" s="1"/>
  <c r="N819" i="49"/>
  <c r="C264" i="49" s="1"/>
  <c r="N818" i="49"/>
  <c r="B264" i="49" s="1"/>
  <c r="N817" i="49"/>
  <c r="D263" i="49" s="1"/>
  <c r="N816" i="49"/>
  <c r="C263" i="49" s="1"/>
  <c r="N815" i="49"/>
  <c r="B263" i="49" s="1"/>
  <c r="N814" i="49"/>
  <c r="D262" i="49" s="1"/>
  <c r="N813" i="49"/>
  <c r="C262" i="49" s="1"/>
  <c r="N812" i="49"/>
  <c r="B262" i="49" s="1"/>
  <c r="N811" i="49"/>
  <c r="D261" i="49" s="1"/>
  <c r="N810" i="49"/>
  <c r="C261" i="49" s="1"/>
  <c r="N809" i="49"/>
  <c r="B261" i="49" s="1"/>
  <c r="N808" i="49"/>
  <c r="D260" i="49" s="1"/>
  <c r="N807" i="49"/>
  <c r="C260" i="49" s="1"/>
  <c r="N806" i="49"/>
  <c r="B260" i="49" s="1"/>
  <c r="N805" i="49"/>
  <c r="D259" i="49" s="1"/>
  <c r="N804" i="49"/>
  <c r="C259" i="49" s="1"/>
  <c r="N803" i="49"/>
  <c r="B259" i="49" s="1"/>
  <c r="N802" i="49"/>
  <c r="D258" i="49" s="1"/>
  <c r="N801" i="49"/>
  <c r="C258" i="49" s="1"/>
  <c r="N800" i="49"/>
  <c r="B258" i="49" s="1"/>
  <c r="N799" i="49"/>
  <c r="D257" i="49" s="1"/>
  <c r="N798" i="49"/>
  <c r="C257" i="49" s="1"/>
  <c r="N797" i="49"/>
  <c r="B257" i="49" s="1"/>
  <c r="N796" i="49"/>
  <c r="D256" i="49" s="1"/>
  <c r="N795" i="49"/>
  <c r="C256" i="49" s="1"/>
  <c r="N794" i="49"/>
  <c r="B256" i="49" s="1"/>
  <c r="N793" i="49"/>
  <c r="D255" i="49" s="1"/>
  <c r="N792" i="49"/>
  <c r="C255" i="49" s="1"/>
  <c r="N791" i="49"/>
  <c r="B255" i="49" s="1"/>
  <c r="N790" i="49"/>
  <c r="D254" i="49" s="1"/>
  <c r="N789" i="49"/>
  <c r="C254" i="49" s="1"/>
  <c r="N788" i="49"/>
  <c r="B254" i="49" s="1"/>
  <c r="N787" i="49"/>
  <c r="D253" i="49" s="1"/>
  <c r="N786" i="49"/>
  <c r="C253" i="49" s="1"/>
  <c r="N785" i="49"/>
  <c r="B253" i="49" s="1"/>
  <c r="N784" i="49"/>
  <c r="D252" i="49" s="1"/>
  <c r="N783" i="49"/>
  <c r="C252" i="49" s="1"/>
  <c r="N782" i="49"/>
  <c r="B252" i="49" s="1"/>
  <c r="N781" i="49"/>
  <c r="D248" i="49" s="1"/>
  <c r="N780" i="49"/>
  <c r="C248" i="49" s="1"/>
  <c r="N779" i="49"/>
  <c r="B248" i="49" s="1"/>
  <c r="N778" i="49"/>
  <c r="D247" i="49" s="1"/>
  <c r="N777" i="49"/>
  <c r="C247" i="49" s="1"/>
  <c r="N776" i="49"/>
  <c r="B247" i="49" s="1"/>
  <c r="N775" i="49"/>
  <c r="D246" i="49" s="1"/>
  <c r="N774" i="49"/>
  <c r="C246" i="49" s="1"/>
  <c r="N773" i="49"/>
  <c r="B246" i="49" s="1"/>
  <c r="N772" i="49"/>
  <c r="D245" i="49" s="1"/>
  <c r="N771" i="49"/>
  <c r="C245" i="49" s="1"/>
  <c r="N770" i="49"/>
  <c r="B245" i="49" s="1"/>
  <c r="N769" i="49"/>
  <c r="D244" i="49" s="1"/>
  <c r="N768" i="49"/>
  <c r="C244" i="49" s="1"/>
  <c r="N767" i="49"/>
  <c r="B244" i="49" s="1"/>
  <c r="N766" i="49"/>
  <c r="D243" i="49" s="1"/>
  <c r="N765" i="49"/>
  <c r="C243" i="49" s="1"/>
  <c r="N764" i="49"/>
  <c r="B243" i="49" s="1"/>
  <c r="N763" i="49"/>
  <c r="F238" i="49" s="1"/>
  <c r="N762" i="49"/>
  <c r="E238" i="49" s="1"/>
  <c r="N761" i="49"/>
  <c r="D238" i="49" s="1"/>
  <c r="N760" i="49"/>
  <c r="C238" i="49" s="1"/>
  <c r="N759" i="49"/>
  <c r="B238" i="49" s="1"/>
  <c r="N758" i="49"/>
  <c r="F237" i="49" s="1"/>
  <c r="N757" i="49"/>
  <c r="E237" i="49" s="1"/>
  <c r="N756" i="49"/>
  <c r="D237" i="49" s="1"/>
  <c r="N755" i="49"/>
  <c r="C237" i="49" s="1"/>
  <c r="N754" i="49"/>
  <c r="B237" i="49" s="1"/>
  <c r="N753" i="49"/>
  <c r="F236" i="49" s="1"/>
  <c r="N752" i="49"/>
  <c r="E236" i="49" s="1"/>
  <c r="N751" i="49"/>
  <c r="D236" i="49" s="1"/>
  <c r="N750" i="49"/>
  <c r="C236" i="49" s="1"/>
  <c r="N749" i="49"/>
  <c r="B236" i="49" s="1"/>
  <c r="N748" i="49"/>
  <c r="F235" i="49" s="1"/>
  <c r="N747" i="49"/>
  <c r="E235" i="49" s="1"/>
  <c r="N746" i="49"/>
  <c r="D235" i="49" s="1"/>
  <c r="N745" i="49"/>
  <c r="C235" i="49" s="1"/>
  <c r="N744" i="49"/>
  <c r="B235" i="49" s="1"/>
  <c r="N743" i="49"/>
  <c r="F234" i="49" s="1"/>
  <c r="N742" i="49"/>
  <c r="E234" i="49" s="1"/>
  <c r="N741" i="49"/>
  <c r="D234" i="49" s="1"/>
  <c r="N740" i="49"/>
  <c r="C234" i="49" s="1"/>
  <c r="N739" i="49"/>
  <c r="B234" i="49" s="1"/>
  <c r="N738" i="49"/>
  <c r="F233" i="49" s="1"/>
  <c r="N737" i="49"/>
  <c r="E233" i="49" s="1"/>
  <c r="N736" i="49"/>
  <c r="D233" i="49" s="1"/>
  <c r="N735" i="49"/>
  <c r="C233" i="49" s="1"/>
  <c r="N734" i="49"/>
  <c r="B233" i="49" s="1"/>
  <c r="N733" i="49"/>
  <c r="F232" i="49" s="1"/>
  <c r="N732" i="49"/>
  <c r="E232" i="49" s="1"/>
  <c r="N731" i="49"/>
  <c r="D232" i="49" s="1"/>
  <c r="N730" i="49"/>
  <c r="C232" i="49" s="1"/>
  <c r="N729" i="49"/>
  <c r="B232" i="49" s="1"/>
  <c r="N728" i="49"/>
  <c r="F231" i="49" s="1"/>
  <c r="N727" i="49"/>
  <c r="E231" i="49" s="1"/>
  <c r="N726" i="49"/>
  <c r="D231" i="49" s="1"/>
  <c r="N725" i="49"/>
  <c r="C231" i="49" s="1"/>
  <c r="N724" i="49"/>
  <c r="B231" i="49" s="1"/>
  <c r="N723" i="49"/>
  <c r="F230" i="49" s="1"/>
  <c r="N722" i="49"/>
  <c r="E230" i="49" s="1"/>
  <c r="N721" i="49"/>
  <c r="D230" i="49" s="1"/>
  <c r="N720" i="49"/>
  <c r="C230" i="49" s="1"/>
  <c r="N719" i="49"/>
  <c r="B230" i="49" s="1"/>
  <c r="N718" i="49"/>
  <c r="F229" i="49" s="1"/>
  <c r="N717" i="49"/>
  <c r="E229" i="49" s="1"/>
  <c r="N716" i="49"/>
  <c r="D229" i="49" s="1"/>
  <c r="N715" i="49"/>
  <c r="C229" i="49" s="1"/>
  <c r="N714" i="49"/>
  <c r="B229" i="49" s="1"/>
  <c r="N713" i="49"/>
  <c r="F228" i="49" s="1"/>
  <c r="N712" i="49"/>
  <c r="E228" i="49" s="1"/>
  <c r="N711" i="49"/>
  <c r="D228" i="49" s="1"/>
  <c r="N710" i="49"/>
  <c r="C228" i="49" s="1"/>
  <c r="N709" i="49"/>
  <c r="B228" i="49" s="1"/>
  <c r="N708" i="49"/>
  <c r="F227" i="49" s="1"/>
  <c r="N707" i="49"/>
  <c r="E227" i="49" s="1"/>
  <c r="N706" i="49"/>
  <c r="D227" i="49" s="1"/>
  <c r="N705" i="49"/>
  <c r="C227" i="49" s="1"/>
  <c r="N704" i="49"/>
  <c r="B227" i="49" s="1"/>
  <c r="N703" i="49"/>
  <c r="F226" i="49" s="1"/>
  <c r="N702" i="49"/>
  <c r="E226" i="49" s="1"/>
  <c r="N701" i="49"/>
  <c r="D226" i="49" s="1"/>
  <c r="N700" i="49"/>
  <c r="C226" i="49" s="1"/>
  <c r="N699" i="49"/>
  <c r="B226" i="49" s="1"/>
  <c r="N698" i="49"/>
  <c r="F225" i="49" s="1"/>
  <c r="N697" i="49"/>
  <c r="E225" i="49" s="1"/>
  <c r="N696" i="49"/>
  <c r="D225" i="49" s="1"/>
  <c r="N695" i="49"/>
  <c r="C225" i="49" s="1"/>
  <c r="N694" i="49"/>
  <c r="B225" i="49" s="1"/>
  <c r="N693" i="49"/>
  <c r="F224" i="49" s="1"/>
  <c r="N692" i="49"/>
  <c r="E224" i="49" s="1"/>
  <c r="N691" i="49"/>
  <c r="D224" i="49" s="1"/>
  <c r="N690" i="49"/>
  <c r="C224" i="49" s="1"/>
  <c r="N689" i="49"/>
  <c r="B224" i="49" s="1"/>
  <c r="N688" i="49"/>
  <c r="N687" i="49"/>
  <c r="N686" i="49"/>
  <c r="N685" i="49"/>
  <c r="N684" i="49"/>
  <c r="N683" i="49"/>
  <c r="F222" i="49" s="1"/>
  <c r="N682" i="49"/>
  <c r="E222" i="49" s="1"/>
  <c r="N681" i="49"/>
  <c r="D222" i="49" s="1"/>
  <c r="N680" i="49"/>
  <c r="C222" i="49" s="1"/>
  <c r="N679" i="49"/>
  <c r="B222" i="49" s="1"/>
  <c r="N678" i="49"/>
  <c r="F221" i="49" s="1"/>
  <c r="N677" i="49"/>
  <c r="E221" i="49" s="1"/>
  <c r="N676" i="49"/>
  <c r="D221" i="49" s="1"/>
  <c r="N675" i="49"/>
  <c r="C221" i="49" s="1"/>
  <c r="N674" i="49"/>
  <c r="B221" i="49" s="1"/>
  <c r="N673" i="49"/>
  <c r="F220" i="49" s="1"/>
  <c r="N672" i="49"/>
  <c r="E220" i="49" s="1"/>
  <c r="N671" i="49"/>
  <c r="D220" i="49" s="1"/>
  <c r="N670" i="49"/>
  <c r="C220" i="49" s="1"/>
  <c r="N669" i="49"/>
  <c r="B220" i="49" s="1"/>
  <c r="N668" i="49"/>
  <c r="F219" i="49" s="1"/>
  <c r="N667" i="49"/>
  <c r="E219" i="49" s="1"/>
  <c r="N666" i="49"/>
  <c r="D219" i="49" s="1"/>
  <c r="N665" i="49"/>
  <c r="C219" i="49" s="1"/>
  <c r="N664" i="49"/>
  <c r="B219" i="49" s="1"/>
  <c r="N663" i="49"/>
  <c r="F218" i="49" s="1"/>
  <c r="N662" i="49"/>
  <c r="E218" i="49" s="1"/>
  <c r="N661" i="49"/>
  <c r="D218" i="49" s="1"/>
  <c r="N660" i="49"/>
  <c r="C218" i="49" s="1"/>
  <c r="N659" i="49"/>
  <c r="B218" i="49" s="1"/>
  <c r="N658" i="49"/>
  <c r="F217" i="49" s="1"/>
  <c r="N657" i="49"/>
  <c r="E217" i="49" s="1"/>
  <c r="N656" i="49"/>
  <c r="D217" i="49" s="1"/>
  <c r="N655" i="49"/>
  <c r="C217" i="49" s="1"/>
  <c r="N654" i="49"/>
  <c r="B217" i="49" s="1"/>
  <c r="N653" i="49"/>
  <c r="F216" i="49" s="1"/>
  <c r="N652" i="49"/>
  <c r="E216" i="49" s="1"/>
  <c r="N651" i="49"/>
  <c r="D216" i="49" s="1"/>
  <c r="N650" i="49"/>
  <c r="C216" i="49" s="1"/>
  <c r="N649" i="49"/>
  <c r="B216" i="49" s="1"/>
  <c r="N648" i="49"/>
  <c r="F215" i="49" s="1"/>
  <c r="N647" i="49"/>
  <c r="E215" i="49" s="1"/>
  <c r="N646" i="49"/>
  <c r="D215" i="49" s="1"/>
  <c r="N645" i="49"/>
  <c r="C215" i="49" s="1"/>
  <c r="N644" i="49"/>
  <c r="B215" i="49" s="1"/>
  <c r="N643" i="49"/>
  <c r="N642" i="49"/>
  <c r="N641" i="49"/>
  <c r="N640" i="49"/>
  <c r="N639" i="49"/>
  <c r="N638" i="49"/>
  <c r="F213" i="49" s="1"/>
  <c r="N637" i="49"/>
  <c r="E213" i="49" s="1"/>
  <c r="N636" i="49"/>
  <c r="D213" i="49" s="1"/>
  <c r="N635" i="49"/>
  <c r="C213" i="49" s="1"/>
  <c r="N634" i="49"/>
  <c r="B213" i="49" s="1"/>
  <c r="N633" i="49"/>
  <c r="F212" i="49" s="1"/>
  <c r="N632" i="49"/>
  <c r="E212" i="49" s="1"/>
  <c r="N631" i="49"/>
  <c r="D212" i="49" s="1"/>
  <c r="N630" i="49"/>
  <c r="C212" i="49" s="1"/>
  <c r="N629" i="49"/>
  <c r="B212" i="49" s="1"/>
  <c r="N628" i="49"/>
  <c r="F211" i="49" s="1"/>
  <c r="N627" i="49"/>
  <c r="E211" i="49" s="1"/>
  <c r="N626" i="49"/>
  <c r="D211" i="49" s="1"/>
  <c r="N625" i="49"/>
  <c r="C211" i="49" s="1"/>
  <c r="N624" i="49"/>
  <c r="B211" i="49" s="1"/>
  <c r="N623" i="49"/>
  <c r="F210" i="49" s="1"/>
  <c r="N622" i="49"/>
  <c r="E210" i="49" s="1"/>
  <c r="N621" i="49"/>
  <c r="D210" i="49" s="1"/>
  <c r="N620" i="49"/>
  <c r="C210" i="49" s="1"/>
  <c r="N619" i="49"/>
  <c r="B210" i="49" s="1"/>
  <c r="N618" i="49"/>
  <c r="F209" i="49" s="1"/>
  <c r="N617" i="49"/>
  <c r="E209" i="49" s="1"/>
  <c r="N616" i="49"/>
  <c r="D209" i="49" s="1"/>
  <c r="N615" i="49"/>
  <c r="C209" i="49" s="1"/>
  <c r="N614" i="49"/>
  <c r="B209" i="49" s="1"/>
  <c r="N613" i="49"/>
  <c r="N612" i="49"/>
  <c r="N611" i="49"/>
  <c r="N610" i="49"/>
  <c r="N609" i="49"/>
  <c r="N608" i="49"/>
  <c r="F204" i="49" s="1"/>
  <c r="N607" i="49"/>
  <c r="E204" i="49" s="1"/>
  <c r="N606" i="49"/>
  <c r="D204" i="49" s="1"/>
  <c r="N605" i="49"/>
  <c r="C204" i="49" s="1"/>
  <c r="N604" i="49"/>
  <c r="B204" i="49" s="1"/>
  <c r="N603" i="49"/>
  <c r="F203" i="49" s="1"/>
  <c r="N602" i="49"/>
  <c r="E203" i="49" s="1"/>
  <c r="N601" i="49"/>
  <c r="D203" i="49" s="1"/>
  <c r="N600" i="49"/>
  <c r="C203" i="49" s="1"/>
  <c r="N599" i="49"/>
  <c r="B203" i="49" s="1"/>
  <c r="N598" i="49"/>
  <c r="F202" i="49" s="1"/>
  <c r="N597" i="49"/>
  <c r="E202" i="49" s="1"/>
  <c r="N596" i="49"/>
  <c r="D202" i="49" s="1"/>
  <c r="N595" i="49"/>
  <c r="C202" i="49" s="1"/>
  <c r="N594" i="49"/>
  <c r="B202" i="49" s="1"/>
  <c r="N593" i="49"/>
  <c r="F201" i="49" s="1"/>
  <c r="N592" i="49"/>
  <c r="E201" i="49" s="1"/>
  <c r="N591" i="49"/>
  <c r="D201" i="49" s="1"/>
  <c r="N590" i="49"/>
  <c r="C201" i="49" s="1"/>
  <c r="N589" i="49"/>
  <c r="B201" i="49" s="1"/>
  <c r="N588" i="49"/>
  <c r="F200" i="49" s="1"/>
  <c r="N587" i="49"/>
  <c r="E200" i="49" s="1"/>
  <c r="N586" i="49"/>
  <c r="D200" i="49" s="1"/>
  <c r="N585" i="49"/>
  <c r="C200" i="49" s="1"/>
  <c r="N584" i="49"/>
  <c r="B200" i="49" s="1"/>
  <c r="N583" i="49"/>
  <c r="F196" i="49" s="1"/>
  <c r="N582" i="49"/>
  <c r="E196" i="49" s="1"/>
  <c r="N581" i="49"/>
  <c r="D196" i="49" s="1"/>
  <c r="N580" i="49"/>
  <c r="C196" i="49" s="1"/>
  <c r="N579" i="49"/>
  <c r="B196" i="49" s="1"/>
  <c r="N578" i="49"/>
  <c r="F195" i="49" s="1"/>
  <c r="N577" i="49"/>
  <c r="E195" i="49" s="1"/>
  <c r="N576" i="49"/>
  <c r="D195" i="49" s="1"/>
  <c r="N575" i="49"/>
  <c r="C195" i="49" s="1"/>
  <c r="N574" i="49"/>
  <c r="B195" i="49" s="1"/>
  <c r="N573" i="49"/>
  <c r="F194" i="49" s="1"/>
  <c r="N572" i="49"/>
  <c r="E194" i="49" s="1"/>
  <c r="N571" i="49"/>
  <c r="D194" i="49" s="1"/>
  <c r="N570" i="49"/>
  <c r="C194" i="49" s="1"/>
  <c r="N569" i="49"/>
  <c r="B194" i="49" s="1"/>
  <c r="N568" i="49"/>
  <c r="F193" i="49" s="1"/>
  <c r="N567" i="49"/>
  <c r="E193" i="49" s="1"/>
  <c r="N566" i="49"/>
  <c r="D193" i="49" s="1"/>
  <c r="N565" i="49"/>
  <c r="C193" i="49" s="1"/>
  <c r="N564" i="49"/>
  <c r="B193" i="49" s="1"/>
  <c r="N563" i="49"/>
  <c r="F192" i="49" s="1"/>
  <c r="N562" i="49"/>
  <c r="E192" i="49" s="1"/>
  <c r="N561" i="49"/>
  <c r="D192" i="49" s="1"/>
  <c r="N560" i="49"/>
  <c r="C192" i="49" s="1"/>
  <c r="N559" i="49"/>
  <c r="B192" i="49" s="1"/>
  <c r="N558" i="49"/>
  <c r="F187" i="49" s="1"/>
  <c r="N557" i="49"/>
  <c r="E187" i="49" s="1"/>
  <c r="N556" i="49"/>
  <c r="D187" i="49" s="1"/>
  <c r="N555" i="49"/>
  <c r="C187" i="49" s="1"/>
  <c r="N554" i="49"/>
  <c r="B187" i="49" s="1"/>
  <c r="N553" i="49"/>
  <c r="F186" i="49" s="1"/>
  <c r="N552" i="49"/>
  <c r="E186" i="49" s="1"/>
  <c r="N551" i="49"/>
  <c r="D186" i="49" s="1"/>
  <c r="N550" i="49"/>
  <c r="C186" i="49" s="1"/>
  <c r="N549" i="49"/>
  <c r="B186" i="49" s="1"/>
  <c r="N548" i="49"/>
  <c r="F185" i="49" s="1"/>
  <c r="N547" i="49"/>
  <c r="E185" i="49" s="1"/>
  <c r="N546" i="49"/>
  <c r="D185" i="49" s="1"/>
  <c r="N545" i="49"/>
  <c r="C185" i="49" s="1"/>
  <c r="N544" i="49"/>
  <c r="B185" i="49" s="1"/>
  <c r="N543" i="49"/>
  <c r="F184" i="49" s="1"/>
  <c r="N542" i="49"/>
  <c r="E184" i="49" s="1"/>
  <c r="N541" i="49"/>
  <c r="D184" i="49" s="1"/>
  <c r="N540" i="49"/>
  <c r="C184" i="49" s="1"/>
  <c r="N539" i="49"/>
  <c r="B184" i="49" s="1"/>
  <c r="N538" i="49"/>
  <c r="F183" i="49" s="1"/>
  <c r="N537" i="49"/>
  <c r="E183" i="49" s="1"/>
  <c r="N536" i="49"/>
  <c r="D183" i="49" s="1"/>
  <c r="N535" i="49"/>
  <c r="C183" i="49" s="1"/>
  <c r="N534" i="49"/>
  <c r="B183" i="49" s="1"/>
  <c r="N533" i="49"/>
  <c r="F182" i="49" s="1"/>
  <c r="N532" i="49"/>
  <c r="E182" i="49" s="1"/>
  <c r="N531" i="49"/>
  <c r="D182" i="49" s="1"/>
  <c r="N530" i="49"/>
  <c r="C182" i="49" s="1"/>
  <c r="N529" i="49"/>
  <c r="B182" i="49" s="1"/>
  <c r="N528" i="49"/>
  <c r="F181" i="49" s="1"/>
  <c r="N527" i="49"/>
  <c r="E181" i="49" s="1"/>
  <c r="N526" i="49"/>
  <c r="D181" i="49" s="1"/>
  <c r="N525" i="49"/>
  <c r="C181" i="49" s="1"/>
  <c r="N524" i="49"/>
  <c r="B181" i="49" s="1"/>
  <c r="N523" i="49"/>
  <c r="F180" i="49" s="1"/>
  <c r="N522" i="49"/>
  <c r="E180" i="49" s="1"/>
  <c r="N521" i="49"/>
  <c r="D180" i="49" s="1"/>
  <c r="N520" i="49"/>
  <c r="C180" i="49" s="1"/>
  <c r="N519" i="49"/>
  <c r="B180" i="49" s="1"/>
  <c r="N518" i="49"/>
  <c r="F176" i="49" s="1"/>
  <c r="N517" i="49"/>
  <c r="E176" i="49" s="1"/>
  <c r="N516" i="49"/>
  <c r="D176" i="49" s="1"/>
  <c r="N515" i="49"/>
  <c r="C176" i="49" s="1"/>
  <c r="N514" i="49"/>
  <c r="B176" i="49" s="1"/>
  <c r="N513" i="49"/>
  <c r="F175" i="49" s="1"/>
  <c r="N512" i="49"/>
  <c r="E175" i="49" s="1"/>
  <c r="N511" i="49"/>
  <c r="D175" i="49" s="1"/>
  <c r="N510" i="49"/>
  <c r="C175" i="49" s="1"/>
  <c r="N509" i="49"/>
  <c r="B175" i="49" s="1"/>
  <c r="N508" i="49"/>
  <c r="F174" i="49" s="1"/>
  <c r="N507" i="49"/>
  <c r="E174" i="49" s="1"/>
  <c r="N506" i="49"/>
  <c r="D174" i="49" s="1"/>
  <c r="N505" i="49"/>
  <c r="C174" i="49" s="1"/>
  <c r="N504" i="49"/>
  <c r="B174" i="49" s="1"/>
  <c r="N503" i="49"/>
  <c r="F173" i="49" s="1"/>
  <c r="N502" i="49"/>
  <c r="E173" i="49" s="1"/>
  <c r="N501" i="49"/>
  <c r="D173" i="49" s="1"/>
  <c r="N500" i="49"/>
  <c r="C173" i="49" s="1"/>
  <c r="N499" i="49"/>
  <c r="B173" i="49" s="1"/>
  <c r="N498" i="49"/>
  <c r="F172" i="49" s="1"/>
  <c r="N497" i="49"/>
  <c r="E172" i="49" s="1"/>
  <c r="N496" i="49"/>
  <c r="D172" i="49" s="1"/>
  <c r="N495" i="49"/>
  <c r="C172" i="49" s="1"/>
  <c r="N494" i="49"/>
  <c r="B172" i="49" s="1"/>
  <c r="N493" i="49"/>
  <c r="F171" i="49" s="1"/>
  <c r="N492" i="49"/>
  <c r="E171" i="49" s="1"/>
  <c r="N491" i="49"/>
  <c r="D171" i="49" s="1"/>
  <c r="N490" i="49"/>
  <c r="C171" i="49" s="1"/>
  <c r="N489" i="49"/>
  <c r="B171" i="49" s="1"/>
  <c r="N488" i="49"/>
  <c r="F170" i="49" s="1"/>
  <c r="N487" i="49"/>
  <c r="E170" i="49" s="1"/>
  <c r="N486" i="49"/>
  <c r="D170" i="49" s="1"/>
  <c r="N485" i="49"/>
  <c r="C170" i="49" s="1"/>
  <c r="N484" i="49"/>
  <c r="B170" i="49" s="1"/>
  <c r="N483" i="49"/>
  <c r="F169" i="49" s="1"/>
  <c r="N482" i="49"/>
  <c r="E169" i="49" s="1"/>
  <c r="N481" i="49"/>
  <c r="D169" i="49" s="1"/>
  <c r="N480" i="49"/>
  <c r="C169" i="49" s="1"/>
  <c r="N479" i="49"/>
  <c r="B169" i="49" s="1"/>
  <c r="N478" i="49"/>
  <c r="F165" i="49" s="1"/>
  <c r="N477" i="49"/>
  <c r="E165" i="49" s="1"/>
  <c r="N476" i="49"/>
  <c r="D165" i="49" s="1"/>
  <c r="N475" i="49"/>
  <c r="C165" i="49" s="1"/>
  <c r="N474" i="49"/>
  <c r="B165" i="49" s="1"/>
  <c r="N473" i="49"/>
  <c r="F164" i="49" s="1"/>
  <c r="N472" i="49"/>
  <c r="E164" i="49" s="1"/>
  <c r="N471" i="49"/>
  <c r="D164" i="49" s="1"/>
  <c r="N470" i="49"/>
  <c r="C164" i="49" s="1"/>
  <c r="N469" i="49"/>
  <c r="B164" i="49" s="1"/>
  <c r="N468" i="49"/>
  <c r="F163" i="49" s="1"/>
  <c r="N467" i="49"/>
  <c r="E163" i="49" s="1"/>
  <c r="N466" i="49"/>
  <c r="D163" i="49" s="1"/>
  <c r="N465" i="49"/>
  <c r="C163" i="49" s="1"/>
  <c r="N464" i="49"/>
  <c r="B163" i="49" s="1"/>
  <c r="N463" i="49"/>
  <c r="F162" i="49" s="1"/>
  <c r="N462" i="49"/>
  <c r="E162" i="49" s="1"/>
  <c r="N461" i="49"/>
  <c r="D162" i="49" s="1"/>
  <c r="N460" i="49"/>
  <c r="C162" i="49" s="1"/>
  <c r="N459" i="49"/>
  <c r="B162" i="49" s="1"/>
  <c r="N458" i="49"/>
  <c r="F161" i="49" s="1"/>
  <c r="N457" i="49"/>
  <c r="E161" i="49" s="1"/>
  <c r="N456" i="49"/>
  <c r="D161" i="49" s="1"/>
  <c r="N455" i="49"/>
  <c r="C161" i="49" s="1"/>
  <c r="N454" i="49"/>
  <c r="B161" i="49" s="1"/>
  <c r="N453" i="49"/>
  <c r="F160" i="49" s="1"/>
  <c r="N452" i="49"/>
  <c r="E160" i="49" s="1"/>
  <c r="N451" i="49"/>
  <c r="D160" i="49" s="1"/>
  <c r="N450" i="49"/>
  <c r="C160" i="49" s="1"/>
  <c r="N449" i="49"/>
  <c r="B160" i="49" s="1"/>
  <c r="N448" i="49"/>
  <c r="F159" i="49" s="1"/>
  <c r="N447" i="49"/>
  <c r="E159" i="49" s="1"/>
  <c r="N446" i="49"/>
  <c r="D159" i="49" s="1"/>
  <c r="N445" i="49"/>
  <c r="C159" i="49" s="1"/>
  <c r="N444" i="49"/>
  <c r="B159" i="49" s="1"/>
  <c r="N443" i="49"/>
  <c r="F158" i="49" s="1"/>
  <c r="N442" i="49"/>
  <c r="E158" i="49" s="1"/>
  <c r="N441" i="49"/>
  <c r="D158" i="49" s="1"/>
  <c r="N440" i="49"/>
  <c r="C158" i="49" s="1"/>
  <c r="N439" i="49"/>
  <c r="B158" i="49" s="1"/>
  <c r="N438" i="49"/>
  <c r="F153" i="49" s="1"/>
  <c r="N437" i="49"/>
  <c r="E153" i="49" s="1"/>
  <c r="N436" i="49"/>
  <c r="D153" i="49" s="1"/>
  <c r="N435" i="49"/>
  <c r="C153" i="49" s="1"/>
  <c r="N434" i="49"/>
  <c r="B153" i="49" s="1"/>
  <c r="N433" i="49"/>
  <c r="F152" i="49" s="1"/>
  <c r="N432" i="49"/>
  <c r="E152" i="49" s="1"/>
  <c r="N431" i="49"/>
  <c r="D152" i="49" s="1"/>
  <c r="N430" i="49"/>
  <c r="C152" i="49" s="1"/>
  <c r="N429" i="49"/>
  <c r="B152" i="49" s="1"/>
  <c r="N428" i="49"/>
  <c r="F151" i="49" s="1"/>
  <c r="N427" i="49"/>
  <c r="E151" i="49" s="1"/>
  <c r="N426" i="49"/>
  <c r="D151" i="49" s="1"/>
  <c r="N425" i="49"/>
  <c r="C151" i="49" s="1"/>
  <c r="N424" i="49"/>
  <c r="B151" i="49" s="1"/>
  <c r="N423" i="49"/>
  <c r="F150" i="49" s="1"/>
  <c r="N422" i="49"/>
  <c r="E150" i="49" s="1"/>
  <c r="N421" i="49"/>
  <c r="D150" i="49" s="1"/>
  <c r="N420" i="49"/>
  <c r="C150" i="49" s="1"/>
  <c r="N419" i="49"/>
  <c r="B150" i="49" s="1"/>
  <c r="N418" i="49"/>
  <c r="F149" i="49" s="1"/>
  <c r="N417" i="49"/>
  <c r="E149" i="49" s="1"/>
  <c r="N416" i="49"/>
  <c r="D149" i="49" s="1"/>
  <c r="N415" i="49"/>
  <c r="C149" i="49" s="1"/>
  <c r="N414" i="49"/>
  <c r="B149" i="49" s="1"/>
  <c r="N413" i="49"/>
  <c r="F145" i="49" s="1"/>
  <c r="N412" i="49"/>
  <c r="E145" i="49" s="1"/>
  <c r="N411" i="49"/>
  <c r="D145" i="49" s="1"/>
  <c r="N410" i="49"/>
  <c r="C145" i="49" s="1"/>
  <c r="N409" i="49"/>
  <c r="B145" i="49" s="1"/>
  <c r="N408" i="49"/>
  <c r="F144" i="49" s="1"/>
  <c r="N407" i="49"/>
  <c r="E144" i="49" s="1"/>
  <c r="N406" i="49"/>
  <c r="D144" i="49" s="1"/>
  <c r="N405" i="49"/>
  <c r="C144" i="49" s="1"/>
  <c r="N404" i="49"/>
  <c r="B144" i="49" s="1"/>
  <c r="N403" i="49"/>
  <c r="F143" i="49" s="1"/>
  <c r="N402" i="49"/>
  <c r="E143" i="49" s="1"/>
  <c r="N401" i="49"/>
  <c r="D143" i="49" s="1"/>
  <c r="N400" i="49"/>
  <c r="C143" i="49" s="1"/>
  <c r="N399" i="49"/>
  <c r="B143" i="49" s="1"/>
  <c r="N398" i="49"/>
  <c r="F142" i="49" s="1"/>
  <c r="N397" i="49"/>
  <c r="E142" i="49" s="1"/>
  <c r="N396" i="49"/>
  <c r="D142" i="49" s="1"/>
  <c r="N395" i="49"/>
  <c r="C142" i="49" s="1"/>
  <c r="N394" i="49"/>
  <c r="B142" i="49" s="1"/>
  <c r="N393" i="49"/>
  <c r="F141" i="49" s="1"/>
  <c r="N392" i="49"/>
  <c r="E141" i="49" s="1"/>
  <c r="N391" i="49"/>
  <c r="D141" i="49" s="1"/>
  <c r="N390" i="49"/>
  <c r="C141" i="49" s="1"/>
  <c r="N389" i="49"/>
  <c r="B141" i="49" s="1"/>
  <c r="N388" i="49"/>
  <c r="F140" i="49" s="1"/>
  <c r="N387" i="49"/>
  <c r="E140" i="49" s="1"/>
  <c r="N386" i="49"/>
  <c r="D140" i="49" s="1"/>
  <c r="N385" i="49"/>
  <c r="C140" i="49" s="1"/>
  <c r="N384" i="49"/>
  <c r="B140" i="49" s="1"/>
  <c r="N383" i="49"/>
  <c r="F139" i="49" s="1"/>
  <c r="N382" i="49"/>
  <c r="E139" i="49" s="1"/>
  <c r="N381" i="49"/>
  <c r="D139" i="49" s="1"/>
  <c r="N380" i="49"/>
  <c r="C139" i="49" s="1"/>
  <c r="N379" i="49"/>
  <c r="B139" i="49" s="1"/>
  <c r="N378" i="49"/>
  <c r="F138" i="49" s="1"/>
  <c r="N377" i="49"/>
  <c r="E138" i="49" s="1"/>
  <c r="N376" i="49"/>
  <c r="D138" i="49" s="1"/>
  <c r="N375" i="49"/>
  <c r="C138" i="49" s="1"/>
  <c r="N374" i="49"/>
  <c r="B138" i="49" s="1"/>
  <c r="N373" i="49"/>
  <c r="F137" i="49" s="1"/>
  <c r="N372" i="49"/>
  <c r="E137" i="49" s="1"/>
  <c r="N371" i="49"/>
  <c r="D137" i="49" s="1"/>
  <c r="N370" i="49"/>
  <c r="C137" i="49" s="1"/>
  <c r="N369" i="49"/>
  <c r="B137" i="49" s="1"/>
  <c r="N368" i="49"/>
  <c r="F132" i="49" s="1"/>
  <c r="N367" i="49"/>
  <c r="E132" i="49" s="1"/>
  <c r="N366" i="49"/>
  <c r="D132" i="49" s="1"/>
  <c r="N365" i="49"/>
  <c r="C132" i="49" s="1"/>
  <c r="N364" i="49"/>
  <c r="B132" i="49" s="1"/>
  <c r="N363" i="49"/>
  <c r="F131" i="49" s="1"/>
  <c r="N362" i="49"/>
  <c r="E131" i="49" s="1"/>
  <c r="N361" i="49"/>
  <c r="D131" i="49" s="1"/>
  <c r="N360" i="49"/>
  <c r="C131" i="49" s="1"/>
  <c r="N359" i="49"/>
  <c r="B131" i="49" s="1"/>
  <c r="N358" i="49"/>
  <c r="F130" i="49" s="1"/>
  <c r="N357" i="49"/>
  <c r="E130" i="49" s="1"/>
  <c r="N356" i="49"/>
  <c r="D130" i="49" s="1"/>
  <c r="N355" i="49"/>
  <c r="C130" i="49" s="1"/>
  <c r="N354" i="49"/>
  <c r="B130" i="49" s="1"/>
  <c r="N353" i="49"/>
  <c r="F129" i="49" s="1"/>
  <c r="N352" i="49"/>
  <c r="E129" i="49" s="1"/>
  <c r="N351" i="49"/>
  <c r="D129" i="49" s="1"/>
  <c r="N350" i="49"/>
  <c r="C129" i="49" s="1"/>
  <c r="N349" i="49"/>
  <c r="B129" i="49" s="1"/>
  <c r="N348" i="49"/>
  <c r="F128" i="49" s="1"/>
  <c r="N347" i="49"/>
  <c r="E128" i="49" s="1"/>
  <c r="N346" i="49"/>
  <c r="D128" i="49" s="1"/>
  <c r="N345" i="49"/>
  <c r="C128" i="49" s="1"/>
  <c r="N344" i="49"/>
  <c r="B128" i="49" s="1"/>
  <c r="N343" i="49"/>
  <c r="F127" i="49" s="1"/>
  <c r="N342" i="49"/>
  <c r="E127" i="49" s="1"/>
  <c r="N341" i="49"/>
  <c r="D127" i="49" s="1"/>
  <c r="N340" i="49"/>
  <c r="C127" i="49" s="1"/>
  <c r="N339" i="49"/>
  <c r="B127" i="49" s="1"/>
  <c r="N338" i="49"/>
  <c r="F126" i="49" s="1"/>
  <c r="N337" i="49"/>
  <c r="E126" i="49" s="1"/>
  <c r="N336" i="49"/>
  <c r="D126" i="49" s="1"/>
  <c r="N335" i="49"/>
  <c r="C126" i="49" s="1"/>
  <c r="N334" i="49"/>
  <c r="B126" i="49" s="1"/>
  <c r="N333" i="49"/>
  <c r="F125" i="49" s="1"/>
  <c r="N332" i="49"/>
  <c r="E125" i="49" s="1"/>
  <c r="N331" i="49"/>
  <c r="D125" i="49" s="1"/>
  <c r="N330" i="49"/>
  <c r="C125" i="49" s="1"/>
  <c r="N329" i="49"/>
  <c r="B125" i="49" s="1"/>
  <c r="N328" i="49"/>
  <c r="F124" i="49" s="1"/>
  <c r="N327" i="49"/>
  <c r="E124" i="49" s="1"/>
  <c r="N326" i="49"/>
  <c r="D124" i="49" s="1"/>
  <c r="N325" i="49"/>
  <c r="C124" i="49" s="1"/>
  <c r="N324" i="49"/>
  <c r="B124" i="49" s="1"/>
  <c r="N323" i="49"/>
  <c r="F123" i="49" s="1"/>
  <c r="N322" i="49"/>
  <c r="E123" i="49" s="1"/>
  <c r="N321" i="49"/>
  <c r="D123" i="49" s="1"/>
  <c r="N320" i="49"/>
  <c r="C123" i="49" s="1"/>
  <c r="N319" i="49"/>
  <c r="B123" i="49" s="1"/>
  <c r="N318" i="49"/>
  <c r="F122" i="49" s="1"/>
  <c r="N317" i="49"/>
  <c r="E122" i="49" s="1"/>
  <c r="N316" i="49"/>
  <c r="D122" i="49" s="1"/>
  <c r="N315" i="49"/>
  <c r="C122" i="49" s="1"/>
  <c r="N314" i="49"/>
  <c r="B122" i="49" s="1"/>
  <c r="N313" i="49"/>
  <c r="F121" i="49" s="1"/>
  <c r="N312" i="49"/>
  <c r="E121" i="49" s="1"/>
  <c r="N311" i="49"/>
  <c r="D121" i="49" s="1"/>
  <c r="N310" i="49"/>
  <c r="C121" i="49" s="1"/>
  <c r="N309" i="49"/>
  <c r="B121" i="49" s="1"/>
  <c r="N308" i="49"/>
  <c r="H117" i="49" s="1"/>
  <c r="N307" i="49"/>
  <c r="G117" i="49" s="1"/>
  <c r="N306" i="49"/>
  <c r="F117" i="49" s="1"/>
  <c r="N305" i="49"/>
  <c r="E117" i="49" s="1"/>
  <c r="N304" i="49"/>
  <c r="D117" i="49" s="1"/>
  <c r="N303" i="49"/>
  <c r="C117" i="49" s="1"/>
  <c r="N302" i="49"/>
  <c r="B117" i="49" s="1"/>
  <c r="N301" i="49"/>
  <c r="H116" i="49" s="1"/>
  <c r="N300" i="49"/>
  <c r="G116" i="49" s="1"/>
  <c r="N299" i="49"/>
  <c r="F116" i="49" s="1"/>
  <c r="N298" i="49"/>
  <c r="E116" i="49" s="1"/>
  <c r="N297" i="49"/>
  <c r="D116" i="49" s="1"/>
  <c r="N296" i="49"/>
  <c r="C116" i="49" s="1"/>
  <c r="N295" i="49"/>
  <c r="B116" i="49" s="1"/>
  <c r="N294" i="49"/>
  <c r="H115" i="49" s="1"/>
  <c r="N293" i="49"/>
  <c r="G115" i="49" s="1"/>
  <c r="N292" i="49"/>
  <c r="F115" i="49" s="1"/>
  <c r="N291" i="49"/>
  <c r="E115" i="49" s="1"/>
  <c r="N290" i="49"/>
  <c r="D115" i="49" s="1"/>
  <c r="N289" i="49"/>
  <c r="C115" i="49" s="1"/>
  <c r="N288" i="49"/>
  <c r="B115" i="49" s="1"/>
  <c r="N287" i="49"/>
  <c r="H114" i="49" s="1"/>
  <c r="N286" i="49"/>
  <c r="G114" i="49" s="1"/>
  <c r="N285" i="49"/>
  <c r="F114" i="49" s="1"/>
  <c r="N284" i="49"/>
  <c r="E114" i="49" s="1"/>
  <c r="N283" i="49"/>
  <c r="D114" i="49" s="1"/>
  <c r="N282" i="49"/>
  <c r="C114" i="49" s="1"/>
  <c r="N281" i="49"/>
  <c r="B114" i="49" s="1"/>
  <c r="N280" i="49"/>
  <c r="H113" i="49" s="1"/>
  <c r="N279" i="49"/>
  <c r="G113" i="49" s="1"/>
  <c r="N278" i="49"/>
  <c r="F113" i="49" s="1"/>
  <c r="N277" i="49"/>
  <c r="E113" i="49" s="1"/>
  <c r="N276" i="49"/>
  <c r="D113" i="49" s="1"/>
  <c r="N275" i="49"/>
  <c r="C113" i="49" s="1"/>
  <c r="N274" i="49"/>
  <c r="B113" i="49" s="1"/>
  <c r="N273" i="49"/>
  <c r="H112" i="49" s="1"/>
  <c r="N272" i="49"/>
  <c r="G112" i="49" s="1"/>
  <c r="N271" i="49"/>
  <c r="F112" i="49" s="1"/>
  <c r="N270" i="49"/>
  <c r="E112" i="49" s="1"/>
  <c r="N269" i="49"/>
  <c r="D112" i="49" s="1"/>
  <c r="N268" i="49"/>
  <c r="C112" i="49" s="1"/>
  <c r="N267" i="49"/>
  <c r="B112" i="49" s="1"/>
  <c r="N266" i="49"/>
  <c r="H111" i="49" s="1"/>
  <c r="N265" i="49"/>
  <c r="G111" i="49" s="1"/>
  <c r="N264" i="49"/>
  <c r="F111" i="49" s="1"/>
  <c r="N263" i="49"/>
  <c r="E111" i="49" s="1"/>
  <c r="N262" i="49"/>
  <c r="D111" i="49" s="1"/>
  <c r="N261" i="49"/>
  <c r="C111" i="49" s="1"/>
  <c r="N260" i="49"/>
  <c r="B111" i="49" s="1"/>
  <c r="N259" i="49"/>
  <c r="H110" i="49" s="1"/>
  <c r="N258" i="49"/>
  <c r="G110" i="49" s="1"/>
  <c r="N257" i="49"/>
  <c r="F110" i="49" s="1"/>
  <c r="N256" i="49"/>
  <c r="E110" i="49" s="1"/>
  <c r="N255" i="49"/>
  <c r="D110" i="49" s="1"/>
  <c r="N254" i="49"/>
  <c r="C110" i="49" s="1"/>
  <c r="N253" i="49"/>
  <c r="B110" i="49" s="1"/>
  <c r="N252" i="49"/>
  <c r="F106" i="49" s="1"/>
  <c r="N251" i="49"/>
  <c r="E106" i="49" s="1"/>
  <c r="N250" i="49"/>
  <c r="D106" i="49" s="1"/>
  <c r="N249" i="49"/>
  <c r="C106" i="49" s="1"/>
  <c r="N248" i="49"/>
  <c r="B106" i="49" s="1"/>
  <c r="N247" i="49"/>
  <c r="F105" i="49" s="1"/>
  <c r="N246" i="49"/>
  <c r="E105" i="49" s="1"/>
  <c r="N245" i="49"/>
  <c r="D105" i="49" s="1"/>
  <c r="N244" i="49"/>
  <c r="C105" i="49" s="1"/>
  <c r="N243" i="49"/>
  <c r="B105" i="49" s="1"/>
  <c r="N242" i="49"/>
  <c r="F104" i="49" s="1"/>
  <c r="N241" i="49"/>
  <c r="E104" i="49" s="1"/>
  <c r="N240" i="49"/>
  <c r="D104" i="49" s="1"/>
  <c r="N239" i="49"/>
  <c r="C104" i="49" s="1"/>
  <c r="N238" i="49"/>
  <c r="B104" i="49" s="1"/>
  <c r="N237" i="49"/>
  <c r="F103" i="49" s="1"/>
  <c r="N236" i="49"/>
  <c r="E103" i="49" s="1"/>
  <c r="N235" i="49"/>
  <c r="D103" i="49" s="1"/>
  <c r="N234" i="49"/>
  <c r="C103" i="49" s="1"/>
  <c r="N233" i="49"/>
  <c r="B103" i="49" s="1"/>
  <c r="N232" i="49"/>
  <c r="F102" i="49" s="1"/>
  <c r="N231" i="49"/>
  <c r="E102" i="49" s="1"/>
  <c r="N230" i="49"/>
  <c r="D102" i="49" s="1"/>
  <c r="N229" i="49"/>
  <c r="C102" i="49" s="1"/>
  <c r="N228" i="49"/>
  <c r="B102" i="49" s="1"/>
  <c r="N227" i="49"/>
  <c r="F101" i="49" s="1"/>
  <c r="N226" i="49"/>
  <c r="E101" i="49" s="1"/>
  <c r="N225" i="49"/>
  <c r="D101" i="49" s="1"/>
  <c r="N224" i="49"/>
  <c r="C101" i="49" s="1"/>
  <c r="N223" i="49"/>
  <c r="B101" i="49" s="1"/>
  <c r="N222" i="49"/>
  <c r="F100" i="49" s="1"/>
  <c r="N221" i="49"/>
  <c r="E100" i="49" s="1"/>
  <c r="N220" i="49"/>
  <c r="D100" i="49" s="1"/>
  <c r="N219" i="49"/>
  <c r="C100" i="49" s="1"/>
  <c r="N218" i="49"/>
  <c r="B100" i="49" s="1"/>
  <c r="N217" i="49"/>
  <c r="F99" i="49" s="1"/>
  <c r="N216" i="49"/>
  <c r="E99" i="49" s="1"/>
  <c r="N215" i="49"/>
  <c r="D99" i="49" s="1"/>
  <c r="N214" i="49"/>
  <c r="C99" i="49" s="1"/>
  <c r="N213" i="49"/>
  <c r="B99" i="49" s="1"/>
  <c r="N212" i="49"/>
  <c r="E95" i="49" s="1"/>
  <c r="N211" i="49"/>
  <c r="D95" i="49" s="1"/>
  <c r="N210" i="49"/>
  <c r="C95" i="49" s="1"/>
  <c r="N209" i="49"/>
  <c r="B95" i="49" s="1"/>
  <c r="N208" i="49"/>
  <c r="E94" i="49" s="1"/>
  <c r="N207" i="49"/>
  <c r="D94" i="49" s="1"/>
  <c r="N206" i="49"/>
  <c r="C94" i="49" s="1"/>
  <c r="N205" i="49"/>
  <c r="B94" i="49" s="1"/>
  <c r="N204" i="49"/>
  <c r="E93" i="49" s="1"/>
  <c r="N203" i="49"/>
  <c r="D93" i="49" s="1"/>
  <c r="N202" i="49"/>
  <c r="C93" i="49" s="1"/>
  <c r="N201" i="49"/>
  <c r="B93" i="49" s="1"/>
  <c r="N200" i="49"/>
  <c r="E92" i="49" s="1"/>
  <c r="N199" i="49"/>
  <c r="D92" i="49" s="1"/>
  <c r="N198" i="49"/>
  <c r="C92" i="49" s="1"/>
  <c r="N197" i="49"/>
  <c r="B92" i="49" s="1"/>
  <c r="N196" i="49"/>
  <c r="E91" i="49" s="1"/>
  <c r="N195" i="49"/>
  <c r="D91" i="49" s="1"/>
  <c r="N194" i="49"/>
  <c r="C91" i="49" s="1"/>
  <c r="N193" i="49"/>
  <c r="B91" i="49" s="1"/>
  <c r="N192" i="49"/>
  <c r="E90" i="49" s="1"/>
  <c r="N191" i="49"/>
  <c r="D90" i="49" s="1"/>
  <c r="N190" i="49"/>
  <c r="C90" i="49" s="1"/>
  <c r="N189" i="49"/>
  <c r="B90" i="49" s="1"/>
  <c r="N188" i="49"/>
  <c r="E89" i="49" s="1"/>
  <c r="N187" i="49"/>
  <c r="D89" i="49" s="1"/>
  <c r="N186" i="49"/>
  <c r="C89" i="49" s="1"/>
  <c r="N185" i="49"/>
  <c r="B89" i="49" s="1"/>
  <c r="N184" i="49"/>
  <c r="E88" i="49" s="1"/>
  <c r="N183" i="49"/>
  <c r="D88" i="49" s="1"/>
  <c r="N182" i="49"/>
  <c r="C88" i="49" s="1"/>
  <c r="N181" i="49"/>
  <c r="B88" i="49" s="1"/>
  <c r="N180" i="49"/>
  <c r="E84" i="49" s="1"/>
  <c r="N179" i="49"/>
  <c r="D84" i="49" s="1"/>
  <c r="N178" i="49"/>
  <c r="C84" i="49" s="1"/>
  <c r="N177" i="49"/>
  <c r="B84" i="49" s="1"/>
  <c r="N176" i="49"/>
  <c r="E83" i="49" s="1"/>
  <c r="N175" i="49"/>
  <c r="D83" i="49" s="1"/>
  <c r="N174" i="49"/>
  <c r="C83" i="49" s="1"/>
  <c r="N173" i="49"/>
  <c r="B83" i="49" s="1"/>
  <c r="N172" i="49"/>
  <c r="E82" i="49" s="1"/>
  <c r="N171" i="49"/>
  <c r="D82" i="49" s="1"/>
  <c r="N170" i="49"/>
  <c r="C82" i="49" s="1"/>
  <c r="N169" i="49"/>
  <c r="B82" i="49" s="1"/>
  <c r="N168" i="49"/>
  <c r="E81" i="49" s="1"/>
  <c r="N167" i="49"/>
  <c r="D81" i="49" s="1"/>
  <c r="N166" i="49"/>
  <c r="C81" i="49" s="1"/>
  <c r="N165" i="49"/>
  <c r="B81" i="49" s="1"/>
  <c r="N164" i="49"/>
  <c r="E80" i="49" s="1"/>
  <c r="N163" i="49"/>
  <c r="D80" i="49" s="1"/>
  <c r="N162" i="49"/>
  <c r="C80" i="49" s="1"/>
  <c r="N161" i="49"/>
  <c r="B80" i="49" s="1"/>
  <c r="N160" i="49"/>
  <c r="E79" i="49" s="1"/>
  <c r="N159" i="49"/>
  <c r="D79" i="49" s="1"/>
  <c r="N158" i="49"/>
  <c r="C79" i="49" s="1"/>
  <c r="N157" i="49"/>
  <c r="B79" i="49" s="1"/>
  <c r="N156" i="49"/>
  <c r="E78" i="49" s="1"/>
  <c r="N155" i="49"/>
  <c r="D78" i="49" s="1"/>
  <c r="N154" i="49"/>
  <c r="C78" i="49" s="1"/>
  <c r="N153" i="49"/>
  <c r="B78" i="49" s="1"/>
  <c r="N152" i="49"/>
  <c r="E77" i="49" s="1"/>
  <c r="N151" i="49"/>
  <c r="D77" i="49" s="1"/>
  <c r="N150" i="49"/>
  <c r="C77" i="49" s="1"/>
  <c r="N149" i="49"/>
  <c r="B77" i="49" s="1"/>
  <c r="N143" i="49"/>
  <c r="F71" i="49" s="1"/>
  <c r="N142" i="49"/>
  <c r="E71" i="49" s="1"/>
  <c r="N141" i="49"/>
  <c r="D71" i="49" s="1"/>
  <c r="N140" i="49"/>
  <c r="C71" i="49" s="1"/>
  <c r="N139" i="49"/>
  <c r="B71" i="49" s="1"/>
  <c r="N138" i="49"/>
  <c r="F70" i="49" s="1"/>
  <c r="N137" i="49"/>
  <c r="E70" i="49" s="1"/>
  <c r="N136" i="49"/>
  <c r="D70" i="49" s="1"/>
  <c r="N135" i="49"/>
  <c r="C70" i="49" s="1"/>
  <c r="N134" i="49"/>
  <c r="B70" i="49" s="1"/>
  <c r="N133" i="49"/>
  <c r="F69" i="49" s="1"/>
  <c r="N132" i="49"/>
  <c r="E69" i="49" s="1"/>
  <c r="N131" i="49"/>
  <c r="D69" i="49" s="1"/>
  <c r="N130" i="49"/>
  <c r="C69" i="49" s="1"/>
  <c r="N129" i="49"/>
  <c r="B69" i="49" s="1"/>
  <c r="N128" i="49"/>
  <c r="F68" i="49" s="1"/>
  <c r="N127" i="49"/>
  <c r="E68" i="49" s="1"/>
  <c r="N126" i="49"/>
  <c r="D68" i="49" s="1"/>
  <c r="N125" i="49"/>
  <c r="C68" i="49" s="1"/>
  <c r="N124" i="49"/>
  <c r="B68" i="49" s="1"/>
  <c r="N123" i="49"/>
  <c r="F67" i="49" s="1"/>
  <c r="N122" i="49"/>
  <c r="E67" i="49" s="1"/>
  <c r="N121" i="49"/>
  <c r="D67" i="49" s="1"/>
  <c r="N120" i="49"/>
  <c r="C67" i="49" s="1"/>
  <c r="N119" i="49"/>
  <c r="B67" i="49" s="1"/>
  <c r="N118" i="49"/>
  <c r="N117" i="49"/>
  <c r="N116" i="49"/>
  <c r="N115" i="49"/>
  <c r="N114" i="49"/>
  <c r="N113" i="49"/>
  <c r="F62" i="49" s="1"/>
  <c r="N112" i="49"/>
  <c r="E62" i="49" s="1"/>
  <c r="N111" i="49"/>
  <c r="D62" i="49" s="1"/>
  <c r="N110" i="49"/>
  <c r="C62" i="49" s="1"/>
  <c r="N109" i="49"/>
  <c r="B62" i="49" s="1"/>
  <c r="N108" i="49"/>
  <c r="F61" i="49" s="1"/>
  <c r="N107" i="49"/>
  <c r="E61" i="49" s="1"/>
  <c r="N106" i="49"/>
  <c r="D61" i="49" s="1"/>
  <c r="N105" i="49"/>
  <c r="C61" i="49" s="1"/>
  <c r="N104" i="49"/>
  <c r="B61" i="49" s="1"/>
  <c r="N103" i="49"/>
  <c r="F60" i="49" s="1"/>
  <c r="N102" i="49"/>
  <c r="E60" i="49" s="1"/>
  <c r="N101" i="49"/>
  <c r="D60" i="49" s="1"/>
  <c r="N100" i="49"/>
  <c r="C60" i="49" s="1"/>
  <c r="N99" i="49"/>
  <c r="B60" i="49" s="1"/>
  <c r="N98" i="49"/>
  <c r="F59" i="49" s="1"/>
  <c r="N97" i="49"/>
  <c r="E59" i="49" s="1"/>
  <c r="N96" i="49"/>
  <c r="D59" i="49" s="1"/>
  <c r="N95" i="49"/>
  <c r="C59" i="49" s="1"/>
  <c r="N94" i="49"/>
  <c r="B59" i="49" s="1"/>
  <c r="N93" i="49"/>
  <c r="F54" i="49" s="1"/>
  <c r="N92" i="49"/>
  <c r="E54" i="49" s="1"/>
  <c r="N91" i="49"/>
  <c r="D54" i="49" s="1"/>
  <c r="N90" i="49"/>
  <c r="C54" i="49" s="1"/>
  <c r="N89" i="49"/>
  <c r="B54" i="49" s="1"/>
  <c r="N88" i="49"/>
  <c r="F53" i="49" s="1"/>
  <c r="N87" i="49"/>
  <c r="E53" i="49" s="1"/>
  <c r="N86" i="49"/>
  <c r="D53" i="49" s="1"/>
  <c r="N85" i="49"/>
  <c r="C53" i="49" s="1"/>
  <c r="N84" i="49"/>
  <c r="B53" i="49" s="1"/>
  <c r="N83" i="49"/>
  <c r="F52" i="49" s="1"/>
  <c r="N82" i="49"/>
  <c r="E52" i="49" s="1"/>
  <c r="N81" i="49"/>
  <c r="D52" i="49" s="1"/>
  <c r="N80" i="49"/>
  <c r="C52" i="49" s="1"/>
  <c r="N79" i="49"/>
  <c r="B52" i="49" s="1"/>
  <c r="N78" i="49"/>
  <c r="F51" i="49" s="1"/>
  <c r="N77" i="49"/>
  <c r="E51" i="49" s="1"/>
  <c r="N76" i="49"/>
  <c r="D51" i="49" s="1"/>
  <c r="N75" i="49"/>
  <c r="C51" i="49" s="1"/>
  <c r="N74" i="49"/>
  <c r="B51" i="49" s="1"/>
  <c r="N73" i="49"/>
  <c r="F47" i="49" s="1"/>
  <c r="N72" i="49"/>
  <c r="E47" i="49" s="1"/>
  <c r="N71" i="49"/>
  <c r="D47" i="49" s="1"/>
  <c r="N70" i="49"/>
  <c r="C47" i="49" s="1"/>
  <c r="N69" i="49"/>
  <c r="B47" i="49" s="1"/>
  <c r="N68" i="49"/>
  <c r="F42" i="49" s="1"/>
  <c r="N67" i="49"/>
  <c r="E42" i="49" s="1"/>
  <c r="N66" i="49"/>
  <c r="D42" i="49" s="1"/>
  <c r="N65" i="49"/>
  <c r="C42" i="49" s="1"/>
  <c r="N64" i="49"/>
  <c r="B42" i="49" s="1"/>
  <c r="N63" i="49"/>
  <c r="F41" i="49" s="1"/>
  <c r="N62" i="49"/>
  <c r="E41" i="49" s="1"/>
  <c r="N61" i="49"/>
  <c r="D41" i="49" s="1"/>
  <c r="N60" i="49"/>
  <c r="C41" i="49" s="1"/>
  <c r="N59" i="49"/>
  <c r="B41" i="49" s="1"/>
  <c r="N58" i="49"/>
  <c r="F40" i="49" s="1"/>
  <c r="N57" i="49"/>
  <c r="E40" i="49" s="1"/>
  <c r="N56" i="49"/>
  <c r="D40" i="49" s="1"/>
  <c r="N55" i="49"/>
  <c r="C40" i="49" s="1"/>
  <c r="N54" i="49"/>
  <c r="B40" i="49" s="1"/>
  <c r="N53" i="49"/>
  <c r="F39" i="49" s="1"/>
  <c r="N52" i="49"/>
  <c r="E39" i="49" s="1"/>
  <c r="N51" i="49"/>
  <c r="D39" i="49" s="1"/>
  <c r="N50" i="49"/>
  <c r="C39" i="49" s="1"/>
  <c r="N49" i="49"/>
  <c r="B39" i="49" s="1"/>
  <c r="N48" i="49"/>
  <c r="F38" i="49" s="1"/>
  <c r="N47" i="49"/>
  <c r="E38" i="49" s="1"/>
  <c r="N46" i="49"/>
  <c r="D38" i="49" s="1"/>
  <c r="N45" i="49"/>
  <c r="C38" i="49" s="1"/>
  <c r="N44" i="49"/>
  <c r="B38" i="49" s="1"/>
  <c r="N43" i="49"/>
  <c r="B34" i="49" s="1"/>
  <c r="N42" i="49"/>
  <c r="B33" i="49" s="1"/>
  <c r="N41" i="49"/>
  <c r="B32" i="49" s="1"/>
  <c r="N40" i="49"/>
  <c r="B31" i="49" s="1"/>
  <c r="N39" i="49"/>
  <c r="B30" i="49" s="1"/>
  <c r="N38" i="49"/>
  <c r="B29" i="49" s="1"/>
  <c r="N37" i="49"/>
  <c r="B28" i="49" s="1"/>
  <c r="N36" i="49"/>
  <c r="B27" i="49" s="1"/>
  <c r="N35" i="49"/>
  <c r="B26" i="49" s="1"/>
  <c r="N34" i="49"/>
  <c r="B25" i="49" s="1"/>
  <c r="N33" i="49"/>
  <c r="B24" i="49" s="1"/>
  <c r="N32" i="49"/>
  <c r="B23" i="49" s="1"/>
  <c r="N31" i="49"/>
  <c r="B22" i="49" s="1"/>
  <c r="N30" i="49"/>
  <c r="B21" i="49" s="1"/>
  <c r="N29" i="49"/>
  <c r="C17" i="49" s="1"/>
  <c r="N28" i="49"/>
  <c r="B17" i="49" s="1"/>
  <c r="N27" i="49"/>
  <c r="C16" i="49" s="1"/>
  <c r="N26" i="49"/>
  <c r="B16" i="49" s="1"/>
  <c r="N25" i="49"/>
  <c r="C15" i="49" s="1"/>
  <c r="N24" i="49"/>
  <c r="B15" i="49" s="1"/>
  <c r="N23" i="49"/>
  <c r="C14" i="49" s="1"/>
  <c r="N22" i="49"/>
  <c r="B14" i="49" s="1"/>
  <c r="N21" i="49"/>
  <c r="C13" i="49" s="1"/>
  <c r="N20" i="49"/>
  <c r="B13" i="49" s="1"/>
  <c r="N19" i="49"/>
  <c r="C12" i="49" s="1"/>
  <c r="N18" i="49"/>
  <c r="B12" i="49" s="1"/>
  <c r="N17" i="49"/>
  <c r="C11" i="49" s="1"/>
  <c r="N16" i="49"/>
  <c r="B11" i="49" s="1"/>
  <c r="N15" i="49"/>
  <c r="C10" i="49" s="1"/>
  <c r="N14" i="49"/>
  <c r="B10" i="49" s="1"/>
  <c r="N13" i="49"/>
  <c r="C9" i="49" s="1"/>
  <c r="N12" i="49"/>
  <c r="B9" i="49" s="1"/>
  <c r="N11" i="49"/>
  <c r="C8" i="49" s="1"/>
  <c r="N10" i="49"/>
  <c r="B8" i="49" s="1"/>
  <c r="N9" i="49"/>
  <c r="C7" i="49" s="1"/>
  <c r="N8" i="49"/>
  <c r="B7" i="49" s="1"/>
  <c r="N7" i="49"/>
  <c r="C6" i="49" s="1"/>
  <c r="N6" i="49"/>
  <c r="B6" i="49" s="1"/>
  <c r="N5" i="49"/>
  <c r="C5" i="49" s="1"/>
  <c r="N4" i="49"/>
  <c r="B5" i="49" s="1"/>
  <c r="N3" i="49"/>
  <c r="C4" i="49" s="1"/>
  <c r="N2" i="49"/>
  <c r="B4" i="49" s="1"/>
  <c r="BMV11" i="24"/>
  <c r="BMT11" i="24"/>
  <c r="BMU11" i="24" s="1"/>
  <c r="W7" i="24"/>
  <c r="BJS2" i="24"/>
  <c r="BJR2" i="24"/>
  <c r="BJQ2" i="24"/>
  <c r="BJP2" i="24"/>
  <c r="BJO2" i="24"/>
  <c r="BJN2" i="24"/>
  <c r="BJM2" i="24"/>
  <c r="BJL2" i="24"/>
  <c r="BJK2" i="24"/>
  <c r="BJJ2" i="24"/>
  <c r="BJI2" i="24"/>
  <c r="BJH2" i="24"/>
  <c r="BJG2" i="24"/>
  <c r="BJF2" i="24"/>
  <c r="BJE2" i="24"/>
  <c r="BJD2" i="24"/>
  <c r="BJC2" i="24"/>
  <c r="BJB2" i="24"/>
  <c r="BJA2" i="24"/>
  <c r="BIZ2" i="24"/>
  <c r="BIY2" i="24"/>
  <c r="BIX2" i="24"/>
  <c r="BIW2" i="24"/>
  <c r="BIV2" i="24"/>
  <c r="BIU2" i="24"/>
  <c r="BIT2" i="24"/>
  <c r="BIS2" i="24"/>
  <c r="BIR2" i="24"/>
  <c r="BIQ2" i="24"/>
  <c r="BIP2" i="24"/>
  <c r="BIO2" i="24"/>
  <c r="BIN2" i="24"/>
  <c r="BIM2" i="24"/>
  <c r="BIL2" i="24"/>
  <c r="BIK2" i="24"/>
  <c r="BIJ2" i="24"/>
  <c r="BII2" i="24"/>
  <c r="BIH2" i="24"/>
  <c r="BIG2" i="24"/>
  <c r="BIF2" i="24"/>
  <c r="BIE2" i="24"/>
  <c r="BID2" i="24"/>
  <c r="BIC2" i="24"/>
  <c r="BIB2" i="24"/>
  <c r="BIA2" i="24"/>
  <c r="BHZ2" i="24"/>
  <c r="BHY2" i="24"/>
  <c r="BHX2" i="24"/>
  <c r="BHW2" i="24"/>
  <c r="BHV2" i="24"/>
  <c r="BHU2" i="24"/>
  <c r="BHT2" i="24"/>
  <c r="BHS2" i="24"/>
  <c r="BHR2" i="24"/>
  <c r="BHQ2" i="24"/>
  <c r="BHP2" i="24"/>
  <c r="BHO2" i="24"/>
  <c r="BHN2" i="24"/>
  <c r="BHM2" i="24"/>
  <c r="BHL2" i="24"/>
  <c r="BHK2" i="24"/>
  <c r="BHJ2" i="24"/>
  <c r="BHI2" i="24"/>
  <c r="BHH2" i="24"/>
  <c r="BHG2" i="24"/>
  <c r="BHF2" i="24"/>
  <c r="BHE2" i="24"/>
  <c r="BHD2" i="24"/>
  <c r="BHC2" i="24"/>
  <c r="BHB2" i="24"/>
  <c r="BHA2" i="24"/>
  <c r="BGZ2" i="24"/>
  <c r="BGY2" i="24"/>
  <c r="BGX2" i="24"/>
  <c r="BGW2" i="24"/>
  <c r="BGV2" i="24"/>
  <c r="BGU2" i="24"/>
  <c r="BGT2" i="24"/>
  <c r="BGS2" i="24"/>
  <c r="BGR2" i="24"/>
  <c r="BGQ2" i="24"/>
  <c r="BGP2" i="24"/>
  <c r="BGO2" i="24"/>
  <c r="BGN2" i="24"/>
  <c r="BGM2" i="24"/>
  <c r="BGL2" i="24"/>
  <c r="BGK2" i="24"/>
  <c r="BGJ2" i="24"/>
  <c r="BGI2" i="24"/>
  <c r="BGH2" i="24"/>
  <c r="BGG2" i="24"/>
  <c r="BGF2" i="24"/>
  <c r="BGE2" i="24"/>
  <c r="BGD2" i="24"/>
  <c r="BGC2" i="24"/>
  <c r="BGB2" i="24"/>
  <c r="BGA2" i="24"/>
  <c r="BFZ2" i="24"/>
  <c r="BFY2" i="24"/>
  <c r="BFX2" i="24"/>
  <c r="BFW2" i="24"/>
  <c r="BFV2" i="24"/>
  <c r="BFU2" i="24"/>
  <c r="BFT2" i="24"/>
  <c r="BFS2" i="24"/>
  <c r="BFR2" i="24"/>
  <c r="BFQ2" i="24"/>
  <c r="BFP2" i="24"/>
  <c r="BFO2" i="24"/>
  <c r="BFN2" i="24"/>
  <c r="BFM2" i="24"/>
  <c r="BFL2" i="24"/>
  <c r="BFK2" i="24"/>
  <c r="BFJ2" i="24"/>
  <c r="BFI2" i="24"/>
  <c r="BFH2" i="24"/>
  <c r="BFG2" i="24"/>
  <c r="BFF2" i="24"/>
  <c r="BFE2" i="24"/>
  <c r="BFD2" i="24"/>
  <c r="BFC2" i="24"/>
  <c r="BFB2" i="24"/>
  <c r="BFA2" i="24"/>
  <c r="BEZ2" i="24"/>
  <c r="BEY2" i="24"/>
  <c r="BEX2" i="24"/>
  <c r="BEW2" i="24"/>
  <c r="BEV2" i="24"/>
  <c r="BEU2" i="24"/>
  <c r="BET2" i="24"/>
  <c r="BES2" i="24"/>
  <c r="BER2" i="24"/>
  <c r="BEQ2" i="24"/>
  <c r="BEP2" i="24"/>
  <c r="BEO2" i="24"/>
  <c r="BEN2" i="24"/>
  <c r="BEM2" i="24"/>
  <c r="BEL2" i="24"/>
  <c r="BEK2" i="24"/>
  <c r="BEJ2" i="24"/>
  <c r="BEI2" i="24"/>
  <c r="BEH2" i="24"/>
  <c r="BEG2" i="24"/>
  <c r="BEF2" i="24"/>
  <c r="BEE2" i="24"/>
  <c r="BED2" i="24"/>
  <c r="BEC2" i="24"/>
  <c r="BEB2" i="24"/>
  <c r="BEA2" i="24"/>
  <c r="BDZ2" i="24"/>
  <c r="BDY2" i="24"/>
  <c r="BDX2" i="24"/>
  <c r="BDW2" i="24"/>
  <c r="BDV2" i="24"/>
  <c r="BDU2" i="24"/>
  <c r="BDT2" i="24"/>
  <c r="BDS2" i="24"/>
  <c r="BDR2" i="24"/>
  <c r="BDQ2" i="24"/>
  <c r="BDP2" i="24"/>
  <c r="BDO2" i="24"/>
  <c r="BDN2" i="24"/>
  <c r="BDM2" i="24"/>
  <c r="BDL2" i="24"/>
  <c r="BDK2" i="24"/>
  <c r="BDJ2" i="24"/>
  <c r="BDI2" i="24"/>
  <c r="BDH2" i="24"/>
  <c r="BDG2" i="24"/>
  <c r="BDF2" i="24"/>
  <c r="BDE2" i="24"/>
  <c r="BDD2" i="24"/>
  <c r="BDC2" i="24"/>
  <c r="BDB2" i="24"/>
  <c r="BDA2" i="24"/>
  <c r="BCZ2" i="24"/>
  <c r="BCY2" i="24"/>
  <c r="BCX2" i="24"/>
  <c r="BCW2" i="24"/>
  <c r="BCV2" i="24"/>
  <c r="BCU2" i="24"/>
  <c r="BCT2" i="24"/>
  <c r="BCS2" i="24"/>
  <c r="BCR2" i="24"/>
  <c r="BCQ2" i="24"/>
  <c r="BCP2" i="24"/>
  <c r="BCO2" i="24"/>
  <c r="BCN2" i="24"/>
  <c r="BCM2" i="24"/>
  <c r="BCL2" i="24"/>
  <c r="BCK2" i="24"/>
  <c r="BCJ2" i="24"/>
  <c r="BCI2" i="24"/>
  <c r="BCH2" i="24"/>
  <c r="BCG2" i="24"/>
  <c r="BCF2" i="24"/>
  <c r="BCE2" i="24"/>
  <c r="BCD2" i="24"/>
  <c r="BCC2" i="24"/>
  <c r="BCB2" i="24"/>
  <c r="BCA2" i="24"/>
  <c r="BBZ2" i="24"/>
  <c r="BBY2" i="24"/>
  <c r="BBX2" i="24"/>
  <c r="BBW2" i="24"/>
  <c r="BBV2" i="24"/>
  <c r="BBU2" i="24"/>
  <c r="BBT2" i="24"/>
  <c r="BBS2" i="24"/>
  <c r="BBR2" i="24"/>
  <c r="BBQ2" i="24"/>
  <c r="BBP2" i="24"/>
  <c r="BBO2" i="24"/>
  <c r="BBN2" i="24"/>
  <c r="BBM2" i="24"/>
  <c r="BBL2" i="24"/>
  <c r="BBK2" i="24"/>
  <c r="BBJ2" i="24"/>
  <c r="BBI2" i="24"/>
  <c r="BBH2" i="24"/>
  <c r="BBG2" i="24"/>
  <c r="BBF2" i="24"/>
  <c r="BBE2" i="24"/>
  <c r="BBD2" i="24"/>
  <c r="BBC2" i="24"/>
  <c r="BBB2" i="24"/>
  <c r="BBA2" i="24"/>
  <c r="BAZ2" i="24"/>
  <c r="BAY2" i="24"/>
  <c r="BAX2" i="24"/>
  <c r="BAW2" i="24"/>
  <c r="BAV2" i="24"/>
  <c r="BAU2" i="24"/>
  <c r="BAT2" i="24"/>
  <c r="BAS2" i="24"/>
  <c r="BAR2" i="24"/>
  <c r="BAQ2" i="24"/>
  <c r="BAP2" i="24"/>
  <c r="BAO2" i="24"/>
  <c r="BAN2" i="24"/>
  <c r="BAM2" i="24"/>
  <c r="BAL2" i="24"/>
  <c r="BAK2" i="24"/>
  <c r="BAJ2" i="24"/>
  <c r="BAI2" i="24"/>
  <c r="BAH2" i="24"/>
  <c r="BAG2" i="24"/>
  <c r="BAF2" i="24"/>
  <c r="BAE2" i="24"/>
  <c r="BAD2" i="24"/>
  <c r="BAC2" i="24"/>
  <c r="BAB2" i="24"/>
  <c r="BAA2" i="24"/>
  <c r="AZZ2" i="24"/>
  <c r="AZY2" i="24"/>
  <c r="AZX2" i="24"/>
  <c r="AZW2" i="24"/>
  <c r="AZV2" i="24"/>
  <c r="AZU2" i="24"/>
  <c r="AZT2" i="24"/>
  <c r="AZS2" i="24"/>
  <c r="AZR2" i="24"/>
  <c r="AZQ2" i="24"/>
  <c r="AZP2" i="24"/>
  <c r="AZO2" i="24"/>
  <c r="AZN2" i="24"/>
  <c r="AZM2" i="24"/>
  <c r="AZL2" i="24"/>
  <c r="AZK2" i="24"/>
  <c r="AZJ2" i="24"/>
  <c r="AZI2" i="24"/>
  <c r="AZH2" i="24"/>
  <c r="AZG2" i="24"/>
  <c r="AZF2" i="24"/>
  <c r="AZE2" i="24"/>
  <c r="AZD2" i="24"/>
  <c r="AZC2" i="24"/>
  <c r="AZB2" i="24"/>
  <c r="AZA2" i="24"/>
  <c r="AYZ2" i="24"/>
  <c r="AYY2" i="24"/>
  <c r="AYX2" i="24"/>
  <c r="AYW2" i="24"/>
  <c r="AYV2" i="24"/>
  <c r="AYU2" i="24"/>
  <c r="AYT2" i="24"/>
  <c r="AYS2" i="24"/>
  <c r="AYR2" i="24"/>
  <c r="AYQ2" i="24"/>
  <c r="AYP2" i="24"/>
  <c r="AYO2" i="24"/>
  <c r="AYN2" i="24"/>
  <c r="AYM2" i="24"/>
  <c r="AYL2" i="24"/>
  <c r="AYK2" i="24"/>
  <c r="AYJ2" i="24"/>
  <c r="AYI2" i="24"/>
  <c r="AYH2" i="24"/>
  <c r="AYG2" i="24"/>
  <c r="AYF2" i="24"/>
  <c r="AYE2" i="24"/>
  <c r="AYD2" i="24"/>
  <c r="AYC2" i="24"/>
  <c r="AYB2" i="24"/>
  <c r="AYA2" i="24"/>
  <c r="AXZ2" i="24"/>
  <c r="AXY2" i="24"/>
  <c r="AXX2" i="24"/>
  <c r="AXW2" i="24"/>
  <c r="AXV2" i="24"/>
  <c r="AXU2" i="24"/>
  <c r="AXT2" i="24"/>
  <c r="AXS2" i="24"/>
  <c r="AXR2" i="24"/>
  <c r="AXQ2" i="24"/>
  <c r="AXP2" i="24"/>
  <c r="AXO2" i="24"/>
  <c r="AXN2" i="24"/>
  <c r="AXM2" i="24"/>
  <c r="AXL2" i="24"/>
  <c r="AXK2" i="24"/>
  <c r="AXJ2" i="24"/>
  <c r="AXI2" i="24"/>
  <c r="AXH2" i="24"/>
  <c r="AXG2" i="24"/>
  <c r="AXF2" i="24"/>
  <c r="AXE2" i="24"/>
  <c r="AXD2" i="24"/>
  <c r="AXC2" i="24"/>
  <c r="AXB2" i="24"/>
  <c r="AXA2" i="24"/>
  <c r="AWZ2" i="24"/>
  <c r="AWY2" i="24"/>
  <c r="AWX2" i="24"/>
  <c r="AWW2" i="24"/>
  <c r="AWV2" i="24"/>
  <c r="AWU2" i="24"/>
  <c r="AWT2" i="24"/>
  <c r="AWS2" i="24"/>
  <c r="AWR2" i="24"/>
  <c r="AWQ2" i="24"/>
  <c r="AWP2" i="24"/>
  <c r="AWO2" i="24"/>
  <c r="AWN2" i="24"/>
  <c r="AWM2" i="24"/>
  <c r="AWL2" i="24"/>
  <c r="AWK2" i="24"/>
  <c r="AWJ2" i="24"/>
  <c r="AWI2" i="24"/>
  <c r="AWH2" i="24"/>
  <c r="AWG2" i="24"/>
  <c r="AWF2" i="24"/>
  <c r="AWE2" i="24"/>
  <c r="AWD2" i="24"/>
  <c r="AWC2" i="24"/>
  <c r="AWB2" i="24"/>
  <c r="AWA2" i="24"/>
  <c r="AVZ2" i="24"/>
  <c r="AVY2" i="24"/>
  <c r="AVX2" i="24"/>
  <c r="AVW2" i="24"/>
  <c r="AVV2" i="24"/>
  <c r="AVU2" i="24"/>
  <c r="AVT2" i="24"/>
  <c r="AVS2" i="24"/>
  <c r="AVR2" i="24"/>
  <c r="AVQ2" i="24"/>
  <c r="AVP2" i="24"/>
  <c r="AVO2" i="24"/>
  <c r="AVN2" i="24"/>
  <c r="AVM2" i="24"/>
  <c r="AVL2" i="24"/>
  <c r="AVK2" i="24"/>
  <c r="AVJ2" i="24"/>
  <c r="AVI2" i="24"/>
  <c r="AVH2" i="24"/>
  <c r="AVG2" i="24"/>
  <c r="AVF2" i="24"/>
  <c r="AVE2" i="24"/>
  <c r="AVD2" i="24"/>
  <c r="AVC2" i="24"/>
  <c r="AVB2" i="24"/>
  <c r="AVA2" i="24"/>
  <c r="AUZ2" i="24"/>
  <c r="AUY2" i="24"/>
  <c r="AUX2" i="24"/>
  <c r="AUW2" i="24"/>
  <c r="AUV2" i="24"/>
  <c r="AUU2" i="24"/>
  <c r="AUT2" i="24"/>
  <c r="AUS2" i="24"/>
  <c r="AUR2" i="24"/>
  <c r="AUQ2" i="24"/>
  <c r="AUP2" i="24"/>
  <c r="AUO2" i="24"/>
  <c r="AUN2" i="24"/>
  <c r="AUM2" i="24"/>
  <c r="AUL2" i="24"/>
  <c r="AUK2" i="24"/>
  <c r="AUJ2" i="24"/>
  <c r="AUI2" i="24"/>
  <c r="AUH2" i="24"/>
  <c r="AUG2" i="24"/>
  <c r="AUF2" i="24"/>
  <c r="AUE2" i="24"/>
  <c r="AUD2" i="24"/>
  <c r="AUC2" i="24"/>
  <c r="AUB2" i="24"/>
  <c r="AUA2" i="24"/>
  <c r="ATZ2" i="24"/>
  <c r="ATY2" i="24"/>
  <c r="ATX2" i="24"/>
  <c r="ATW2" i="24"/>
  <c r="ATV2" i="24"/>
  <c r="ATU2" i="24"/>
  <c r="ATT2" i="24"/>
  <c r="ATS2" i="24"/>
  <c r="ATR2" i="24"/>
  <c r="ATQ2" i="24"/>
  <c r="ATP2" i="24"/>
  <c r="ATO2" i="24"/>
  <c r="ATN2" i="24"/>
  <c r="ATM2" i="24"/>
  <c r="ATL2" i="24"/>
  <c r="ATK2" i="24"/>
  <c r="ATJ2" i="24"/>
  <c r="ATI2" i="24"/>
  <c r="ATH2" i="24"/>
  <c r="ATG2" i="24"/>
  <c r="ATF2" i="24"/>
  <c r="ATE2" i="24"/>
  <c r="ATD2" i="24"/>
  <c r="ATC2" i="24"/>
  <c r="ATB2" i="24"/>
  <c r="ATA2" i="24"/>
  <c r="ASZ2" i="24"/>
  <c r="ASY2" i="24"/>
  <c r="ASX2" i="24"/>
  <c r="ASW2" i="24"/>
  <c r="ASV2" i="24"/>
  <c r="ASU2" i="24"/>
  <c r="AST2" i="24"/>
  <c r="ASS2" i="24"/>
  <c r="ASR2" i="24"/>
  <c r="ASQ2" i="24"/>
  <c r="ASP2" i="24"/>
  <c r="ASO2" i="24"/>
  <c r="ASN2" i="24"/>
  <c r="ASM2" i="24"/>
  <c r="ASL2" i="24"/>
  <c r="ASK2" i="24"/>
  <c r="ASJ2" i="24"/>
  <c r="ASI2" i="24"/>
  <c r="ASH2" i="24"/>
  <c r="ASG2" i="24"/>
  <c r="ASF2" i="24"/>
  <c r="ASE2" i="24"/>
  <c r="ASD2" i="24"/>
  <c r="ASC2" i="24"/>
  <c r="ASB2" i="24"/>
  <c r="ASA2" i="24"/>
  <c r="ARZ2" i="24"/>
  <c r="ARY2" i="24"/>
  <c r="ARX2" i="24"/>
  <c r="ARW2" i="24"/>
  <c r="ARV2" i="24"/>
  <c r="ARU2" i="24"/>
  <c r="ART2" i="24"/>
  <c r="ARS2" i="24"/>
  <c r="ARR2" i="24"/>
  <c r="ARQ2" i="24"/>
  <c r="ARP2" i="24"/>
  <c r="ARO2" i="24"/>
  <c r="ARN2" i="24"/>
  <c r="ARM2" i="24"/>
  <c r="ARL2" i="24"/>
  <c r="ARK2" i="24"/>
  <c r="ARJ2" i="24"/>
  <c r="ARI2" i="24"/>
  <c r="ARH2" i="24"/>
  <c r="ARG2" i="24"/>
  <c r="ARF2" i="24"/>
  <c r="ARE2" i="24"/>
  <c r="ARD2" i="24"/>
  <c r="ARC2" i="24"/>
  <c r="ARB2" i="24"/>
  <c r="ARA2" i="24"/>
  <c r="AQZ2" i="24"/>
  <c r="AQY2" i="24"/>
  <c r="AQX2" i="24"/>
  <c r="AQW2" i="24"/>
  <c r="AQV2" i="24"/>
  <c r="AQU2" i="24"/>
  <c r="AQT2" i="24"/>
  <c r="AQS2" i="24"/>
  <c r="AQR2" i="24"/>
  <c r="AQQ2" i="24"/>
  <c r="AQP2" i="24"/>
  <c r="AQO2" i="24"/>
  <c r="AQN2" i="24"/>
  <c r="AQM2" i="24"/>
  <c r="AQL2" i="24"/>
  <c r="AQK2" i="24"/>
  <c r="AQJ2" i="24"/>
  <c r="AQI2" i="24"/>
  <c r="AQH2" i="24"/>
  <c r="AQG2" i="24"/>
  <c r="AQF2" i="24"/>
  <c r="AQE2" i="24"/>
  <c r="AQD2" i="24"/>
  <c r="AQC2" i="24"/>
  <c r="AQB2" i="24"/>
  <c r="AQA2" i="24"/>
  <c r="APZ2" i="24"/>
  <c r="APY2" i="24"/>
  <c r="APX2" i="24"/>
  <c r="APW2" i="24"/>
  <c r="APV2" i="24"/>
  <c r="APU2" i="24"/>
  <c r="APT2" i="24"/>
  <c r="APS2" i="24"/>
  <c r="APR2" i="24"/>
  <c r="APQ2" i="24"/>
  <c r="APP2" i="24"/>
  <c r="APO2" i="24"/>
  <c r="APN2" i="24"/>
  <c r="APM2" i="24"/>
  <c r="APL2" i="24"/>
  <c r="APK2" i="24"/>
  <c r="APJ2" i="24"/>
  <c r="API2" i="24"/>
  <c r="APH2" i="24"/>
  <c r="APG2" i="24"/>
  <c r="APF2" i="24"/>
  <c r="APE2" i="24"/>
  <c r="APD2" i="24"/>
  <c r="APC2" i="24"/>
  <c r="APB2" i="24"/>
  <c r="APA2" i="24"/>
  <c r="AOZ2" i="24"/>
  <c r="AOY2" i="24"/>
  <c r="AOX2" i="24"/>
  <c r="AOW2" i="24"/>
  <c r="AOV2" i="24"/>
  <c r="AOU2" i="24"/>
  <c r="AOT2" i="24"/>
  <c r="AOS2" i="24"/>
  <c r="AOR2" i="24"/>
  <c r="AOQ2" i="24"/>
  <c r="AOP2" i="24"/>
  <c r="AOO2" i="24"/>
  <c r="AON2" i="24"/>
  <c r="AOM2" i="24"/>
  <c r="AOL2" i="24"/>
  <c r="AOK2" i="24"/>
  <c r="AOJ2" i="24"/>
  <c r="AOI2" i="24"/>
  <c r="AOH2" i="24"/>
  <c r="AOG2" i="24"/>
  <c r="AOF2" i="24"/>
  <c r="AOE2" i="24"/>
  <c r="AOD2" i="24"/>
  <c r="AOC2" i="24"/>
  <c r="AOB2" i="24"/>
  <c r="AOA2" i="24"/>
  <c r="ANZ2" i="24"/>
  <c r="ANY2" i="24"/>
  <c r="ANX2" i="24"/>
  <c r="ANW2" i="24"/>
  <c r="ANV2" i="24"/>
  <c r="ANU2" i="24"/>
  <c r="ANT2" i="24"/>
  <c r="ANS2" i="24"/>
  <c r="ANR2" i="24"/>
  <c r="ANQ2" i="24"/>
  <c r="ANP2" i="24"/>
  <c r="ANO2" i="24"/>
  <c r="ANN2" i="24"/>
  <c r="ANM2" i="24"/>
  <c r="ANL2" i="24"/>
  <c r="ANK2" i="24"/>
  <c r="ANJ2" i="24"/>
  <c r="ANI2" i="24"/>
  <c r="ANH2" i="24"/>
  <c r="ANG2" i="24"/>
  <c r="ANF2" i="24"/>
  <c r="ANE2" i="24"/>
  <c r="AND2" i="24"/>
  <c r="ANC2" i="24"/>
  <c r="ANB2" i="24"/>
  <c r="ANA2" i="24"/>
  <c r="AMZ2" i="24"/>
  <c r="AMY2" i="24"/>
  <c r="AMX2" i="24"/>
  <c r="AMW2" i="24"/>
  <c r="AMV2" i="24"/>
  <c r="AMU2" i="24"/>
  <c r="AMT2" i="24"/>
  <c r="AMS2" i="24"/>
  <c r="AMR2" i="24"/>
  <c r="AMQ2" i="24"/>
  <c r="AMP2" i="24"/>
  <c r="AMO2" i="24"/>
  <c r="AMN2" i="24"/>
  <c r="AMM2" i="24"/>
  <c r="AML2" i="24"/>
  <c r="AMK2" i="24"/>
  <c r="AMJ2" i="24"/>
  <c r="AMI2" i="24"/>
  <c r="AMH2" i="24"/>
  <c r="AMG2" i="24"/>
  <c r="AMF2" i="24"/>
  <c r="AME2" i="24"/>
  <c r="AMD2" i="24"/>
  <c r="AMC2" i="24"/>
  <c r="AMB2" i="24"/>
  <c r="AMA2" i="24"/>
  <c r="ALZ2" i="24"/>
  <c r="ALY2" i="24"/>
  <c r="ALX2" i="24"/>
  <c r="ALW2" i="24"/>
  <c r="ALV2" i="24"/>
  <c r="ALU2" i="24"/>
  <c r="ALT2" i="24"/>
  <c r="ALS2" i="24"/>
  <c r="ALR2" i="24"/>
  <c r="ALQ2" i="24"/>
  <c r="ALP2" i="24"/>
  <c r="ALO2" i="24"/>
  <c r="ALN2" i="24"/>
  <c r="ALM2" i="24"/>
  <c r="ALL2" i="24"/>
  <c r="ALK2" i="24"/>
  <c r="ALJ2" i="24"/>
  <c r="ALI2" i="24"/>
  <c r="ALH2" i="24"/>
  <c r="ALG2" i="24"/>
  <c r="ALF2" i="24"/>
  <c r="ALE2" i="24"/>
  <c r="ALD2" i="24"/>
  <c r="ALC2" i="24"/>
  <c r="ALB2" i="24"/>
  <c r="ALA2" i="24"/>
  <c r="AKZ2" i="24"/>
  <c r="AKY2" i="24"/>
  <c r="AKX2" i="24"/>
  <c r="AKW2" i="24"/>
  <c r="AKV2" i="24"/>
  <c r="AKU2" i="24"/>
  <c r="AKT2" i="24"/>
  <c r="AKS2" i="24"/>
  <c r="AKR2" i="24"/>
  <c r="AKQ2" i="24"/>
  <c r="AKP2" i="24"/>
  <c r="AKO2" i="24"/>
  <c r="AKN2" i="24"/>
  <c r="AKM2" i="24"/>
  <c r="AKL2" i="24"/>
  <c r="AKK2" i="24"/>
  <c r="AKJ2" i="24"/>
  <c r="AKI2" i="24"/>
  <c r="AKH2" i="24"/>
  <c r="AKG2" i="24"/>
  <c r="AKF2" i="24"/>
  <c r="AKE2" i="24"/>
  <c r="AKD2" i="24"/>
  <c r="AKC2" i="24"/>
  <c r="AKB2" i="24"/>
  <c r="AKA2" i="24"/>
  <c r="AJZ2" i="24"/>
  <c r="AJY2" i="24"/>
  <c r="AJX2" i="24"/>
  <c r="AJW2" i="24"/>
  <c r="AJV2" i="24"/>
  <c r="AJU2" i="24"/>
  <c r="AJT2" i="24"/>
  <c r="AJS2" i="24"/>
  <c r="AJR2" i="24"/>
  <c r="AJQ2" i="24"/>
  <c r="AJP2" i="24"/>
  <c r="AJO2" i="24"/>
  <c r="AJN2" i="24"/>
  <c r="AJM2" i="24"/>
  <c r="AJL2" i="24"/>
  <c r="AJK2" i="24"/>
  <c r="AJJ2" i="24"/>
  <c r="AJI2" i="24"/>
  <c r="AJH2" i="24"/>
  <c r="AJG2" i="24"/>
  <c r="AJF2" i="24"/>
  <c r="AJE2" i="24"/>
  <c r="AJD2" i="24"/>
  <c r="AJC2" i="24"/>
  <c r="AJB2" i="24"/>
  <c r="AJA2" i="24"/>
  <c r="AIZ2" i="24"/>
  <c r="AIY2" i="24"/>
  <c r="AIX2" i="24"/>
  <c r="AIW2" i="24"/>
  <c r="AIV2" i="24"/>
  <c r="AIU2" i="24"/>
  <c r="AIT2" i="24"/>
  <c r="AIS2" i="24"/>
  <c r="AIR2" i="24"/>
  <c r="AIQ2" i="24"/>
  <c r="AIP2" i="24"/>
  <c r="AIO2" i="24"/>
  <c r="AIN2" i="24"/>
  <c r="AIM2" i="24"/>
  <c r="AIL2" i="24"/>
  <c r="AIK2" i="24"/>
  <c r="AIJ2" i="24"/>
  <c r="AII2" i="24"/>
  <c r="AIH2" i="24"/>
  <c r="AIG2" i="24"/>
  <c r="AIF2" i="24"/>
  <c r="AIE2" i="24"/>
  <c r="AID2" i="24"/>
  <c r="AIC2" i="24"/>
  <c r="AIB2" i="24"/>
  <c r="AIA2" i="24"/>
  <c r="AHZ2" i="24"/>
  <c r="AHY2" i="24"/>
  <c r="AHX2" i="24"/>
  <c r="AHW2" i="24"/>
  <c r="AHV2" i="24"/>
  <c r="AHU2" i="24"/>
  <c r="AHT2" i="24"/>
  <c r="AHS2" i="24"/>
  <c r="AHR2" i="24"/>
  <c r="AHQ2" i="24"/>
  <c r="AHP2" i="24"/>
  <c r="AHO2" i="24"/>
  <c r="AHN2" i="24"/>
  <c r="AHM2" i="24"/>
  <c r="AHL2" i="24"/>
  <c r="AHK2" i="24"/>
  <c r="AHJ2" i="24"/>
  <c r="AHI2" i="24"/>
  <c r="AHH2" i="24"/>
  <c r="AHG2" i="24"/>
  <c r="AHF2" i="24"/>
  <c r="AHE2" i="24"/>
  <c r="AHD2" i="24"/>
  <c r="AHC2" i="24"/>
  <c r="AHB2" i="24"/>
  <c r="AHA2" i="24"/>
  <c r="AGZ2" i="24"/>
  <c r="AGY2" i="24"/>
  <c r="AGX2" i="24"/>
  <c r="AGW2" i="24"/>
  <c r="AGV2" i="24"/>
  <c r="AGU2" i="24"/>
  <c r="AGT2" i="24"/>
  <c r="AGS2" i="24"/>
  <c r="AGR2" i="24"/>
  <c r="AGQ2" i="24"/>
  <c r="AGP2" i="24"/>
  <c r="AGO2" i="24"/>
  <c r="AGN2" i="24"/>
  <c r="AGM2" i="24"/>
  <c r="AGL2" i="24"/>
  <c r="AGK2" i="24"/>
  <c r="AGJ2" i="24"/>
  <c r="AGI2" i="24"/>
  <c r="AGH2" i="24"/>
  <c r="AGG2" i="24"/>
  <c r="AGF2" i="24"/>
  <c r="AGE2" i="24"/>
  <c r="AGD2" i="24"/>
  <c r="AGC2" i="24"/>
  <c r="AGB2" i="24"/>
  <c r="AGA2" i="24"/>
  <c r="AFZ2" i="24"/>
  <c r="AFY2" i="24"/>
  <c r="AFX2" i="24"/>
  <c r="AFW2" i="24"/>
  <c r="AFV2" i="24"/>
  <c r="AFU2" i="24"/>
  <c r="AFT2" i="24"/>
  <c r="AFS2" i="24"/>
  <c r="AFR2" i="24"/>
  <c r="AFQ2" i="24"/>
  <c r="AFP2" i="24"/>
  <c r="AFO2" i="24"/>
  <c r="AFN2" i="24"/>
  <c r="AFM2" i="24"/>
  <c r="AFL2" i="24"/>
  <c r="AFK2" i="24"/>
  <c r="AFJ2" i="24"/>
  <c r="AFI2" i="24"/>
  <c r="AFH2" i="24"/>
  <c r="AFG2" i="24"/>
  <c r="AFF2" i="24"/>
  <c r="AFE2" i="24"/>
  <c r="AFD2" i="24"/>
  <c r="AFC2" i="24"/>
  <c r="AFB2" i="24"/>
  <c r="AFA2" i="24"/>
  <c r="AEZ2" i="24"/>
  <c r="AEY2" i="24"/>
  <c r="AEX2" i="24"/>
  <c r="AEW2" i="24"/>
  <c r="AEV2" i="24"/>
  <c r="AEU2" i="24"/>
  <c r="AET2" i="24"/>
  <c r="AES2" i="24"/>
  <c r="AER2" i="24"/>
  <c r="AEQ2" i="24"/>
  <c r="AEP2" i="24"/>
  <c r="AEO2" i="24"/>
  <c r="AEN2" i="24"/>
  <c r="AEM2" i="24"/>
  <c r="AEL2" i="24"/>
  <c r="AEK2" i="24"/>
  <c r="AEJ2" i="24"/>
  <c r="AEI2" i="24"/>
  <c r="AEH2" i="24"/>
  <c r="AEG2" i="24"/>
  <c r="AEF2" i="24"/>
  <c r="AEE2" i="24"/>
  <c r="AED2" i="24"/>
  <c r="AEC2" i="24"/>
  <c r="AEB2" i="24"/>
  <c r="AEA2" i="24"/>
  <c r="ADZ2" i="24"/>
  <c r="ADY2" i="24"/>
  <c r="ADX2" i="24"/>
  <c r="ADW2" i="24"/>
  <c r="ADV2" i="24"/>
  <c r="ADU2" i="24"/>
  <c r="ADT2" i="24"/>
  <c r="ADS2" i="24"/>
  <c r="ADR2" i="24"/>
  <c r="ADQ2" i="24"/>
  <c r="ADP2" i="24"/>
  <c r="ADO2" i="24"/>
  <c r="ADN2" i="24"/>
  <c r="ADM2" i="24"/>
  <c r="ADL2" i="24"/>
  <c r="ADK2" i="24"/>
  <c r="ADJ2" i="24"/>
  <c r="ADI2" i="24"/>
  <c r="ADH2" i="24"/>
  <c r="ADG2" i="24"/>
  <c r="ADF2" i="24"/>
  <c r="ADE2" i="24"/>
  <c r="ADD2" i="24"/>
  <c r="ADC2" i="24"/>
  <c r="ADB2" i="24"/>
  <c r="ADA2" i="24"/>
  <c r="ACZ2" i="24"/>
  <c r="ACY2" i="24"/>
  <c r="ACX2" i="24"/>
  <c r="ACW2" i="24"/>
  <c r="ACV2" i="24"/>
  <c r="ACU2" i="24"/>
  <c r="ACT2" i="24"/>
  <c r="ACS2" i="24"/>
  <c r="ACR2" i="24"/>
  <c r="ACQ2" i="24"/>
  <c r="ACP2" i="24"/>
  <c r="ACO2" i="24"/>
  <c r="ACN2" i="24"/>
  <c r="ACM2" i="24"/>
  <c r="ACL2" i="24"/>
  <c r="ACK2" i="24"/>
  <c r="ACJ2" i="24"/>
  <c r="ACI2" i="24"/>
  <c r="ACH2" i="24"/>
  <c r="ACG2" i="24"/>
  <c r="ACF2" i="24"/>
  <c r="ACE2" i="24"/>
  <c r="ACD2" i="24"/>
  <c r="ACC2" i="24"/>
  <c r="ACB2" i="24"/>
  <c r="ACA2" i="24"/>
  <c r="ABZ2" i="24"/>
  <c r="ABY2" i="24"/>
  <c r="ABX2" i="24"/>
  <c r="ABW2" i="24"/>
  <c r="ABV2" i="24"/>
  <c r="ABU2" i="24"/>
  <c r="ABT2" i="24"/>
  <c r="ABS2" i="24"/>
  <c r="ABR2" i="24"/>
  <c r="ABQ2" i="24"/>
  <c r="ABP2" i="24"/>
  <c r="ABO2" i="24"/>
  <c r="ABN2" i="24"/>
  <c r="ABM2" i="24"/>
  <c r="ABL2" i="24"/>
  <c r="ABK2" i="24"/>
  <c r="ABJ2" i="24"/>
  <c r="ABI2" i="24"/>
  <c r="ABH2" i="24"/>
  <c r="ABG2" i="24"/>
  <c r="ABF2" i="24"/>
  <c r="ABE2" i="24"/>
  <c r="ABD2" i="24"/>
  <c r="ABC2" i="24"/>
  <c r="ABB2" i="24"/>
  <c r="ABA2" i="24"/>
  <c r="AAZ2" i="24"/>
  <c r="AAY2" i="24"/>
  <c r="AAX2" i="24"/>
  <c r="AAW2" i="24"/>
  <c r="AAV2" i="24"/>
  <c r="AAU2" i="24"/>
  <c r="AAT2" i="24"/>
  <c r="AAS2" i="24"/>
  <c r="AAR2" i="24"/>
  <c r="AAQ2" i="24"/>
  <c r="AAP2" i="24"/>
  <c r="AAO2" i="24"/>
  <c r="AAN2" i="24"/>
  <c r="AAM2" i="24"/>
  <c r="AAL2" i="24"/>
  <c r="AAK2" i="24"/>
  <c r="AAJ2" i="24"/>
  <c r="AAI2" i="24"/>
  <c r="AAH2" i="24"/>
  <c r="AAG2" i="24"/>
  <c r="AAF2" i="24"/>
  <c r="AAE2" i="24"/>
  <c r="AAD2" i="24"/>
  <c r="AAC2" i="24"/>
  <c r="AAB2" i="24"/>
  <c r="AAA2" i="24"/>
  <c r="ZZ2" i="24"/>
  <c r="ZY2" i="24"/>
  <c r="ZX2" i="24"/>
  <c r="ZW2" i="24"/>
  <c r="ZV2" i="24"/>
  <c r="ZU2" i="24"/>
  <c r="ZT2" i="24"/>
  <c r="ZS2" i="24"/>
  <c r="ZR2" i="24"/>
  <c r="ZQ2" i="24"/>
  <c r="ZP2" i="24"/>
  <c r="ZO2" i="24"/>
  <c r="ZN2" i="24"/>
  <c r="ZM2" i="24"/>
  <c r="ZL2" i="24"/>
  <c r="ZK2" i="24"/>
  <c r="ZJ2" i="24"/>
  <c r="ZI2" i="24"/>
  <c r="ZH2" i="24"/>
  <c r="ZG2" i="24"/>
  <c r="ZF2" i="24"/>
  <c r="ZE2" i="24"/>
  <c r="ZD2" i="24"/>
  <c r="ZC2" i="24"/>
  <c r="ZB2" i="24"/>
  <c r="ZA2" i="24"/>
  <c r="YZ2" i="24"/>
  <c r="YY2" i="24"/>
  <c r="YX2" i="24"/>
  <c r="YW2" i="24"/>
  <c r="YV2" i="24"/>
  <c r="YU2" i="24"/>
  <c r="YT2" i="24"/>
  <c r="YS2" i="24"/>
  <c r="YR2" i="24"/>
  <c r="YQ2" i="24"/>
  <c r="YP2" i="24"/>
  <c r="YO2" i="24"/>
  <c r="YN2" i="24"/>
  <c r="YM2" i="24"/>
  <c r="YL2" i="24"/>
  <c r="YK2" i="24"/>
  <c r="YJ2" i="24"/>
  <c r="YI2" i="24"/>
  <c r="YH2" i="24"/>
  <c r="YG2" i="24"/>
  <c r="YF2" i="24"/>
  <c r="YE2" i="24"/>
  <c r="YD2" i="24"/>
  <c r="YC2" i="24"/>
  <c r="YB2" i="24"/>
  <c r="YA2" i="24"/>
  <c r="XZ2" i="24"/>
  <c r="XY2" i="24"/>
  <c r="XX2" i="24"/>
  <c r="XW2" i="24"/>
  <c r="XV2" i="24"/>
  <c r="XU2" i="24"/>
  <c r="XT2" i="24"/>
  <c r="XS2" i="24"/>
  <c r="XR2" i="24"/>
  <c r="XQ2" i="24"/>
  <c r="XP2" i="24"/>
  <c r="XO2" i="24"/>
  <c r="XN2" i="24"/>
  <c r="XM2" i="24"/>
  <c r="XL2" i="24"/>
  <c r="XK2" i="24"/>
  <c r="XJ2" i="24"/>
  <c r="XI2" i="24"/>
  <c r="XH2" i="24"/>
  <c r="XG2" i="24"/>
  <c r="XF2" i="24"/>
  <c r="XE2" i="24"/>
  <c r="XD2" i="24"/>
  <c r="XC2" i="24"/>
  <c r="XB2" i="24"/>
  <c r="XA2" i="24"/>
  <c r="WZ2" i="24"/>
  <c r="WY2" i="24"/>
  <c r="WX2" i="24"/>
  <c r="WW2" i="24"/>
  <c r="WV2" i="24"/>
  <c r="WU2" i="24"/>
  <c r="WT2" i="24"/>
  <c r="WS2" i="24"/>
  <c r="WR2" i="24"/>
  <c r="WQ2" i="24"/>
  <c r="WP2" i="24"/>
  <c r="WO2" i="24"/>
  <c r="WN2" i="24"/>
  <c r="WM2" i="24"/>
  <c r="WL2" i="24"/>
  <c r="WK2" i="24"/>
  <c r="WJ2" i="24"/>
  <c r="WI2" i="24"/>
  <c r="WH2" i="24"/>
  <c r="WG2" i="24"/>
  <c r="WF2" i="24"/>
  <c r="WE2" i="24"/>
  <c r="WD2" i="24"/>
  <c r="WC2" i="24"/>
  <c r="WB2" i="24"/>
  <c r="WA2" i="24"/>
  <c r="VZ2" i="24"/>
  <c r="VY2" i="24"/>
  <c r="VX2" i="24"/>
  <c r="VW2" i="24"/>
  <c r="VV2" i="24"/>
  <c r="VU2" i="24"/>
  <c r="VT2" i="24"/>
  <c r="VS2" i="24"/>
  <c r="VR2" i="24"/>
  <c r="VQ2" i="24"/>
  <c r="VP2" i="24"/>
  <c r="VO2" i="24"/>
  <c r="VN2" i="24"/>
  <c r="VM2" i="24"/>
  <c r="VL2" i="24"/>
  <c r="VK2" i="24"/>
  <c r="VJ2" i="24"/>
  <c r="VI2" i="24"/>
  <c r="VH2" i="24"/>
  <c r="VG2" i="24"/>
  <c r="VF2" i="24"/>
  <c r="VE2" i="24"/>
  <c r="VD2" i="24"/>
  <c r="VC2" i="24"/>
  <c r="VB2" i="24"/>
  <c r="VA2" i="24"/>
  <c r="UZ2" i="24"/>
  <c r="UY2" i="24"/>
  <c r="UX2" i="24"/>
  <c r="UW2" i="24"/>
  <c r="UV2" i="24"/>
  <c r="UU2" i="24"/>
  <c r="UT2" i="24"/>
  <c r="US2" i="24"/>
  <c r="UR2" i="24"/>
  <c r="UQ2" i="24"/>
  <c r="UP2" i="24"/>
  <c r="UO2" i="24"/>
  <c r="UN2" i="24"/>
  <c r="UM2" i="24"/>
  <c r="UL2" i="24"/>
  <c r="UK2" i="24"/>
  <c r="UJ2" i="24"/>
  <c r="UI2" i="24"/>
  <c r="UH2" i="24"/>
  <c r="UG2" i="24"/>
  <c r="UF2" i="24"/>
  <c r="UE2" i="24"/>
  <c r="UD2" i="24"/>
  <c r="UC2" i="24"/>
  <c r="UB2" i="24"/>
  <c r="UA2" i="24"/>
  <c r="TZ2" i="24"/>
  <c r="TY2" i="24"/>
  <c r="TX2" i="24"/>
  <c r="TW2" i="24"/>
  <c r="TV2" i="24"/>
  <c r="TU2" i="24"/>
  <c r="TT2" i="24"/>
  <c r="TS2" i="24"/>
  <c r="TR2" i="24"/>
  <c r="TQ2" i="24"/>
  <c r="TP2" i="24"/>
  <c r="TO2" i="24"/>
  <c r="TN2" i="24"/>
  <c r="TM2" i="24"/>
  <c r="TL2" i="24"/>
  <c r="TK2" i="24"/>
  <c r="TJ2" i="24"/>
  <c r="TI2" i="24"/>
  <c r="TH2" i="24"/>
  <c r="TG2" i="24"/>
  <c r="TF2" i="24"/>
  <c r="TE2" i="24"/>
  <c r="TD2" i="24"/>
  <c r="TC2" i="24"/>
  <c r="TB2" i="24"/>
  <c r="TA2" i="24"/>
  <c r="SZ2" i="24"/>
  <c r="SY2" i="24"/>
  <c r="SX2" i="24"/>
  <c r="SW2" i="24"/>
  <c r="SV2" i="24"/>
  <c r="SU2" i="24"/>
  <c r="ST2" i="24"/>
  <c r="SS2" i="24"/>
  <c r="SR2" i="24"/>
  <c r="SQ2" i="24"/>
  <c r="SP2" i="24"/>
  <c r="SO2" i="24"/>
  <c r="SN2" i="24"/>
  <c r="SM2" i="24"/>
  <c r="SL2" i="24"/>
  <c r="SK2" i="24"/>
  <c r="SJ2" i="24"/>
  <c r="SI2" i="24"/>
  <c r="SH2" i="24"/>
  <c r="SG2" i="24"/>
  <c r="SF2" i="24"/>
  <c r="SE2" i="24"/>
  <c r="SD2" i="24"/>
  <c r="SC2" i="24"/>
  <c r="SB2" i="24"/>
  <c r="SA2" i="24"/>
  <c r="RZ2" i="24"/>
  <c r="RY2" i="24"/>
  <c r="RX2" i="24"/>
  <c r="RW2" i="24"/>
  <c r="RV2" i="24"/>
  <c r="RU2" i="24"/>
  <c r="RT2" i="24"/>
  <c r="RS2" i="24"/>
  <c r="RR2" i="24"/>
  <c r="RQ2" i="24"/>
  <c r="RP2" i="24"/>
  <c r="RO2" i="24"/>
  <c r="RN2" i="24"/>
  <c r="RM2" i="24"/>
  <c r="RL2" i="24"/>
  <c r="RK2" i="24"/>
  <c r="RJ2" i="24"/>
  <c r="RI2" i="24"/>
  <c r="RH2" i="24"/>
  <c r="RG2" i="24"/>
  <c r="RF2" i="24"/>
  <c r="RE2" i="24"/>
  <c r="RD2" i="24"/>
  <c r="RC2" i="24"/>
  <c r="RB2" i="24"/>
  <c r="RA2" i="24"/>
  <c r="QZ2" i="24"/>
  <c r="QY2" i="24"/>
  <c r="QX2" i="24"/>
  <c r="QW2" i="24"/>
  <c r="QV2" i="24"/>
  <c r="QU2" i="24"/>
  <c r="QT2" i="24"/>
  <c r="QS2" i="24"/>
  <c r="QR2" i="24"/>
  <c r="QQ2" i="24"/>
  <c r="QP2" i="24"/>
  <c r="QO2" i="24"/>
  <c r="QN2" i="24"/>
  <c r="QM2" i="24"/>
  <c r="QL2" i="24"/>
  <c r="QK2" i="24"/>
  <c r="QJ2" i="24"/>
  <c r="QI2" i="24"/>
  <c r="QH2" i="24"/>
  <c r="QG2" i="24"/>
  <c r="QF2" i="24"/>
  <c r="QE2" i="24"/>
  <c r="QD2" i="24"/>
  <c r="QC2" i="24"/>
  <c r="QB2" i="24"/>
  <c r="QA2" i="24"/>
  <c r="PZ2" i="24"/>
  <c r="PY2" i="24"/>
  <c r="PX2" i="24"/>
  <c r="PW2" i="24"/>
  <c r="PV2" i="24"/>
  <c r="PU2" i="24"/>
  <c r="PT2" i="24"/>
  <c r="PS2" i="24"/>
  <c r="PR2" i="24"/>
  <c r="PQ2" i="24"/>
  <c r="PP2" i="24"/>
  <c r="PO2" i="24"/>
  <c r="PN2" i="24"/>
  <c r="PM2" i="24"/>
  <c r="PL2" i="24"/>
  <c r="PK2" i="24"/>
  <c r="PJ2" i="24"/>
  <c r="PI2" i="24"/>
  <c r="PH2" i="24"/>
  <c r="PG2" i="24"/>
  <c r="PF2" i="24"/>
  <c r="PE2" i="24"/>
  <c r="PD2" i="24"/>
  <c r="PC2" i="24"/>
  <c r="PB2" i="24"/>
  <c r="PA2" i="24"/>
  <c r="OZ2" i="24"/>
  <c r="OY2" i="24"/>
  <c r="OX2" i="24"/>
  <c r="OW2" i="24"/>
  <c r="OV2" i="24"/>
  <c r="OU2" i="24"/>
  <c r="OT2" i="24"/>
  <c r="OS2" i="24"/>
  <c r="OR2" i="24"/>
  <c r="OQ2" i="24"/>
  <c r="OP2" i="24"/>
  <c r="OO2" i="24"/>
  <c r="ON2" i="24"/>
  <c r="OM2" i="24"/>
  <c r="OL2" i="24"/>
  <c r="OK2" i="24"/>
  <c r="OJ2" i="24"/>
  <c r="OI2" i="24"/>
  <c r="OH2" i="24"/>
  <c r="OG2" i="24"/>
  <c r="OF2" i="24"/>
  <c r="OE2" i="24"/>
  <c r="OD2" i="24"/>
  <c r="OC2" i="24"/>
  <c r="OB2" i="24"/>
  <c r="OA2" i="24"/>
  <c r="NZ2" i="24"/>
  <c r="NY2" i="24"/>
  <c r="NX2" i="24"/>
  <c r="NW2" i="24"/>
  <c r="NV2" i="24"/>
  <c r="NU2" i="24"/>
  <c r="NT2" i="24"/>
  <c r="NS2" i="24"/>
  <c r="NR2" i="24"/>
  <c r="NQ2" i="24"/>
  <c r="NP2" i="24"/>
  <c r="NO2" i="24"/>
  <c r="NN2" i="24"/>
  <c r="NM2" i="24"/>
  <c r="NL2" i="24"/>
  <c r="NK2" i="24"/>
  <c r="NJ2" i="24"/>
  <c r="NI2" i="24"/>
  <c r="NH2" i="24"/>
  <c r="NG2" i="24"/>
  <c r="NF2" i="24"/>
  <c r="NE2" i="24"/>
  <c r="ND2" i="24"/>
  <c r="NC2" i="24"/>
  <c r="NB2" i="24"/>
  <c r="NA2" i="24"/>
  <c r="MZ2" i="24"/>
  <c r="MY2" i="24"/>
  <c r="MX2" i="24"/>
  <c r="MW2" i="24"/>
  <c r="MV2" i="24"/>
  <c r="MU2" i="24"/>
  <c r="MT2" i="24"/>
  <c r="MS2" i="24"/>
  <c r="MR2" i="24"/>
  <c r="MQ2" i="24"/>
  <c r="MP2" i="24"/>
  <c r="MO2" i="24"/>
  <c r="MN2" i="24"/>
  <c r="MM2" i="24"/>
  <c r="ML2" i="24"/>
  <c r="MK2" i="24"/>
  <c r="MJ2" i="24"/>
  <c r="MI2" i="24"/>
  <c r="MH2" i="24"/>
  <c r="MG2" i="24"/>
  <c r="MF2" i="24"/>
  <c r="ME2" i="24"/>
  <c r="MD2" i="24"/>
  <c r="MC2" i="24"/>
  <c r="MB2" i="24"/>
  <c r="MA2" i="24"/>
  <c r="LZ2" i="24"/>
  <c r="LY2" i="24"/>
  <c r="LX2" i="24"/>
  <c r="LW2" i="24"/>
  <c r="LV2" i="24"/>
  <c r="LU2" i="24"/>
  <c r="LT2" i="24"/>
  <c r="LS2" i="24"/>
  <c r="LR2" i="24"/>
  <c r="LQ2" i="24"/>
  <c r="LP2" i="24"/>
  <c r="LO2" i="24"/>
  <c r="LN2" i="24"/>
  <c r="LM2" i="24"/>
  <c r="LL2" i="24"/>
  <c r="LK2" i="24"/>
  <c r="LJ2" i="24"/>
  <c r="LI2" i="24"/>
  <c r="LH2" i="24"/>
  <c r="LG2" i="24"/>
  <c r="LF2" i="24"/>
  <c r="LE2" i="24"/>
  <c r="LD2" i="24"/>
  <c r="LC2" i="24"/>
  <c r="LB2" i="24"/>
  <c r="LA2" i="24"/>
  <c r="KZ2" i="24"/>
  <c r="KY2" i="24"/>
  <c r="KX2" i="24"/>
  <c r="KW2" i="24"/>
  <c r="KV2" i="24"/>
  <c r="KU2" i="24"/>
  <c r="KT2" i="24"/>
  <c r="KS2" i="24"/>
  <c r="KR2" i="24"/>
  <c r="KQ2" i="24"/>
  <c r="KP2" i="24"/>
  <c r="KO2" i="24"/>
  <c r="KN2" i="24"/>
  <c r="KM2" i="24"/>
  <c r="KL2" i="24"/>
  <c r="KK2" i="24"/>
  <c r="KJ2" i="24"/>
  <c r="KI2" i="24"/>
  <c r="KH2" i="24"/>
  <c r="KG2" i="24"/>
  <c r="KF2" i="24"/>
  <c r="KE2" i="24"/>
  <c r="KD2" i="24"/>
  <c r="KC2" i="24"/>
  <c r="KB2" i="24"/>
  <c r="KA2" i="24"/>
  <c r="JZ2" i="24"/>
  <c r="JY2" i="24"/>
  <c r="JX2" i="24"/>
  <c r="JW2" i="24"/>
  <c r="JV2" i="24"/>
  <c r="JU2" i="24"/>
  <c r="JT2" i="24"/>
  <c r="JS2" i="24"/>
  <c r="JR2" i="24"/>
  <c r="JQ2" i="24"/>
  <c r="JP2" i="24"/>
  <c r="JO2" i="24"/>
  <c r="JN2" i="24"/>
  <c r="JM2" i="24"/>
  <c r="JL2" i="24"/>
  <c r="JK2" i="24"/>
  <c r="JJ2" i="24"/>
  <c r="JI2" i="24"/>
  <c r="JH2" i="24"/>
  <c r="JG2" i="24"/>
  <c r="JF2" i="24"/>
  <c r="JE2" i="24"/>
  <c r="JD2" i="24"/>
  <c r="JC2" i="24"/>
  <c r="JB2" i="24"/>
  <c r="JA2" i="24"/>
  <c r="IZ2" i="24"/>
  <c r="IY2" i="24"/>
  <c r="IX2" i="24"/>
  <c r="IW2" i="24"/>
  <c r="IV2" i="24"/>
  <c r="IU2" i="24"/>
  <c r="IT2" i="24"/>
  <c r="IS2" i="24"/>
  <c r="IR2" i="24"/>
  <c r="IQ2" i="24"/>
  <c r="IP2" i="24"/>
  <c r="IO2" i="24"/>
  <c r="IN2" i="24"/>
  <c r="IM2" i="24"/>
  <c r="IL2" i="24"/>
  <c r="IK2" i="24"/>
  <c r="IJ2" i="24"/>
  <c r="II2" i="24"/>
  <c r="IH2" i="24"/>
  <c r="IG2" i="24"/>
  <c r="IF2" i="24"/>
  <c r="IE2" i="24"/>
  <c r="ID2" i="24"/>
  <c r="IC2" i="24"/>
  <c r="IB2" i="24"/>
  <c r="IA2" i="24"/>
  <c r="HZ2" i="24"/>
  <c r="HY2" i="24"/>
  <c r="HX2" i="24"/>
  <c r="HW2" i="24"/>
  <c r="HV2" i="24"/>
  <c r="HU2" i="24"/>
  <c r="HT2" i="24"/>
  <c r="HS2" i="24"/>
  <c r="HR2" i="24"/>
  <c r="HQ2" i="24"/>
  <c r="HP2" i="24"/>
  <c r="HO2" i="24"/>
  <c r="HN2" i="24"/>
  <c r="HM2" i="24"/>
  <c r="HL2" i="24"/>
  <c r="HK2" i="24"/>
  <c r="HJ2" i="24"/>
  <c r="HI2" i="24"/>
  <c r="HH2" i="24"/>
  <c r="HG2" i="24"/>
  <c r="HF2" i="24"/>
  <c r="HE2" i="24"/>
  <c r="HD2" i="24"/>
  <c r="HC2" i="24"/>
  <c r="HB2" i="24"/>
  <c r="HA2" i="24"/>
  <c r="GZ2" i="24"/>
  <c r="GY2" i="24"/>
  <c r="GX2" i="24"/>
  <c r="GW2" i="24"/>
  <c r="GV2" i="24"/>
  <c r="GU2" i="24"/>
  <c r="GT2" i="24"/>
  <c r="GS2" i="24"/>
  <c r="GR2" i="24"/>
  <c r="GQ2" i="24"/>
  <c r="GP2" i="24"/>
  <c r="GO2" i="24"/>
  <c r="GN2" i="24"/>
  <c r="GM2" i="24"/>
  <c r="GL2" i="24"/>
  <c r="GK2" i="24"/>
  <c r="GJ2" i="24"/>
  <c r="GI2" i="24"/>
  <c r="GH2" i="24"/>
  <c r="GG2" i="24"/>
  <c r="GF2" i="24"/>
  <c r="GE2" i="24"/>
  <c r="GD2" i="24"/>
  <c r="GC2" i="24"/>
  <c r="GB2" i="24"/>
  <c r="GA2" i="24"/>
  <c r="FZ2" i="24"/>
  <c r="FY2" i="24"/>
  <c r="FX2" i="24"/>
  <c r="FW2" i="24"/>
  <c r="FV2" i="24"/>
  <c r="FU2" i="24"/>
  <c r="FT2" i="24"/>
  <c r="FS2" i="24"/>
  <c r="FR2" i="24"/>
  <c r="FQ2" i="24"/>
  <c r="FP2" i="24"/>
  <c r="FO2" i="24"/>
  <c r="FN2" i="24"/>
  <c r="FM2" i="24"/>
  <c r="FL2" i="24"/>
  <c r="FK2" i="24"/>
  <c r="FJ2" i="24"/>
  <c r="FI2" i="24"/>
  <c r="FH2" i="24"/>
  <c r="FG2" i="24"/>
  <c r="FF2" i="24"/>
  <c r="FE2" i="24"/>
  <c r="FD2" i="24"/>
  <c r="FC2" i="24"/>
  <c r="FB2" i="24"/>
  <c r="FA2" i="24"/>
  <c r="EZ2" i="24"/>
  <c r="EY2" i="24"/>
  <c r="EX2" i="24"/>
  <c r="EW2" i="24"/>
  <c r="EV2" i="24"/>
  <c r="EU2" i="24"/>
  <c r="ET2" i="24"/>
  <c r="ES2" i="24"/>
  <c r="ER2" i="24"/>
  <c r="EQ2" i="24"/>
  <c r="EP2" i="24"/>
  <c r="EO2" i="24"/>
  <c r="EN2" i="24"/>
  <c r="EM2" i="24"/>
  <c r="EL2" i="24"/>
  <c r="EK2" i="24"/>
  <c r="EJ2" i="24"/>
  <c r="EI2" i="24"/>
  <c r="EH2" i="24"/>
  <c r="EG2" i="24"/>
  <c r="EF2" i="24"/>
  <c r="EE2" i="24"/>
  <c r="ED2" i="24"/>
  <c r="EC2" i="24"/>
  <c r="EB2" i="24"/>
  <c r="EA2" i="24"/>
  <c r="DZ2" i="24"/>
  <c r="DY2" i="24"/>
  <c r="DX2" i="24"/>
  <c r="DW2" i="24"/>
  <c r="DV2" i="24"/>
  <c r="DU2" i="24"/>
  <c r="DT2" i="24"/>
  <c r="DS2" i="24"/>
  <c r="DR2" i="24"/>
  <c r="DQ2" i="24"/>
  <c r="DP2" i="24"/>
  <c r="DO2" i="24"/>
  <c r="DN2" i="24"/>
  <c r="DM2" i="24"/>
  <c r="DL2" i="24"/>
  <c r="DK2" i="24"/>
  <c r="DJ2" i="24"/>
  <c r="DI2" i="24"/>
  <c r="DH2" i="24"/>
  <c r="DG2" i="24"/>
  <c r="DF2" i="24"/>
  <c r="DE2" i="24"/>
  <c r="DD2" i="24"/>
  <c r="DC2" i="24"/>
  <c r="DB2" i="24"/>
  <c r="DA2" i="24"/>
  <c r="CZ2" i="24"/>
  <c r="CY2" i="24"/>
  <c r="CX2" i="24"/>
  <c r="CW2" i="24"/>
  <c r="CV2" i="24"/>
  <c r="CU2" i="24"/>
  <c r="CT2" i="24"/>
  <c r="CS2" i="24"/>
  <c r="CR2" i="24"/>
  <c r="CQ2" i="24"/>
  <c r="CP2" i="24"/>
  <c r="CO2" i="24"/>
  <c r="CN2" i="24"/>
  <c r="CM2" i="24"/>
  <c r="CL2" i="24"/>
  <c r="CK2" i="24"/>
  <c r="CJ2" i="24"/>
  <c r="CI2" i="24"/>
  <c r="CH2" i="24"/>
  <c r="CG2" i="24"/>
  <c r="CF2" i="24"/>
  <c r="CE2" i="24"/>
  <c r="CD2" i="24"/>
  <c r="CC2" i="24"/>
  <c r="CB2" i="24"/>
  <c r="CA2" i="24"/>
  <c r="BZ2" i="24"/>
  <c r="BY2" i="24"/>
  <c r="BX2" i="24"/>
  <c r="BW2" i="24"/>
  <c r="BV2" i="24"/>
  <c r="BU2" i="24"/>
  <c r="BT2" i="24"/>
  <c r="BS2" i="24"/>
  <c r="BR2" i="24"/>
  <c r="BQ2" i="24"/>
  <c r="BP2" i="24"/>
  <c r="BO2" i="24"/>
  <c r="BN2" i="24"/>
  <c r="BM2" i="24"/>
  <c r="BL2" i="24"/>
  <c r="BK2" i="24"/>
  <c r="BJ2" i="24"/>
  <c r="BI2" i="24"/>
  <c r="BH2" i="24"/>
  <c r="BG2" i="24"/>
  <c r="BF2" i="24"/>
  <c r="BE2" i="24"/>
  <c r="BD2" i="24"/>
  <c r="BC2" i="24"/>
  <c r="BB2" i="24"/>
  <c r="BA2" i="24"/>
  <c r="AY2" i="24"/>
  <c r="AX2" i="24"/>
  <c r="AW2" i="24"/>
  <c r="AV2" i="24"/>
  <c r="AU2" i="24"/>
  <c r="AT2" i="24"/>
  <c r="AS2" i="24"/>
  <c r="AR2" i="24"/>
  <c r="AQ2" i="24"/>
  <c r="AP2" i="24"/>
  <c r="AO2" i="24"/>
  <c r="AN2" i="24"/>
  <c r="AM2" i="24"/>
  <c r="AL2" i="24"/>
  <c r="AK2" i="24"/>
  <c r="AJ2" i="24"/>
  <c r="AI2" i="24"/>
  <c r="AH2" i="24"/>
  <c r="AG2" i="24"/>
  <c r="AF2" i="24"/>
  <c r="AE2" i="24"/>
  <c r="AD2" i="24"/>
  <c r="AC2" i="24"/>
  <c r="AB2" i="24"/>
  <c r="AA2" i="24"/>
  <c r="Z2" i="24"/>
  <c r="Y2" i="24"/>
  <c r="X2" i="24"/>
  <c r="W2" i="24"/>
  <c r="V2" i="24"/>
  <c r="U2" i="24"/>
  <c r="T2" i="24"/>
  <c r="S2" i="24"/>
  <c r="AC1" i="24"/>
  <c r="D15" i="8"/>
  <c r="D14" i="8"/>
  <c r="D13" i="8"/>
  <c r="D12" i="8"/>
  <c r="D11" i="8"/>
  <c r="D10" i="8"/>
  <c r="D9" i="8"/>
  <c r="D8" i="8"/>
  <c r="D7" i="8"/>
  <c r="D6" i="8"/>
  <c r="D5" i="8"/>
  <c r="D4" i="8"/>
  <c r="D3" i="8"/>
  <c r="D2" i="8"/>
  <c r="D1" i="7"/>
  <c r="H22" i="31"/>
  <c r="F17" i="31" s="1"/>
  <c r="F18" i="31"/>
  <c r="F15" i="31"/>
  <c r="F14" i="31"/>
  <c r="F12" i="31"/>
  <c r="F11" i="31"/>
  <c r="F10" i="31"/>
  <c r="F7" i="31"/>
  <c r="F63" i="49" l="1"/>
  <c r="N148" i="49"/>
  <c r="F72" i="49" s="1"/>
  <c r="B63" i="49"/>
  <c r="N144" i="49"/>
  <c r="B72" i="49" s="1"/>
  <c r="C63" i="49"/>
  <c r="N145" i="49"/>
  <c r="C72" i="49" s="1"/>
  <c r="D63" i="49"/>
  <c r="N146" i="49"/>
  <c r="D72" i="49" s="1"/>
  <c r="E63" i="49"/>
  <c r="N147" i="49"/>
  <c r="E72" i="49" s="1"/>
  <c r="B9" i="47"/>
  <c r="C16" i="47"/>
  <c r="B30" i="47"/>
  <c r="C40" i="47"/>
  <c r="C47" i="47"/>
  <c r="E52" i="47"/>
  <c r="F59" i="47"/>
  <c r="E62" i="47"/>
  <c r="B68" i="47"/>
  <c r="C71" i="47"/>
  <c r="D78" i="47"/>
  <c r="D81" i="47"/>
  <c r="D88" i="47"/>
  <c r="C92" i="47"/>
  <c r="C95" i="47"/>
  <c r="C105" i="47"/>
  <c r="H113" i="47"/>
  <c r="D126" i="47"/>
  <c r="B142" i="47"/>
  <c r="D160" i="47"/>
  <c r="C226" i="47"/>
  <c r="B4" i="47"/>
  <c r="B11" i="47"/>
  <c r="B17" i="47"/>
  <c r="B38" i="47"/>
  <c r="B41" i="47"/>
  <c r="D47" i="47"/>
  <c r="E53" i="47"/>
  <c r="E60" i="47"/>
  <c r="B63" i="47"/>
  <c r="C69" i="47"/>
  <c r="B72" i="47"/>
  <c r="E78" i="47"/>
  <c r="E82" i="47"/>
  <c r="D89" i="47"/>
  <c r="D92" i="47"/>
  <c r="C100" i="47"/>
  <c r="E106" i="47"/>
  <c r="B117" i="47"/>
  <c r="F130" i="47"/>
  <c r="C149" i="47"/>
  <c r="E164" i="47"/>
  <c r="B6" i="47"/>
  <c r="B12" i="47"/>
  <c r="B25" i="47"/>
  <c r="F38" i="47"/>
  <c r="C41" i="47"/>
  <c r="D51" i="47"/>
  <c r="D54" i="47"/>
  <c r="F60" i="47"/>
  <c r="B67" i="47"/>
  <c r="B70" i="47"/>
  <c r="D72" i="47"/>
  <c r="C80" i="47"/>
  <c r="E83" i="47"/>
  <c r="E89" i="47"/>
  <c r="E93" i="47"/>
  <c r="C101" i="47"/>
  <c r="H110" i="47"/>
  <c r="H117" i="47"/>
  <c r="D132" i="47"/>
  <c r="E150" i="47"/>
  <c r="E175" i="47"/>
  <c r="C6" i="47"/>
  <c r="C14" i="47"/>
  <c r="B29" i="47"/>
  <c r="C39" i="47"/>
  <c r="D42" i="47"/>
  <c r="C52" i="47"/>
  <c r="E54" i="47"/>
  <c r="F61" i="47"/>
  <c r="F67" i="47"/>
  <c r="C70" i="47"/>
  <c r="D77" i="47"/>
  <c r="C81" i="47"/>
  <c r="C84" i="47"/>
  <c r="C91" i="47"/>
  <c r="E94" i="47"/>
  <c r="D102" i="47"/>
  <c r="G112" i="47"/>
  <c r="C125" i="47"/>
  <c r="E140" i="47"/>
  <c r="F158" i="47"/>
  <c r="C394" i="47"/>
  <c r="E346" i="47"/>
  <c r="F321" i="47"/>
  <c r="F305" i="47"/>
  <c r="B290" i="47"/>
  <c r="B279" i="47"/>
  <c r="D271" i="47"/>
  <c r="D261" i="47"/>
  <c r="D254" i="47"/>
  <c r="B245" i="47"/>
  <c r="B238" i="47"/>
  <c r="F235" i="47"/>
  <c r="F233" i="47"/>
  <c r="E231" i="47"/>
  <c r="D229" i="47"/>
  <c r="D227" i="47"/>
  <c r="C225" i="47"/>
  <c r="B221" i="47"/>
  <c r="F218" i="47"/>
  <c r="E216" i="47"/>
  <c r="D212" i="47"/>
  <c r="C210" i="47"/>
  <c r="B203" i="47"/>
  <c r="F200" i="47"/>
  <c r="F195" i="47"/>
  <c r="E193" i="47"/>
  <c r="D187" i="47"/>
  <c r="D185" i="47"/>
  <c r="C183" i="47"/>
  <c r="B181" i="47"/>
  <c r="B381" i="47"/>
  <c r="C340" i="47"/>
  <c r="D315" i="47"/>
  <c r="E302" i="47"/>
  <c r="C284" i="47"/>
  <c r="B277" i="47"/>
  <c r="B270" i="47"/>
  <c r="B260" i="47"/>
  <c r="D252" i="47"/>
  <c r="C244" i="47"/>
  <c r="F237" i="47"/>
  <c r="E235" i="47"/>
  <c r="D233" i="47"/>
  <c r="D231" i="47"/>
  <c r="C229" i="47"/>
  <c r="B227" i="47"/>
  <c r="B225" i="47"/>
  <c r="F222" i="47"/>
  <c r="E220" i="47"/>
  <c r="E218" i="47"/>
  <c r="C425" i="47"/>
  <c r="F353" i="47"/>
  <c r="D327" i="47"/>
  <c r="B309" i="47"/>
  <c r="C293" i="47"/>
  <c r="D280" i="47"/>
  <c r="D273" i="47"/>
  <c r="C263" i="47"/>
  <c r="C256" i="47"/>
  <c r="C246" i="47"/>
  <c r="F238" i="47"/>
  <c r="E236" i="47"/>
  <c r="E234" i="47"/>
  <c r="D232" i="47"/>
  <c r="C230" i="47"/>
  <c r="C228" i="47"/>
  <c r="B226" i="47"/>
  <c r="F221" i="47"/>
  <c r="E219" i="47"/>
  <c r="D217" i="47"/>
  <c r="D215" i="47"/>
  <c r="C213" i="47"/>
  <c r="B211" i="47"/>
  <c r="B209" i="47"/>
  <c r="F203" i="47"/>
  <c r="E201" i="47"/>
  <c r="E196" i="47"/>
  <c r="D194" i="47"/>
  <c r="C192" i="47"/>
  <c r="C186" i="47"/>
  <c r="B184" i="47"/>
  <c r="F181" i="47"/>
  <c r="F176" i="47"/>
  <c r="E174" i="47"/>
  <c r="D172" i="47"/>
  <c r="F170" i="47"/>
  <c r="F169" i="47"/>
  <c r="D165" i="47"/>
  <c r="D164" i="47"/>
  <c r="D163" i="47"/>
  <c r="C162" i="47"/>
  <c r="C161" i="47"/>
  <c r="C160" i="47"/>
  <c r="B159" i="47"/>
  <c r="B158" i="47"/>
  <c r="B153" i="47"/>
  <c r="F151" i="47"/>
  <c r="F150" i="47"/>
  <c r="F149" i="47"/>
  <c r="E145" i="47"/>
  <c r="E144" i="47"/>
  <c r="E143" i="47"/>
  <c r="D142" i="47"/>
  <c r="D141" i="47"/>
  <c r="D140" i="47"/>
  <c r="C139" i="47"/>
  <c r="C138" i="47"/>
  <c r="C137" i="47"/>
  <c r="B132" i="47"/>
  <c r="B131" i="47"/>
  <c r="B130" i="47"/>
  <c r="F128" i="47"/>
  <c r="F127" i="47"/>
  <c r="F126" i="47"/>
  <c r="E125" i="47"/>
  <c r="E124" i="47"/>
  <c r="E123" i="47"/>
  <c r="D122" i="47"/>
  <c r="D121" i="47"/>
  <c r="F117" i="47"/>
  <c r="G116" i="47"/>
  <c r="B116" i="47"/>
  <c r="D115" i="47"/>
  <c r="E114" i="47"/>
  <c r="G113" i="47"/>
  <c r="B113" i="47"/>
  <c r="C112" i="47"/>
  <c r="E111" i="47"/>
  <c r="G110" i="47"/>
  <c r="F106" i="47"/>
  <c r="F105" i="47"/>
  <c r="F104" i="47"/>
  <c r="E103" i="47"/>
  <c r="E102" i="47"/>
  <c r="F333" i="47"/>
  <c r="C275" i="47"/>
  <c r="B243" i="47"/>
  <c r="E230" i="47"/>
  <c r="B222" i="47"/>
  <c r="E215" i="47"/>
  <c r="D211" i="47"/>
  <c r="B204" i="47"/>
  <c r="F196" i="47"/>
  <c r="E192" i="47"/>
  <c r="C184" i="47"/>
  <c r="B180" i="47"/>
  <c r="F173" i="47"/>
  <c r="D171" i="47"/>
  <c r="B170" i="47"/>
  <c r="C165" i="47"/>
  <c r="F163" i="47"/>
  <c r="E162" i="47"/>
  <c r="B161" i="47"/>
  <c r="E159" i="47"/>
  <c r="C158" i="47"/>
  <c r="E152" i="47"/>
  <c r="D151" i="47"/>
  <c r="B150" i="47"/>
  <c r="D145" i="47"/>
  <c r="B144" i="47"/>
  <c r="F142" i="47"/>
  <c r="C141" i="47"/>
  <c r="F139" i="47"/>
  <c r="D138" i="47"/>
  <c r="F132" i="47"/>
  <c r="E131" i="47"/>
  <c r="C130" i="47"/>
  <c r="E128" i="47"/>
  <c r="C127" i="47"/>
  <c r="B126" i="47"/>
  <c r="D124" i="47"/>
  <c r="B123" i="47"/>
  <c r="E121" i="47"/>
  <c r="D117" i="47"/>
  <c r="E116" i="47"/>
  <c r="E115" i="47"/>
  <c r="D113" i="47"/>
  <c r="D111" i="47"/>
  <c r="D104" i="47"/>
  <c r="F101" i="47"/>
  <c r="E99" i="47"/>
  <c r="E92" i="47"/>
  <c r="E88" i="47"/>
  <c r="E81" i="47"/>
  <c r="E77" i="47"/>
  <c r="D70" i="47"/>
  <c r="C67" i="47"/>
  <c r="C62" i="47"/>
  <c r="B60" i="47"/>
  <c r="F52" i="47"/>
  <c r="E42" i="47"/>
  <c r="D38" i="47"/>
  <c r="B21" i="47"/>
  <c r="B10" i="47"/>
  <c r="D195" i="47"/>
  <c r="B183" i="47"/>
  <c r="B171" i="47"/>
  <c r="B165" i="47"/>
  <c r="E160" i="47"/>
  <c r="D152" i="47"/>
  <c r="D149" i="47"/>
  <c r="F143" i="47"/>
  <c r="C142" i="47"/>
  <c r="E139" i="47"/>
  <c r="E132" i="47"/>
  <c r="D128" i="47"/>
  <c r="D125" i="47"/>
  <c r="F122" i="47"/>
  <c r="C121" i="47"/>
  <c r="C117" i="47"/>
  <c r="C116" i="47"/>
  <c r="B115" i="47"/>
  <c r="C114" i="47"/>
  <c r="C113" i="47"/>
  <c r="B112" i="47"/>
  <c r="B111" i="47"/>
  <c r="C104" i="47"/>
  <c r="E101" i="47"/>
  <c r="C312" i="47"/>
  <c r="C265" i="47"/>
  <c r="B237" i="47"/>
  <c r="D228" i="47"/>
  <c r="C368" i="47"/>
  <c r="C282" i="47"/>
  <c r="B248" i="47"/>
  <c r="E232" i="47"/>
  <c r="C224" i="47"/>
  <c r="D216" i="47"/>
  <c r="C212" i="47"/>
  <c r="F204" i="47"/>
  <c r="E200" i="47"/>
  <c r="D193" i="47"/>
  <c r="B185" i="47"/>
  <c r="F180" i="47"/>
  <c r="F174" i="47"/>
  <c r="E171" i="47"/>
  <c r="C170" i="47"/>
  <c r="F165" i="47"/>
  <c r="C164" i="47"/>
  <c r="F162" i="47"/>
  <c r="D161" i="47"/>
  <c r="F159" i="47"/>
  <c r="E158" i="47"/>
  <c r="C153" i="47"/>
  <c r="E151" i="47"/>
  <c r="C150" i="47"/>
  <c r="B149" i="47"/>
  <c r="D144" i="47"/>
  <c r="B143" i="47"/>
  <c r="E141" i="47"/>
  <c r="B140" i="47"/>
  <c r="F138" i="47"/>
  <c r="D137" i="47"/>
  <c r="F131" i="47"/>
  <c r="D130" i="47"/>
  <c r="C129" i="47"/>
  <c r="E127" i="47"/>
  <c r="C126" i="47"/>
  <c r="F124" i="47"/>
  <c r="C123" i="47"/>
  <c r="B122" i="47"/>
  <c r="G117" i="47"/>
  <c r="F116" i="47"/>
  <c r="F115" i="47"/>
  <c r="G114" i="47"/>
  <c r="F113" i="47"/>
  <c r="F112" i="47"/>
  <c r="F111" i="47"/>
  <c r="E110" i="47"/>
  <c r="D106" i="47"/>
  <c r="B105" i="47"/>
  <c r="D103" i="47"/>
  <c r="B102" i="47"/>
  <c r="B101" i="47"/>
  <c r="B100" i="47"/>
  <c r="E95" i="47"/>
  <c r="D94" i="47"/>
  <c r="C93" i="47"/>
  <c r="E91" i="47"/>
  <c r="D90" i="47"/>
  <c r="C89" i="47"/>
  <c r="E84" i="47"/>
  <c r="D83" i="47"/>
  <c r="C82" i="47"/>
  <c r="E80" i="47"/>
  <c r="D79" i="47"/>
  <c r="C78" i="47"/>
  <c r="F72" i="47"/>
  <c r="F71" i="47"/>
  <c r="F70" i="47"/>
  <c r="E69" i="47"/>
  <c r="E68" i="47"/>
  <c r="E67" i="47"/>
  <c r="D63" i="47"/>
  <c r="D62" i="47"/>
  <c r="D61" i="47"/>
  <c r="C60" i="47"/>
  <c r="C59" i="47"/>
  <c r="C54" i="47"/>
  <c r="B53" i="47"/>
  <c r="B52" i="47"/>
  <c r="B51" i="47"/>
  <c r="F42" i="47"/>
  <c r="F41" i="47"/>
  <c r="F40" i="47"/>
  <c r="E39" i="47"/>
  <c r="E38" i="47"/>
  <c r="B33" i="47"/>
  <c r="B27" i="47"/>
  <c r="B22" i="47"/>
  <c r="B16" i="47"/>
  <c r="B13" i="47"/>
  <c r="C10" i="47"/>
  <c r="B8" i="47"/>
  <c r="B5" i="47"/>
  <c r="D114" i="47"/>
  <c r="E112" i="47"/>
  <c r="D110" i="47"/>
  <c r="B106" i="47"/>
  <c r="C103" i="47"/>
  <c r="F100" i="47"/>
  <c r="D95" i="47"/>
  <c r="C94" i="47"/>
  <c r="D91" i="47"/>
  <c r="C90" i="47"/>
  <c r="D84" i="47"/>
  <c r="C83" i="47"/>
  <c r="D80" i="47"/>
  <c r="C79" i="47"/>
  <c r="E72" i="47"/>
  <c r="E71" i="47"/>
  <c r="D69" i="47"/>
  <c r="D68" i="47"/>
  <c r="C63" i="47"/>
  <c r="B61" i="47"/>
  <c r="B59" i="47"/>
  <c r="F53" i="47"/>
  <c r="F51" i="47"/>
  <c r="E47" i="47"/>
  <c r="E41" i="47"/>
  <c r="D40" i="47"/>
  <c r="D39" i="47"/>
  <c r="B31" i="47"/>
  <c r="B26" i="47"/>
  <c r="B15" i="47"/>
  <c r="C12" i="47"/>
  <c r="B7" i="47"/>
  <c r="C4" i="47"/>
  <c r="F219" i="47"/>
  <c r="B210" i="47"/>
  <c r="F202" i="47"/>
  <c r="C187" i="47"/>
  <c r="B176" i="47"/>
  <c r="E173" i="47"/>
  <c r="D169" i="47"/>
  <c r="E163" i="47"/>
  <c r="B162" i="47"/>
  <c r="D159" i="47"/>
  <c r="F153" i="47"/>
  <c r="B151" i="47"/>
  <c r="C145" i="47"/>
  <c r="F140" i="47"/>
  <c r="B138" i="47"/>
  <c r="C131" i="47"/>
  <c r="E129" i="47"/>
  <c r="B127" i="47"/>
  <c r="B124" i="47"/>
  <c r="C110" i="47"/>
  <c r="E105" i="47"/>
  <c r="F102" i="47"/>
  <c r="D100" i="47"/>
  <c r="D99" i="47"/>
  <c r="C8" i="47"/>
  <c r="B14" i="47"/>
  <c r="B23" i="47"/>
  <c r="B34" i="47"/>
  <c r="B40" i="47"/>
  <c r="B42" i="47"/>
  <c r="C51" i="47"/>
  <c r="D53" i="47"/>
  <c r="D59" i="47"/>
  <c r="E61" i="47"/>
  <c r="F63" i="47"/>
  <c r="F68" i="47"/>
  <c r="B71" i="47"/>
  <c r="C77" i="47"/>
  <c r="E79" i="47"/>
  <c r="D82" i="47"/>
  <c r="C88" i="47"/>
  <c r="E90" i="47"/>
  <c r="D93" i="47"/>
  <c r="C99" i="47"/>
  <c r="B104" i="47"/>
  <c r="H111" i="47"/>
  <c r="H115" i="47"/>
  <c r="F123" i="47"/>
  <c r="D129" i="47"/>
  <c r="B139" i="47"/>
  <c r="F144" i="47"/>
  <c r="D153" i="47"/>
  <c r="B163" i="47"/>
  <c r="F172" i="47"/>
  <c r="E194" i="47"/>
  <c r="F217" i="47"/>
  <c r="D296" i="47"/>
  <c r="B169" i="47"/>
  <c r="C182" i="47"/>
  <c r="C209" i="47"/>
  <c r="F234" i="47"/>
  <c r="H114" i="47"/>
  <c r="C122" i="47"/>
  <c r="B128" i="47"/>
  <c r="E137" i="47"/>
  <c r="C143" i="47"/>
  <c r="C152" i="47"/>
  <c r="F161" i="47"/>
  <c r="E170" i="47"/>
  <c r="D186" i="47"/>
  <c r="D213" i="47"/>
  <c r="B258" i="47"/>
  <c r="E473" i="47"/>
  <c r="F472" i="47"/>
  <c r="B472" i="47"/>
  <c r="C471" i="47"/>
  <c r="D470" i="47"/>
  <c r="E469" i="47"/>
  <c r="E465" i="47"/>
  <c r="E464" i="47"/>
  <c r="E463" i="47"/>
  <c r="E462" i="47"/>
  <c r="E461" i="47"/>
  <c r="E460" i="47"/>
  <c r="F456" i="47"/>
  <c r="B456" i="47"/>
  <c r="C455" i="47"/>
  <c r="D454" i="47"/>
  <c r="E453" i="47"/>
  <c r="F452" i="47"/>
  <c r="B452" i="47"/>
  <c r="C451" i="47"/>
  <c r="D450" i="47"/>
  <c r="F448" i="47"/>
  <c r="B448" i="47"/>
  <c r="C447" i="47"/>
  <c r="D446" i="47"/>
  <c r="E445" i="47"/>
  <c r="F444" i="47"/>
  <c r="B444" i="47"/>
  <c r="C443" i="47"/>
  <c r="D442" i="47"/>
  <c r="F440" i="47"/>
  <c r="B440" i="47"/>
  <c r="C439" i="47"/>
  <c r="D438" i="47"/>
  <c r="E437" i="47"/>
  <c r="F436" i="47"/>
  <c r="B436" i="47"/>
  <c r="C435" i="47"/>
  <c r="D434" i="47"/>
  <c r="E433" i="47"/>
  <c r="F432" i="47"/>
  <c r="B432" i="47"/>
  <c r="D430" i="47"/>
  <c r="E429" i="47"/>
  <c r="F428" i="47"/>
  <c r="B428" i="47"/>
  <c r="C427" i="47"/>
  <c r="D426" i="47"/>
  <c r="E425" i="47"/>
  <c r="F424" i="47"/>
  <c r="B424" i="47"/>
  <c r="C423" i="47"/>
  <c r="D422" i="47"/>
  <c r="E421" i="47"/>
  <c r="F420" i="47"/>
  <c r="B420" i="47"/>
  <c r="D415" i="47"/>
  <c r="E414" i="47"/>
  <c r="F413" i="47"/>
  <c r="B413" i="47"/>
  <c r="C412" i="47"/>
  <c r="D411" i="47"/>
  <c r="E410" i="47"/>
  <c r="F409" i="47"/>
  <c r="B409" i="47"/>
  <c r="C408" i="47"/>
  <c r="D407" i="47"/>
  <c r="E406" i="47"/>
  <c r="F405" i="47"/>
  <c r="B405" i="47"/>
  <c r="C404" i="47"/>
  <c r="D403" i="47"/>
  <c r="E402" i="47"/>
  <c r="F401" i="47"/>
  <c r="B401" i="47"/>
  <c r="C397" i="47"/>
  <c r="D396" i="47"/>
  <c r="E395" i="47"/>
  <c r="F394" i="47"/>
  <c r="B394" i="47"/>
  <c r="C393" i="47"/>
  <c r="D473" i="47"/>
  <c r="E472" i="47"/>
  <c r="F471" i="47"/>
  <c r="B471" i="47"/>
  <c r="C470" i="47"/>
  <c r="D469" i="47"/>
  <c r="D465" i="47"/>
  <c r="D464" i="47"/>
  <c r="D463" i="47"/>
  <c r="D462" i="47"/>
  <c r="D461" i="47"/>
  <c r="D460" i="47"/>
  <c r="E456" i="47"/>
  <c r="F455" i="47"/>
  <c r="B455" i="47"/>
  <c r="C454" i="47"/>
  <c r="D453" i="47"/>
  <c r="E452" i="47"/>
  <c r="F451" i="47"/>
  <c r="B451" i="47"/>
  <c r="C450" i="47"/>
  <c r="E448" i="47"/>
  <c r="F447" i="47"/>
  <c r="B447" i="47"/>
  <c r="C446" i="47"/>
  <c r="D445" i="47"/>
  <c r="E444" i="47"/>
  <c r="F443" i="47"/>
  <c r="B443" i="47"/>
  <c r="C442" i="47"/>
  <c r="E440" i="47"/>
  <c r="F439" i="47"/>
  <c r="B439" i="47"/>
  <c r="C438" i="47"/>
  <c r="D437" i="47"/>
  <c r="E436" i="47"/>
  <c r="F435" i="47"/>
  <c r="B435" i="47"/>
  <c r="C434" i="47"/>
  <c r="D433" i="47"/>
  <c r="E432" i="47"/>
  <c r="C430" i="47"/>
  <c r="D429" i="47"/>
  <c r="E428" i="47"/>
  <c r="F427" i="47"/>
  <c r="B427" i="47"/>
  <c r="C426" i="47"/>
  <c r="D425" i="47"/>
  <c r="E424" i="47"/>
  <c r="F423" i="47"/>
  <c r="B423" i="47"/>
  <c r="C422" i="47"/>
  <c r="D421" i="47"/>
  <c r="E420" i="47"/>
  <c r="C415" i="47"/>
  <c r="D414" i="47"/>
  <c r="E413" i="47"/>
  <c r="F412" i="47"/>
  <c r="B412" i="47"/>
  <c r="C411" i="47"/>
  <c r="D410" i="47"/>
  <c r="E409" i="47"/>
  <c r="F408" i="47"/>
  <c r="B408" i="47"/>
  <c r="C407" i="47"/>
  <c r="D406" i="47"/>
  <c r="E405" i="47"/>
  <c r="F404" i="47"/>
  <c r="B404" i="47"/>
  <c r="C403" i="47"/>
  <c r="D402" i="47"/>
  <c r="E401" i="47"/>
  <c r="F397" i="47"/>
  <c r="B397" i="47"/>
  <c r="C396" i="47"/>
  <c r="D395" i="47"/>
  <c r="C473" i="47"/>
  <c r="E471" i="47"/>
  <c r="B470" i="47"/>
  <c r="C465" i="47"/>
  <c r="C463" i="47"/>
  <c r="C461" i="47"/>
  <c r="D456" i="47"/>
  <c r="F454" i="47"/>
  <c r="C453" i="47"/>
  <c r="E451" i="47"/>
  <c r="B450" i="47"/>
  <c r="D448" i="47"/>
  <c r="F446" i="47"/>
  <c r="C445" i="47"/>
  <c r="E443" i="47"/>
  <c r="B442" i="47"/>
  <c r="D440" i="47"/>
  <c r="F438" i="47"/>
  <c r="C437" i="47"/>
  <c r="E435" i="47"/>
  <c r="B434" i="47"/>
  <c r="D432" i="47"/>
  <c r="F430" i="47"/>
  <c r="C429" i="47"/>
  <c r="E427" i="47"/>
  <c r="B426" i="47"/>
  <c r="D424" i="47"/>
  <c r="F422" i="47"/>
  <c r="C421" i="47"/>
  <c r="B415" i="47"/>
  <c r="D413" i="47"/>
  <c r="F411" i="47"/>
  <c r="C410" i="47"/>
  <c r="E408" i="47"/>
  <c r="B407" i="47"/>
  <c r="D405" i="47"/>
  <c r="F403" i="47"/>
  <c r="C402" i="47"/>
  <c r="E397" i="47"/>
  <c r="B396" i="47"/>
  <c r="E394" i="47"/>
  <c r="E393" i="47"/>
  <c r="E392" i="47"/>
  <c r="F391" i="47"/>
  <c r="B391" i="47"/>
  <c r="D389" i="47"/>
  <c r="E388" i="47"/>
  <c r="F387" i="47"/>
  <c r="B387" i="47"/>
  <c r="C386" i="47"/>
  <c r="D385" i="47"/>
  <c r="E384" i="47"/>
  <c r="F383" i="47"/>
  <c r="B383" i="47"/>
  <c r="D381" i="47"/>
  <c r="E380" i="47"/>
  <c r="F379" i="47"/>
  <c r="B379" i="47"/>
  <c r="C378" i="47"/>
  <c r="D377" i="47"/>
  <c r="E376" i="47"/>
  <c r="F375" i="47"/>
  <c r="B375" i="47"/>
  <c r="C374" i="47"/>
  <c r="D373" i="47"/>
  <c r="F371" i="47"/>
  <c r="B371" i="47"/>
  <c r="C370" i="47"/>
  <c r="D369" i="47"/>
  <c r="E368" i="47"/>
  <c r="F367" i="47"/>
  <c r="B367" i="47"/>
  <c r="C366" i="47"/>
  <c r="D365" i="47"/>
  <c r="E364" i="47"/>
  <c r="F363" i="47"/>
  <c r="B363" i="47"/>
  <c r="C362" i="47"/>
  <c r="D361" i="47"/>
  <c r="F356" i="47"/>
  <c r="B356" i="47"/>
  <c r="C355" i="47"/>
  <c r="D354" i="47"/>
  <c r="E353" i="47"/>
  <c r="F352" i="47"/>
  <c r="B352" i="47"/>
  <c r="C351" i="47"/>
  <c r="B473" i="47"/>
  <c r="D471" i="47"/>
  <c r="F469" i="47"/>
  <c r="B465" i="47"/>
  <c r="B463" i="47"/>
  <c r="B461" i="47"/>
  <c r="C456" i="47"/>
  <c r="E454" i="47"/>
  <c r="B453" i="47"/>
  <c r="D451" i="47"/>
  <c r="C448" i="47"/>
  <c r="E446" i="47"/>
  <c r="B445" i="47"/>
  <c r="D443" i="47"/>
  <c r="C440" i="47"/>
  <c r="E438" i="47"/>
  <c r="B437" i="47"/>
  <c r="D435" i="47"/>
  <c r="F433" i="47"/>
  <c r="C432" i="47"/>
  <c r="E430" i="47"/>
  <c r="B429" i="47"/>
  <c r="D427" i="47"/>
  <c r="F425" i="47"/>
  <c r="C424" i="47"/>
  <c r="E422" i="47"/>
  <c r="B421" i="47"/>
  <c r="F414" i="47"/>
  <c r="C413" i="47"/>
  <c r="E411" i="47"/>
  <c r="B410" i="47"/>
  <c r="D408" i="47"/>
  <c r="F406" i="47"/>
  <c r="C405" i="47"/>
  <c r="E403" i="47"/>
  <c r="B402" i="47"/>
  <c r="D397" i="47"/>
  <c r="F395" i="47"/>
  <c r="D394" i="47"/>
  <c r="D393" i="47"/>
  <c r="D392" i="47"/>
  <c r="E391" i="47"/>
  <c r="C389" i="47"/>
  <c r="D388" i="47"/>
  <c r="E387" i="47"/>
  <c r="F386" i="47"/>
  <c r="B386" i="47"/>
  <c r="C385" i="47"/>
  <c r="D384" i="47"/>
  <c r="E383" i="47"/>
  <c r="C381" i="47"/>
  <c r="D380" i="47"/>
  <c r="E379" i="47"/>
  <c r="F378" i="47"/>
  <c r="B378" i="47"/>
  <c r="C377" i="47"/>
  <c r="D376" i="47"/>
  <c r="E375" i="47"/>
  <c r="F374" i="47"/>
  <c r="B374" i="47"/>
  <c r="C373" i="47"/>
  <c r="E371" i="47"/>
  <c r="F370" i="47"/>
  <c r="B370" i="47"/>
  <c r="C369" i="47"/>
  <c r="D368" i="47"/>
  <c r="E367" i="47"/>
  <c r="F366" i="47"/>
  <c r="B366" i="47"/>
  <c r="C365" i="47"/>
  <c r="D364" i="47"/>
  <c r="E363" i="47"/>
  <c r="F362" i="47"/>
  <c r="B362" i="47"/>
  <c r="C361" i="47"/>
  <c r="E356" i="47"/>
  <c r="D472" i="47"/>
  <c r="C469" i="47"/>
  <c r="C462" i="47"/>
  <c r="E455" i="47"/>
  <c r="D452" i="47"/>
  <c r="B446" i="47"/>
  <c r="F442" i="47"/>
  <c r="E439" i="47"/>
  <c r="D436" i="47"/>
  <c r="C433" i="47"/>
  <c r="B430" i="47"/>
  <c r="F426" i="47"/>
  <c r="E423" i="47"/>
  <c r="D420" i="47"/>
  <c r="C414" i="47"/>
  <c r="B411" i="47"/>
  <c r="F407" i="47"/>
  <c r="E404" i="47"/>
  <c r="D401" i="47"/>
  <c r="C395" i="47"/>
  <c r="B393" i="47"/>
  <c r="D391" i="47"/>
  <c r="F389" i="47"/>
  <c r="C388" i="47"/>
  <c r="E386" i="47"/>
  <c r="B385" i="47"/>
  <c r="D383" i="47"/>
  <c r="F381" i="47"/>
  <c r="C380" i="47"/>
  <c r="E378" i="47"/>
  <c r="B377" i="47"/>
  <c r="D375" i="47"/>
  <c r="F373" i="47"/>
  <c r="E370" i="47"/>
  <c r="B369" i="47"/>
  <c r="D367" i="47"/>
  <c r="F365" i="47"/>
  <c r="C364" i="47"/>
  <c r="E362" i="47"/>
  <c r="B361" i="47"/>
  <c r="D356" i="47"/>
  <c r="D355" i="47"/>
  <c r="C354" i="47"/>
  <c r="C353" i="47"/>
  <c r="C352" i="47"/>
  <c r="B351" i="47"/>
  <c r="C350" i="47"/>
  <c r="E348" i="47"/>
  <c r="F347" i="47"/>
  <c r="B347" i="47"/>
  <c r="C346" i="47"/>
  <c r="D345" i="47"/>
  <c r="E344" i="47"/>
  <c r="F343" i="47"/>
  <c r="B343" i="47"/>
  <c r="C342" i="47"/>
  <c r="E340" i="47"/>
  <c r="F339" i="47"/>
  <c r="B339" i="47"/>
  <c r="C338" i="47"/>
  <c r="D337" i="47"/>
  <c r="E336" i="47"/>
  <c r="F335" i="47"/>
  <c r="B335" i="47"/>
  <c r="C334" i="47"/>
  <c r="D333" i="47"/>
  <c r="E332" i="47"/>
  <c r="C330" i="47"/>
  <c r="D329" i="47"/>
  <c r="E328" i="47"/>
  <c r="F327" i="47"/>
  <c r="B327" i="47"/>
  <c r="C326" i="47"/>
  <c r="D325" i="47"/>
  <c r="E324" i="47"/>
  <c r="F323" i="47"/>
  <c r="C472" i="47"/>
  <c r="B469" i="47"/>
  <c r="B462" i="47"/>
  <c r="D455" i="47"/>
  <c r="C452" i="47"/>
  <c r="F445" i="47"/>
  <c r="E442" i="47"/>
  <c r="D439" i="47"/>
  <c r="C436" i="47"/>
  <c r="F473" i="47"/>
  <c r="E470" i="47"/>
  <c r="B464" i="47"/>
  <c r="B460" i="47"/>
  <c r="F453" i="47"/>
  <c r="E450" i="47"/>
  <c r="D447" i="47"/>
  <c r="C444" i="47"/>
  <c r="F437" i="47"/>
  <c r="E434" i="47"/>
  <c r="C428" i="47"/>
  <c r="B425" i="47"/>
  <c r="F421" i="47"/>
  <c r="E415" i="47"/>
  <c r="D412" i="47"/>
  <c r="C409" i="47"/>
  <c r="B406" i="47"/>
  <c r="F402" i="47"/>
  <c r="E396" i="47"/>
  <c r="F393" i="47"/>
  <c r="B392" i="47"/>
  <c r="F388" i="47"/>
  <c r="C387" i="47"/>
  <c r="E385" i="47"/>
  <c r="B384" i="47"/>
  <c r="F380" i="47"/>
  <c r="C379" i="47"/>
  <c r="E377" i="47"/>
  <c r="B376" i="47"/>
  <c r="D374" i="47"/>
  <c r="C371" i="47"/>
  <c r="E369" i="47"/>
  <c r="B368" i="47"/>
  <c r="D366" i="47"/>
  <c r="F364" i="47"/>
  <c r="C363" i="47"/>
  <c r="E361" i="47"/>
  <c r="E355" i="47"/>
  <c r="E354" i="47"/>
  <c r="D353" i="47"/>
  <c r="D352" i="47"/>
  <c r="D351" i="47"/>
  <c r="D350" i="47"/>
  <c r="F348" i="47"/>
  <c r="B348" i="47"/>
  <c r="C347" i="47"/>
  <c r="D346" i="47"/>
  <c r="E345" i="47"/>
  <c r="F344" i="47"/>
  <c r="B344" i="47"/>
  <c r="C343" i="47"/>
  <c r="D342" i="47"/>
  <c r="F340" i="47"/>
  <c r="B340" i="47"/>
  <c r="C339" i="47"/>
  <c r="D338" i="47"/>
  <c r="E337" i="47"/>
  <c r="F336" i="47"/>
  <c r="B336" i="47"/>
  <c r="C335" i="47"/>
  <c r="D334" i="47"/>
  <c r="E333" i="47"/>
  <c r="F332" i="47"/>
  <c r="B332" i="47"/>
  <c r="D330" i="47"/>
  <c r="E329" i="47"/>
  <c r="F328" i="47"/>
  <c r="B328" i="47"/>
  <c r="C327" i="47"/>
  <c r="D326" i="47"/>
  <c r="E325" i="47"/>
  <c r="F324" i="47"/>
  <c r="B324" i="47"/>
  <c r="C323" i="47"/>
  <c r="D322" i="47"/>
  <c r="E321" i="47"/>
  <c r="C464" i="47"/>
  <c r="E447" i="47"/>
  <c r="F434" i="47"/>
  <c r="D428" i="47"/>
  <c r="B422" i="47"/>
  <c r="E412" i="47"/>
  <c r="C406" i="47"/>
  <c r="F396" i="47"/>
  <c r="C392" i="47"/>
  <c r="B389" i="47"/>
  <c r="F385" i="47"/>
  <c r="D379" i="47"/>
  <c r="C376" i="47"/>
  <c r="B373" i="47"/>
  <c r="F369" i="47"/>
  <c r="E366" i="47"/>
  <c r="D363" i="47"/>
  <c r="F354" i="47"/>
  <c r="E352" i="47"/>
  <c r="E350" i="47"/>
  <c r="D347" i="47"/>
  <c r="F345" i="47"/>
  <c r="C344" i="47"/>
  <c r="E342" i="47"/>
  <c r="D339" i="47"/>
  <c r="F337" i="47"/>
  <c r="C336" i="47"/>
  <c r="E334" i="47"/>
  <c r="B333" i="47"/>
  <c r="F329" i="47"/>
  <c r="C328" i="47"/>
  <c r="E326" i="47"/>
  <c r="B325" i="47"/>
  <c r="D323" i="47"/>
  <c r="C322" i="47"/>
  <c r="C321" i="47"/>
  <c r="D320" i="47"/>
  <c r="F315" i="47"/>
  <c r="B315" i="47"/>
  <c r="C314" i="47"/>
  <c r="D313" i="47"/>
  <c r="E312" i="47"/>
  <c r="F311" i="47"/>
  <c r="B311" i="47"/>
  <c r="C310" i="47"/>
  <c r="D309" i="47"/>
  <c r="E308" i="47"/>
  <c r="F307" i="47"/>
  <c r="B307" i="47"/>
  <c r="C306" i="47"/>
  <c r="D305" i="47"/>
  <c r="E304" i="47"/>
  <c r="F303" i="47"/>
  <c r="B303" i="47"/>
  <c r="C302" i="47"/>
  <c r="D301" i="47"/>
  <c r="E297" i="47"/>
  <c r="F296" i="47"/>
  <c r="B296" i="47"/>
  <c r="C295" i="47"/>
  <c r="D294" i="47"/>
  <c r="E293" i="47"/>
  <c r="F292" i="47"/>
  <c r="B292" i="47"/>
  <c r="C291" i="47"/>
  <c r="D290" i="47"/>
  <c r="E289" i="47"/>
  <c r="F288" i="47"/>
  <c r="B288" i="47"/>
  <c r="C460" i="47"/>
  <c r="D444" i="47"/>
  <c r="B433" i="47"/>
  <c r="E426" i="47"/>
  <c r="C420" i="47"/>
  <c r="F410" i="47"/>
  <c r="D404" i="47"/>
  <c r="B395" i="47"/>
  <c r="C391" i="47"/>
  <c r="B388" i="47"/>
  <c r="F384" i="47"/>
  <c r="E381" i="47"/>
  <c r="D378" i="47"/>
  <c r="C375" i="47"/>
  <c r="F368" i="47"/>
  <c r="E365" i="47"/>
  <c r="D362" i="47"/>
  <c r="C356" i="47"/>
  <c r="B354" i="47"/>
  <c r="F351" i="47"/>
  <c r="B350" i="47"/>
  <c r="D348" i="47"/>
  <c r="F346" i="47"/>
  <c r="C345" i="47"/>
  <c r="E343" i="47"/>
  <c r="B342" i="47"/>
  <c r="D340" i="47"/>
  <c r="F338" i="47"/>
  <c r="C337" i="47"/>
  <c r="E335" i="47"/>
  <c r="B334" i="47"/>
  <c r="D332" i="47"/>
  <c r="F330" i="47"/>
  <c r="C329" i="47"/>
  <c r="E327" i="47"/>
  <c r="B326" i="47"/>
  <c r="D324" i="47"/>
  <c r="B323" i="47"/>
  <c r="B322" i="47"/>
  <c r="B321" i="47"/>
  <c r="C320" i="47"/>
  <c r="E315" i="47"/>
  <c r="F314" i="47"/>
  <c r="B314" i="47"/>
  <c r="C313" i="47"/>
  <c r="D312" i="47"/>
  <c r="E311" i="47"/>
  <c r="F310" i="47"/>
  <c r="B310" i="47"/>
  <c r="C309" i="47"/>
  <c r="D308" i="47"/>
  <c r="E307" i="47"/>
  <c r="F306" i="47"/>
  <c r="B306" i="47"/>
  <c r="C305" i="47"/>
  <c r="D304" i="47"/>
  <c r="E303" i="47"/>
  <c r="F302" i="47"/>
  <c r="B302" i="47"/>
  <c r="C301" i="47"/>
  <c r="D297" i="47"/>
  <c r="E296" i="47"/>
  <c r="F295" i="47"/>
  <c r="B295" i="47"/>
  <c r="C294" i="47"/>
  <c r="D293" i="47"/>
  <c r="E292" i="47"/>
  <c r="F291" i="47"/>
  <c r="B291" i="47"/>
  <c r="C290" i="47"/>
  <c r="D289" i="47"/>
  <c r="E288" i="47"/>
  <c r="F470" i="47"/>
  <c r="F450" i="47"/>
  <c r="B438" i="47"/>
  <c r="F429" i="47"/>
  <c r="D423" i="47"/>
  <c r="B414" i="47"/>
  <c r="E407" i="47"/>
  <c r="C401" i="47"/>
  <c r="F392" i="47"/>
  <c r="E389" i="47"/>
  <c r="D386" i="47"/>
  <c r="C383" i="47"/>
  <c r="B380" i="47"/>
  <c r="F376" i="47"/>
  <c r="E373" i="47"/>
  <c r="D370" i="47"/>
  <c r="C367" i="47"/>
  <c r="B364" i="47"/>
  <c r="B355" i="47"/>
  <c r="B353" i="47"/>
  <c r="F350" i="47"/>
  <c r="E347" i="47"/>
  <c r="B346" i="47"/>
  <c r="D344" i="47"/>
  <c r="F342" i="47"/>
  <c r="E339" i="47"/>
  <c r="B338" i="47"/>
  <c r="D336" i="47"/>
  <c r="F334" i="47"/>
  <c r="C333" i="47"/>
  <c r="B330" i="47"/>
  <c r="D328" i="47"/>
  <c r="F326" i="47"/>
  <c r="C325" i="47"/>
  <c r="E323" i="47"/>
  <c r="E322" i="47"/>
  <c r="D321" i="47"/>
  <c r="E320" i="47"/>
  <c r="C315" i="47"/>
  <c r="D314" i="47"/>
  <c r="E313" i="47"/>
  <c r="F312" i="47"/>
  <c r="B312" i="47"/>
  <c r="C311" i="47"/>
  <c r="D310" i="47"/>
  <c r="E309" i="47"/>
  <c r="F308" i="47"/>
  <c r="B308" i="47"/>
  <c r="C307" i="47"/>
  <c r="D306" i="47"/>
  <c r="E305" i="47"/>
  <c r="F304" i="47"/>
  <c r="B304" i="47"/>
  <c r="C303" i="47"/>
  <c r="D302" i="47"/>
  <c r="E301" i="47"/>
  <c r="F297" i="47"/>
  <c r="B297" i="47"/>
  <c r="C296" i="47"/>
  <c r="D295" i="47"/>
  <c r="E294" i="47"/>
  <c r="F293" i="47"/>
  <c r="B293" i="47"/>
  <c r="C292" i="47"/>
  <c r="D291" i="47"/>
  <c r="E290" i="47"/>
  <c r="F289" i="47"/>
  <c r="B289" i="47"/>
  <c r="C288" i="47"/>
  <c r="B284" i="47"/>
  <c r="D282" i="47"/>
  <c r="C281" i="47"/>
  <c r="B280" i="47"/>
  <c r="D278" i="47"/>
  <c r="C277" i="47"/>
  <c r="B276" i="47"/>
  <c r="D274" i="47"/>
  <c r="C273" i="47"/>
  <c r="B272" i="47"/>
  <c r="D270" i="47"/>
  <c r="B265" i="47"/>
  <c r="D263" i="47"/>
  <c r="C262" i="47"/>
  <c r="B261" i="47"/>
  <c r="D259" i="47"/>
  <c r="C258" i="47"/>
  <c r="B257" i="47"/>
  <c r="D255" i="47"/>
  <c r="C254" i="47"/>
  <c r="B253" i="47"/>
  <c r="D248" i="47"/>
  <c r="C247" i="47"/>
  <c r="B246" i="47"/>
  <c r="D244" i="47"/>
  <c r="C243" i="47"/>
  <c r="D238" i="47"/>
  <c r="E237" i="47"/>
  <c r="F236" i="47"/>
  <c r="B236" i="47"/>
  <c r="C235" i="47"/>
  <c r="D234" i="47"/>
  <c r="E233" i="47"/>
  <c r="F232" i="47"/>
  <c r="B232" i="47"/>
  <c r="C231" i="47"/>
  <c r="D230" i="47"/>
  <c r="E229" i="47"/>
  <c r="F228" i="47"/>
  <c r="B228" i="47"/>
  <c r="C227" i="47"/>
  <c r="D226" i="47"/>
  <c r="E225" i="47"/>
  <c r="F224" i="47"/>
  <c r="B224" i="47"/>
  <c r="D222" i="47"/>
  <c r="E221" i="47"/>
  <c r="F220" i="47"/>
  <c r="B220" i="47"/>
  <c r="C219" i="47"/>
  <c r="D218" i="47"/>
  <c r="E217" i="47"/>
  <c r="F216" i="47"/>
  <c r="B216" i="47"/>
  <c r="C215" i="47"/>
  <c r="E213" i="47"/>
  <c r="F212" i="47"/>
  <c r="B212" i="47"/>
  <c r="C211" i="47"/>
  <c r="D210" i="47"/>
  <c r="E209" i="47"/>
  <c r="C204" i="47"/>
  <c r="D203" i="47"/>
  <c r="E202" i="47"/>
  <c r="F201" i="47"/>
  <c r="B201" i="47"/>
  <c r="C200" i="47"/>
  <c r="D196" i="47"/>
  <c r="E195" i="47"/>
  <c r="F194" i="47"/>
  <c r="B194" i="47"/>
  <c r="C193" i="47"/>
  <c r="D192" i="47"/>
  <c r="E187" i="47"/>
  <c r="F186" i="47"/>
  <c r="B186" i="47"/>
  <c r="C185" i="47"/>
  <c r="D184" i="47"/>
  <c r="E183" i="47"/>
  <c r="F182" i="47"/>
  <c r="B182" i="47"/>
  <c r="C181" i="47"/>
  <c r="D180" i="47"/>
  <c r="E176" i="47"/>
  <c r="F175" i="47"/>
  <c r="B175" i="47"/>
  <c r="C174" i="47"/>
  <c r="D173" i="47"/>
  <c r="E172" i="47"/>
  <c r="F171" i="47"/>
  <c r="C5" i="47"/>
  <c r="C7" i="47"/>
  <c r="C9" i="47"/>
  <c r="C11" i="47"/>
  <c r="C13" i="47"/>
  <c r="C15" i="47"/>
  <c r="C17" i="47"/>
  <c r="B24" i="47"/>
  <c r="B28" i="47"/>
  <c r="B32" i="47"/>
  <c r="C38" i="47"/>
  <c r="B39" i="47"/>
  <c r="F39" i="47"/>
  <c r="E40" i="47"/>
  <c r="D41" i="47"/>
  <c r="C42" i="47"/>
  <c r="B47" i="47"/>
  <c r="F47" i="47"/>
  <c r="E51" i="47"/>
  <c r="D52" i="47"/>
  <c r="C53" i="47"/>
  <c r="B54" i="47"/>
  <c r="F54" i="47"/>
  <c r="E59" i="47"/>
  <c r="D60" i="47"/>
  <c r="C61" i="47"/>
  <c r="B62" i="47"/>
  <c r="F62" i="47"/>
  <c r="E63" i="47"/>
  <c r="D67" i="47"/>
  <c r="C68" i="47"/>
  <c r="B69" i="47"/>
  <c r="F69" i="47"/>
  <c r="E70" i="47"/>
  <c r="D71" i="47"/>
  <c r="C72" i="47"/>
  <c r="B77" i="47"/>
  <c r="B78" i="47"/>
  <c r="B79" i="47"/>
  <c r="B80" i="47"/>
  <c r="B81" i="47"/>
  <c r="B82" i="47"/>
  <c r="B83" i="47"/>
  <c r="B84" i="47"/>
  <c r="B88" i="47"/>
  <c r="B89" i="47"/>
  <c r="B90" i="47"/>
  <c r="B91" i="47"/>
  <c r="B92" i="47"/>
  <c r="B93" i="47"/>
  <c r="B94" i="47"/>
  <c r="B95" i="47"/>
  <c r="B99" i="47"/>
  <c r="F99" i="47"/>
  <c r="E100" i="47"/>
  <c r="D101" i="47"/>
  <c r="C102" i="47"/>
  <c r="B103" i="47"/>
  <c r="F103" i="47"/>
  <c r="E104" i="47"/>
  <c r="D105" i="47"/>
  <c r="C106" i="47"/>
  <c r="B110" i="47"/>
  <c r="F110" i="47"/>
  <c r="C111" i="47"/>
  <c r="G111" i="47"/>
  <c r="D112" i="47"/>
  <c r="H112" i="47"/>
  <c r="E113" i="47"/>
  <c r="B114" i="47"/>
  <c r="F114" i="47"/>
  <c r="C115" i="47"/>
  <c r="G115" i="47"/>
  <c r="D116" i="47"/>
  <c r="H116" i="47"/>
  <c r="E117" i="47"/>
  <c r="B121" i="47"/>
  <c r="F121" i="47"/>
  <c r="E122" i="47"/>
  <c r="D123" i="47"/>
  <c r="C124" i="47"/>
  <c r="B125" i="47"/>
  <c r="F125" i="47"/>
  <c r="E126" i="47"/>
  <c r="D127" i="47"/>
  <c r="C128" i="47"/>
  <c r="B129" i="47"/>
  <c r="F129" i="47"/>
  <c r="E130" i="47"/>
  <c r="D131" i="47"/>
  <c r="C132" i="47"/>
  <c r="B137" i="47"/>
  <c r="F137" i="47"/>
  <c r="E138" i="47"/>
  <c r="D139" i="47"/>
  <c r="C140" i="47"/>
  <c r="B141" i="47"/>
  <c r="F141" i="47"/>
  <c r="E142" i="47"/>
  <c r="D143" i="47"/>
  <c r="C144" i="47"/>
  <c r="B145" i="47"/>
  <c r="F145" i="47"/>
  <c r="E149" i="47"/>
  <c r="D150" i="47"/>
  <c r="C151" i="47"/>
  <c r="B152" i="47"/>
  <c r="F152" i="47"/>
  <c r="E153" i="47"/>
  <c r="D158" i="47"/>
  <c r="C159" i="47"/>
  <c r="B160" i="47"/>
  <c r="F160" i="47"/>
  <c r="E161" i="47"/>
  <c r="D162" i="47"/>
  <c r="C163" i="47"/>
  <c r="B164" i="47"/>
  <c r="F164" i="47"/>
  <c r="E165" i="47"/>
  <c r="C169" i="47"/>
  <c r="E169" i="47"/>
  <c r="D170" i="47"/>
  <c r="C171" i="47"/>
  <c r="C172" i="47"/>
  <c r="C173" i="47"/>
  <c r="D174" i="47"/>
  <c r="D175" i="47"/>
  <c r="D176" i="47"/>
  <c r="E180" i="47"/>
  <c r="E181" i="47"/>
  <c r="E182" i="47"/>
  <c r="F183" i="47"/>
  <c r="F184" i="47"/>
  <c r="F185" i="47"/>
  <c r="B187" i="47"/>
  <c r="B192" i="47"/>
  <c r="B193" i="47"/>
  <c r="C194" i="47"/>
  <c r="C195" i="47"/>
  <c r="C196" i="47"/>
  <c r="D200" i="47"/>
  <c r="D201" i="47"/>
  <c r="D202" i="47"/>
  <c r="E203" i="47"/>
  <c r="E204" i="47"/>
  <c r="F209" i="47"/>
  <c r="F210" i="47"/>
  <c r="F211" i="47"/>
  <c r="B213" i="47"/>
  <c r="B215" i="47"/>
  <c r="C216" i="47"/>
  <c r="C217" i="47"/>
  <c r="C218" i="47"/>
  <c r="D219" i="47"/>
  <c r="D220" i="47"/>
  <c r="D221" i="47"/>
  <c r="E222" i="47"/>
  <c r="E224" i="47"/>
  <c r="F225" i="47"/>
  <c r="F226" i="47"/>
  <c r="F227" i="47"/>
  <c r="B229" i="47"/>
  <c r="B230" i="47"/>
  <c r="B231" i="47"/>
  <c r="C232" i="47"/>
  <c r="C233" i="47"/>
  <c r="C234" i="47"/>
  <c r="D235" i="47"/>
  <c r="D236" i="47"/>
  <c r="D237" i="47"/>
  <c r="E238" i="47"/>
  <c r="B244" i="47"/>
  <c r="D245" i="47"/>
  <c r="D247" i="47"/>
  <c r="C252" i="47"/>
  <c r="B254" i="47"/>
  <c r="B256" i="47"/>
  <c r="D257" i="47"/>
  <c r="C259" i="47"/>
  <c r="C261" i="47"/>
  <c r="B263" i="47"/>
  <c r="D264" i="47"/>
  <c r="C271" i="47"/>
  <c r="B273" i="47"/>
  <c r="B275" i="47"/>
  <c r="D276" i="47"/>
  <c r="C278" i="47"/>
  <c r="C280" i="47"/>
  <c r="B282" i="47"/>
  <c r="D283" i="47"/>
  <c r="C289" i="47"/>
  <c r="D292" i="47"/>
  <c r="E295" i="47"/>
  <c r="F301" i="47"/>
  <c r="B305" i="47"/>
  <c r="C308" i="47"/>
  <c r="D311" i="47"/>
  <c r="E314" i="47"/>
  <c r="F320" i="47"/>
  <c r="F325" i="47"/>
  <c r="C332" i="47"/>
  <c r="E338" i="47"/>
  <c r="B345" i="47"/>
  <c r="E351" i="47"/>
  <c r="B365" i="47"/>
  <c r="F377" i="47"/>
  <c r="F415" i="47"/>
  <c r="B454" i="47"/>
  <c r="D246" i="47"/>
  <c r="C248" i="47"/>
  <c r="C253" i="47"/>
  <c r="B255" i="47"/>
  <c r="D256" i="47"/>
  <c r="D258" i="47"/>
  <c r="C260" i="47"/>
  <c r="B262" i="47"/>
  <c r="B264" i="47"/>
  <c r="D265" i="47"/>
  <c r="C270" i="47"/>
  <c r="C272" i="47"/>
  <c r="B274" i="47"/>
  <c r="D275" i="47"/>
  <c r="D277" i="47"/>
  <c r="C279" i="47"/>
  <c r="B281" i="47"/>
  <c r="B283" i="47"/>
  <c r="D284" i="47"/>
  <c r="F290" i="47"/>
  <c r="B294" i="47"/>
  <c r="C297" i="47"/>
  <c r="D303" i="47"/>
  <c r="E306" i="47"/>
  <c r="F309" i="47"/>
  <c r="B313" i="47"/>
  <c r="F322" i="47"/>
  <c r="B329" i="47"/>
  <c r="D335" i="47"/>
  <c r="C348" i="47"/>
  <c r="F355" i="47"/>
  <c r="D371" i="47"/>
  <c r="C384" i="47"/>
  <c r="B403" i="47"/>
  <c r="B172" i="47"/>
  <c r="B173" i="47"/>
  <c r="B174" i="47"/>
  <c r="C175" i="47"/>
  <c r="C176" i="47"/>
  <c r="C180" i="47"/>
  <c r="D181" i="47"/>
  <c r="D182" i="47"/>
  <c r="D183" i="47"/>
  <c r="E184" i="47"/>
  <c r="E185" i="47"/>
  <c r="E186" i="47"/>
  <c r="F187" i="47"/>
  <c r="F192" i="47"/>
  <c r="F193" i="47"/>
  <c r="B195" i="47"/>
  <c r="B196" i="47"/>
  <c r="B200" i="47"/>
  <c r="C201" i="47"/>
  <c r="C202" i="47"/>
  <c r="C203" i="47"/>
  <c r="D204" i="47"/>
  <c r="D209" i="47"/>
  <c r="E210" i="47"/>
  <c r="E211" i="47"/>
  <c r="E212" i="47"/>
  <c r="F213" i="47"/>
  <c r="F215" i="47"/>
  <c r="B217" i="47"/>
  <c r="B218" i="47"/>
  <c r="B219" i="47"/>
  <c r="C220" i="47"/>
  <c r="C221" i="47"/>
  <c r="C222" i="47"/>
  <c r="D224" i="47"/>
  <c r="D225" i="47"/>
  <c r="E226" i="47"/>
  <c r="E227" i="47"/>
  <c r="E228" i="47"/>
  <c r="F229" i="47"/>
  <c r="F230" i="47"/>
  <c r="F231" i="47"/>
  <c r="B233" i="47"/>
  <c r="B234" i="47"/>
  <c r="B235" i="47"/>
  <c r="C236" i="47"/>
  <c r="C237" i="47"/>
  <c r="C238" i="47"/>
  <c r="D243" i="47"/>
  <c r="C245" i="47"/>
  <c r="B247" i="47"/>
  <c r="B252" i="47"/>
  <c r="D253" i="47"/>
  <c r="C255" i="47"/>
  <c r="C257" i="47"/>
  <c r="B259" i="47"/>
  <c r="D260" i="47"/>
  <c r="D262" i="47"/>
  <c r="C264" i="47"/>
  <c r="B271" i="47"/>
  <c r="D272" i="47"/>
  <c r="C274" i="47"/>
  <c r="C276" i="47"/>
  <c r="B278" i="47"/>
  <c r="D279" i="47"/>
  <c r="D281" i="47"/>
  <c r="C283" i="47"/>
  <c r="D288" i="47"/>
  <c r="E291" i="47"/>
  <c r="F294" i="47"/>
  <c r="B301" i="47"/>
  <c r="C304" i="47"/>
  <c r="D307" i="47"/>
  <c r="E310" i="47"/>
  <c r="F313" i="47"/>
  <c r="B320" i="47"/>
  <c r="C324" i="47"/>
  <c r="E330" i="47"/>
  <c r="B337" i="47"/>
  <c r="D343" i="47"/>
  <c r="F361" i="47"/>
  <c r="E374" i="47"/>
  <c r="D387" i="47"/>
  <c r="D409" i="47"/>
  <c r="H21" i="31"/>
  <c r="I21" i="31" s="1"/>
</calcChain>
</file>

<file path=xl/comments1.xml><?xml version="1.0" encoding="utf-8"?>
<comments xmlns="http://schemas.openxmlformats.org/spreadsheetml/2006/main">
  <authors>
    <author>David Durkalski</author>
  </authors>
  <commentList>
    <comment ref="H1" authorId="0" shapeId="0">
      <text>
        <r>
          <rPr>
            <sz val="9"/>
            <color indexed="81"/>
            <rFont val="Tahoma"/>
            <family val="2"/>
          </rPr>
          <t xml:space="preserve">Some totals validate against the total number of adults  plus the total number of child heads of household.
</t>
        </r>
      </text>
    </comment>
  </commentList>
</comments>
</file>

<file path=xl/sharedStrings.xml><?xml version="1.0" encoding="utf-8"?>
<sst xmlns="http://schemas.openxmlformats.org/spreadsheetml/2006/main" count="13749" uniqueCount="2504">
  <si>
    <t>a. Without children</t>
  </si>
  <si>
    <t>b. With children and adults</t>
  </si>
  <si>
    <t>c. With only children</t>
  </si>
  <si>
    <t>d. Unknown household type</t>
  </si>
  <si>
    <t>Gender</t>
  </si>
  <si>
    <t>Ethnicity</t>
  </si>
  <si>
    <t>Race</t>
  </si>
  <si>
    <t>Living arrangement on the night before program entry</t>
  </si>
  <si>
    <t>Total</t>
  </si>
  <si>
    <t>Destination</t>
  </si>
  <si>
    <t>File Name</t>
  </si>
  <si>
    <t>File Path &amp; Name</t>
  </si>
  <si>
    <t>Organization ID</t>
  </si>
  <si>
    <t>Project ID</t>
  </si>
  <si>
    <t>HMIS Project Type</t>
  </si>
  <si>
    <t>Data Element</t>
  </si>
  <si>
    <t>SSN</t>
  </si>
  <si>
    <t>Date of Birth</t>
  </si>
  <si>
    <t>Veteran Status</t>
  </si>
  <si>
    <t>Residence Prior to Entry</t>
  </si>
  <si>
    <t>Leavers</t>
  </si>
  <si>
    <t>Stayers</t>
  </si>
  <si>
    <t>Data not collected</t>
  </si>
  <si>
    <t>Length of participation</t>
  </si>
  <si>
    <t>Client Contacts and Engagements</t>
  </si>
  <si>
    <t>Physical and Mental Health Conditions</t>
  </si>
  <si>
    <t>Chronic homelessness</t>
  </si>
  <si>
    <t>Domestic Violence Experience</t>
  </si>
  <si>
    <t>Veteran's Status</t>
  </si>
  <si>
    <t xml:space="preserve">Client Cash Income Amount  – Adult Leavers  </t>
  </si>
  <si>
    <t>Non-Cash Benefit Sources – Adult Leavers</t>
  </si>
  <si>
    <t>Health Insurance  – Adult Leavers</t>
  </si>
  <si>
    <t>ST Out</t>
  </si>
  <si>
    <t>ES-ie</t>
  </si>
  <si>
    <t>ES-nbn</t>
  </si>
  <si>
    <t>TH</t>
  </si>
  <si>
    <t>HP</t>
  </si>
  <si>
    <t>RRH</t>
  </si>
  <si>
    <t>Reporting Jurisdiction</t>
  </si>
  <si>
    <t>Program Year Start Date</t>
  </si>
  <si>
    <t>Program Year End Date</t>
  </si>
  <si>
    <t>Title:</t>
  </si>
  <si>
    <t>Street Address 1:</t>
  </si>
  <si>
    <t>Street Address 2:</t>
  </si>
  <si>
    <t>City:</t>
  </si>
  <si>
    <t>State:</t>
  </si>
  <si>
    <t>Zip Code:</t>
  </si>
  <si>
    <t>E-mail address:</t>
  </si>
  <si>
    <t>Phone Number:</t>
  </si>
  <si>
    <t>Extension:</t>
  </si>
  <si>
    <t>Fax Number:</t>
  </si>
  <si>
    <t>Q5. HMIS DQ &amp; Participation</t>
  </si>
  <si>
    <t>Relationship to Head of Household</t>
  </si>
  <si>
    <t>Q6. Persons Served</t>
  </si>
  <si>
    <t>Total Households</t>
  </si>
  <si>
    <t>January</t>
  </si>
  <si>
    <t>April</t>
  </si>
  <si>
    <t>July</t>
  </si>
  <si>
    <t>October</t>
  </si>
  <si>
    <t>Q10. Gender</t>
  </si>
  <si>
    <t>10a. Gender of Adults</t>
  </si>
  <si>
    <t>10b. Gender of Children</t>
  </si>
  <si>
    <t>Q12. Race &amp; Ethnicity</t>
  </si>
  <si>
    <t>12a. Race</t>
  </si>
  <si>
    <t>12b. Ethnicity</t>
  </si>
  <si>
    <t>20a. Type of Non-Cash Benefit Sources</t>
  </si>
  <si>
    <t>Q21. Health Insurance</t>
  </si>
  <si>
    <t>Q22. Length of Participation</t>
  </si>
  <si>
    <t>Q22d. Length of Participation by Household type</t>
  </si>
  <si>
    <t>At Exit for Leavers</t>
  </si>
  <si>
    <t>First name</t>
  </si>
  <si>
    <t>Last name</t>
  </si>
  <si>
    <t>Disabling condition</t>
  </si>
  <si>
    <t>Client location for project entry</t>
  </si>
  <si>
    <t>Length of Time on Street, in ES or SH</t>
  </si>
  <si>
    <t>Q10a</t>
  </si>
  <si>
    <t>Q10b</t>
  </si>
  <si>
    <t>Q10c</t>
  </si>
  <si>
    <t>Q10d</t>
  </si>
  <si>
    <t>Q11</t>
  </si>
  <si>
    <t>Q12a</t>
  </si>
  <si>
    <t>Q12b</t>
  </si>
  <si>
    <t>Q13a1</t>
  </si>
  <si>
    <t>Q13b1</t>
  </si>
  <si>
    <t>Q13c1</t>
  </si>
  <si>
    <t>Q14a</t>
  </si>
  <si>
    <t>Q14b</t>
  </si>
  <si>
    <t>Q15</t>
  </si>
  <si>
    <t>Q20a</t>
  </si>
  <si>
    <t>Q21</t>
  </si>
  <si>
    <t>Q22a2</t>
  </si>
  <si>
    <t>Q22d</t>
  </si>
  <si>
    <t>Q23</t>
  </si>
  <si>
    <t>Q24</t>
  </si>
  <si>
    <t>Q25a</t>
  </si>
  <si>
    <t>Method of tracking ES</t>
  </si>
  <si>
    <t>Q6a</t>
  </si>
  <si>
    <t>Q6b</t>
  </si>
  <si>
    <t>Q7a</t>
  </si>
  <si>
    <t>Q7b</t>
  </si>
  <si>
    <t>Q9a</t>
  </si>
  <si>
    <t>Q9b</t>
  </si>
  <si>
    <t>Q4a</t>
  </si>
  <si>
    <t>Q5a</t>
  </si>
  <si>
    <t>Q22c</t>
  </si>
  <si>
    <t>5a. HMIS or Comparable Database Data Quality</t>
  </si>
  <si>
    <t>6a. Report Validations Table</t>
  </si>
  <si>
    <t>6b. Number of Persons Served</t>
  </si>
  <si>
    <t xml:space="preserve">7a. Number of Households Served </t>
  </si>
  <si>
    <t>7b. Point-in-Time Count of Households on the Last Wednesday</t>
  </si>
  <si>
    <t>Q9. Contacts and Engagements</t>
  </si>
  <si>
    <t>9a. Number of Persons Contacted</t>
  </si>
  <si>
    <t>9b. Number of Persons Engaged</t>
  </si>
  <si>
    <t>10c. Gender of Persons Missing Age Information</t>
  </si>
  <si>
    <t>10d. Gender by Age Ranges</t>
  </si>
  <si>
    <t xml:space="preserve">Q11. Age </t>
  </si>
  <si>
    <t>Q13.  Physical and Mental Health Conditions</t>
  </si>
  <si>
    <t>13a1. Physical and Mental Health Conditions at Entry</t>
  </si>
  <si>
    <t>13b1. Physical and Mental Health Conditions of Leavers</t>
  </si>
  <si>
    <t>13c1. Physical and Mental Health Conditions of Stayers</t>
  </si>
  <si>
    <t xml:space="preserve">Q14. Domestic Violence </t>
  </si>
  <si>
    <t>14a. Persons with Domestic Violence History</t>
  </si>
  <si>
    <t>14b. Persons Fleeing Domestic Violence</t>
  </si>
  <si>
    <t>Q15. Residence Prior to Project Entry</t>
  </si>
  <si>
    <t>Q20. Non-Cash Benefits</t>
  </si>
  <si>
    <t>Q22a2. Length of Participation—ESG projects</t>
  </si>
  <si>
    <t>Q22c. RRH Length of Time between Project Entry Date and Residential Move-in Date</t>
  </si>
  <si>
    <t>Q23. Exit Destination – More than 90 Days</t>
  </si>
  <si>
    <t>Q23a. Exit Destination—All persons</t>
  </si>
  <si>
    <t>Q23b. Homeless Prevention Housing Assessment at Exit</t>
  </si>
  <si>
    <t>Q24. Exit Destination – 90 Days or Less</t>
  </si>
  <si>
    <t>25a. Number of Veterans</t>
  </si>
  <si>
    <t>Q26b. Number of Chronically Homeless Persons by Household</t>
  </si>
  <si>
    <t>Ü</t>
  </si>
  <si>
    <t>ContactName</t>
  </si>
  <si>
    <t>Q23a</t>
  </si>
  <si>
    <t>Q23b</t>
  </si>
  <si>
    <t>c. Unknown household type</t>
  </si>
  <si>
    <t>d. Transgender female to male</t>
  </si>
  <si>
    <t>e. Other</t>
  </si>
  <si>
    <t>f. Don't know / refused</t>
  </si>
  <si>
    <t>g. Information missing</t>
  </si>
  <si>
    <t>h. Subtotal</t>
  </si>
  <si>
    <t>d. Information missing</t>
  </si>
  <si>
    <t>e. Total</t>
  </si>
  <si>
    <t>a. First contact was at a place not meant for human habitation</t>
  </si>
  <si>
    <t>d. First contact place was missing</t>
  </si>
  <si>
    <t>a4. Contacted 10 or more times?</t>
  </si>
  <si>
    <t>az. Total persons contacted</t>
  </si>
  <si>
    <t>b4. Engaged after 10 or more contacts?</t>
  </si>
  <si>
    <t>bz. Total persons engaged</t>
  </si>
  <si>
    <t>c. Rate of engagement (%)</t>
  </si>
  <si>
    <t>a. Male</t>
  </si>
  <si>
    <t>b. Female</t>
  </si>
  <si>
    <t>c. Transgender male to female</t>
  </si>
  <si>
    <t>a. Adults</t>
  </si>
  <si>
    <t>b. Children</t>
  </si>
  <si>
    <t>c. Don't know / refused</t>
  </si>
  <si>
    <t>Total households</t>
  </si>
  <si>
    <t>a1. Contacted once?</t>
  </si>
  <si>
    <t>a2. Contacted 2-5 times?</t>
  </si>
  <si>
    <t>a3. Contacted 6-9 times?</t>
  </si>
  <si>
    <t>b1. Engaged after 1 contact?</t>
  </si>
  <si>
    <t>b2. Engaged after 2-5 contacts?</t>
  </si>
  <si>
    <t>b3. Engaged after 6-9 contacts?</t>
  </si>
  <si>
    <t>Project name</t>
  </si>
  <si>
    <t>If HMIS Project ID = 6 (S Only), is the Services Only (HMIS Project Type 6) affiliated with a residential project?</t>
  </si>
  <si>
    <t>b. Number of adults (age 18 or over)</t>
  </si>
  <si>
    <t>c. Number of children (under age 18)</t>
  </si>
  <si>
    <t>d. Number of persons with unknown age</t>
  </si>
  <si>
    <t>e. Total number of leavers</t>
  </si>
  <si>
    <t>f. Total number of adult leavers</t>
  </si>
  <si>
    <t>g. Total number of stayers</t>
  </si>
  <si>
    <t>h. Total number of adult stayers</t>
  </si>
  <si>
    <t>i. Number of veterans</t>
  </si>
  <si>
    <t>j. Number of chronically homeless persons</t>
  </si>
  <si>
    <t>k. Number of adult heads of household</t>
  </si>
  <si>
    <t>k. Number of child heads of household</t>
  </si>
  <si>
    <t>l. Number of unaccompanied youth under age 25</t>
  </si>
  <si>
    <t>m. Number of parenting youth under age 25 with children</t>
  </si>
  <si>
    <t>a. With children and adults</t>
  </si>
  <si>
    <t>b. With only children</t>
  </si>
  <si>
    <t>a. Under age 18</t>
  </si>
  <si>
    <t>b. Age 18-24</t>
  </si>
  <si>
    <t>c. Age 25-61</t>
  </si>
  <si>
    <t>d. Age 62 and over</t>
  </si>
  <si>
    <t>e. Client Doesn't Know/Client Refused</t>
  </si>
  <si>
    <t>f. Data not collected</t>
  </si>
  <si>
    <t>c. Transgendered</t>
  </si>
  <si>
    <t>d. Other</t>
  </si>
  <si>
    <t>f. Information missing</t>
  </si>
  <si>
    <t>g. Total</t>
  </si>
  <si>
    <t>a. Under 5</t>
  </si>
  <si>
    <t>b. 5 - 12</t>
  </si>
  <si>
    <t>c. 13 - 17</t>
  </si>
  <si>
    <t>d. 18 - 24</t>
  </si>
  <si>
    <t>e. 25 - 34</t>
  </si>
  <si>
    <t>f. 35 - 44</t>
  </si>
  <si>
    <t>g. 45 - 54</t>
  </si>
  <si>
    <t>h. 55 - 61</t>
  </si>
  <si>
    <t>i. 62+</t>
  </si>
  <si>
    <t>j. Don't know / refused</t>
  </si>
  <si>
    <t>k. Information missing</t>
  </si>
  <si>
    <t>l. Total</t>
  </si>
  <si>
    <t>a. White</t>
  </si>
  <si>
    <t>b. Black or African-American</t>
  </si>
  <si>
    <t>c. Asian</t>
  </si>
  <si>
    <t>d. American Indian or Alaska Native</t>
  </si>
  <si>
    <t>e. Native Hawaiian or Other Pacific Islander</t>
  </si>
  <si>
    <t>f. Multiple races</t>
  </si>
  <si>
    <t>g. Don't know / refused</t>
  </si>
  <si>
    <t>h. Information missing</t>
  </si>
  <si>
    <t>i. Total</t>
  </si>
  <si>
    <t>a. Non-Hispanic/non-Latino</t>
  </si>
  <si>
    <t>b. Hispanic/Latino</t>
  </si>
  <si>
    <t>a. Mental illness</t>
  </si>
  <si>
    <t>Total persons</t>
  </si>
  <si>
    <t>b. Alcohol abuse</t>
  </si>
  <si>
    <t>c. Drug abuse</t>
  </si>
  <si>
    <t>d. Both alcohol and drug abuse</t>
  </si>
  <si>
    <t>e. Chronic health condition</t>
  </si>
  <si>
    <t>f. HIV/AIDS and related diseases</t>
  </si>
  <si>
    <t>g. Developmental disability</t>
  </si>
  <si>
    <t>h. Physical disability</t>
  </si>
  <si>
    <t>a. Yes</t>
  </si>
  <si>
    <t>b. No</t>
  </si>
  <si>
    <t>a. Homeless situations</t>
  </si>
  <si>
    <t>a1. Emergency shelter</t>
  </si>
  <si>
    <t>a2. Transitional housing for homeless persons</t>
  </si>
  <si>
    <t>a3. Place not meant for human habitation</t>
  </si>
  <si>
    <t>a4. Safe haven</t>
  </si>
  <si>
    <t>az. Total</t>
  </si>
  <si>
    <t>b. Institutional settings</t>
  </si>
  <si>
    <t>b1. Psychiatric facility</t>
  </si>
  <si>
    <t>b2. Substance abuse or detox center</t>
  </si>
  <si>
    <t>b3. Hospital (non-psychiatric)</t>
  </si>
  <si>
    <t>b4. Jail, prison or juvenile detention</t>
  </si>
  <si>
    <t>b5. Foster care home or foster care group home</t>
  </si>
  <si>
    <t>b6. Long-term care facility or nursing home</t>
  </si>
  <si>
    <t>b7. Residential project or halfway house with no homeless criteria</t>
  </si>
  <si>
    <t>bz. Total</t>
  </si>
  <si>
    <t>c. Other locations</t>
  </si>
  <si>
    <t>c01. PSH for homeless persons</t>
  </si>
  <si>
    <t>c02. Owned by client, no subsidy</t>
  </si>
  <si>
    <t>c03. Owned by client, with subsidy</t>
  </si>
  <si>
    <t>c04. Rental by client, no subsidy</t>
  </si>
  <si>
    <t>c05. Rental by client, with VASH subsidy</t>
  </si>
  <si>
    <t>c06. Rental by client, with other subsidy</t>
  </si>
  <si>
    <t>c07. Rental by client, with other subsidy</t>
  </si>
  <si>
    <t>c08. Hotel or motel paid by client</t>
  </si>
  <si>
    <t>c09. Staying or living with family</t>
  </si>
  <si>
    <t>c10. Other</t>
  </si>
  <si>
    <t>c10. Staying or living with friend(s)</t>
  </si>
  <si>
    <t>c11. Don't know / refused</t>
  </si>
  <si>
    <t>c12. Information missing</t>
  </si>
  <si>
    <t>cz. Total</t>
  </si>
  <si>
    <t>d. Total</t>
  </si>
  <si>
    <t>a. Supplemental Nutritional Assistance Program</t>
  </si>
  <si>
    <t>At entry</t>
  </si>
  <si>
    <t>At Latest Annual Assessment for Stayers</t>
  </si>
  <si>
    <t>b. WIC</t>
  </si>
  <si>
    <t>c. TANF Child Care services</t>
  </si>
  <si>
    <t>d. TANF transportation services</t>
  </si>
  <si>
    <t>e. Other TANF-funded services</t>
  </si>
  <si>
    <t>f. Other source</t>
  </si>
  <si>
    <t>a. MEDICAID health insurance</t>
  </si>
  <si>
    <t>b. MEDICARE health insurance</t>
  </si>
  <si>
    <t>a. 0-7 days</t>
  </si>
  <si>
    <t>b. 8-14 days</t>
  </si>
  <si>
    <t>c. 15-21 days</t>
  </si>
  <si>
    <t>d. 22 to 30 days</t>
  </si>
  <si>
    <t>e. 31 to 60 days</t>
  </si>
  <si>
    <t>f. 61 to 90 days</t>
  </si>
  <si>
    <t>g. 91 to 180 days</t>
  </si>
  <si>
    <t>h. 181 to 365 days</t>
  </si>
  <si>
    <t>i. 366 to 730 days (1 â€“ 2 yrs.)</t>
  </si>
  <si>
    <t>j. 731 to 1095 days (2 â€“ 3 yrs.)</t>
  </si>
  <si>
    <t>k. 1096 to 1460 days (3 â€“ 4 yrs.)</t>
  </si>
  <si>
    <t>l. 1461 to 1825 days (4 â€“ 5 yrs.)</t>
  </si>
  <si>
    <t>m. More than 1825 days (&gt;5 yrs.)</t>
  </si>
  <si>
    <t>n. Information missing</t>
  </si>
  <si>
    <t>o. Total</t>
  </si>
  <si>
    <t>a. Permanent destinations</t>
  </si>
  <si>
    <t>a01. Moved from one HOPWA funded project to HOPWA PH</t>
  </si>
  <si>
    <t>a02. Owned by client, no ongoing subsidy</t>
  </si>
  <si>
    <t>a03. Owned by client, with ongoing subsidy</t>
  </si>
  <si>
    <t>a04. Rental by client, no ongoing subsidy</t>
  </si>
  <si>
    <t>a05. Rental by client, VASH subsidy</t>
  </si>
  <si>
    <t>a06. Rental by client, with GPD TIP housing subsidy</t>
  </si>
  <si>
    <t>a07. Rental by client, other ongoing subsidy</t>
  </si>
  <si>
    <t>a08. Permanent housing for homeless persons</t>
  </si>
  <si>
    <t>a09. Staying or living with family, permanent tenure</t>
  </si>
  <si>
    <t>a10. Staying or living with friends, permanent tenure</t>
  </si>
  <si>
    <t>b. Temporary destinations</t>
  </si>
  <si>
    <t>b1. Emergency shelter</t>
  </si>
  <si>
    <t>b2. Moved from one HOPWA  funded project to HOPWA TH</t>
  </si>
  <si>
    <t>b3. Transitional housing for homeless persons</t>
  </si>
  <si>
    <t>b5. Staying with family, temporary tenure</t>
  </si>
  <si>
    <t>b5. Staying with friends, temporary tenure</t>
  </si>
  <si>
    <t>b6. Place not meant for human habitation</t>
  </si>
  <si>
    <t>b7. Safe Haven</t>
  </si>
  <si>
    <t>b8. Hotel or motel paid by client</t>
  </si>
  <si>
    <t>c. Institutional settings</t>
  </si>
  <si>
    <t>c1. Foster care home or group foster care home</t>
  </si>
  <si>
    <t>c2. Psychiatric hospital or other psychiatric facility</t>
  </si>
  <si>
    <t>c3. Substance abuse treatment facility or detox center</t>
  </si>
  <si>
    <t>c4. Hospital or other residential non-psychiatric medical facility</t>
  </si>
  <si>
    <t>c5. Jail, prison or juvenile detention facility</t>
  </si>
  <si>
    <t>c6. Long term care facility or nursing home</t>
  </si>
  <si>
    <t>d. Other destinations</t>
  </si>
  <si>
    <t>d1. Residential project or halfway house with no homeless criteria</t>
  </si>
  <si>
    <t>d2. Deceased</t>
  </si>
  <si>
    <t>d3. Other</t>
  </si>
  <si>
    <t>d4. Don't know / refused</t>
  </si>
  <si>
    <t>d5. Information missing</t>
  </si>
  <si>
    <t>dz. Total</t>
  </si>
  <si>
    <t>a. Able to maintain the housing they had at project entry--Without a subsidy</t>
  </si>
  <si>
    <t>b. Able to maintain the housing they had at project entry--With the subsidy they had at project entry</t>
  </si>
  <si>
    <t>c. Able to maintain the housing they had at project entry--With an on-going subsidy acquired since project entry</t>
  </si>
  <si>
    <t>d. Able to maintain the housing they had at project entry--Only with financial assistance other than a subsidy</t>
  </si>
  <si>
    <t>e. Moved to new housing unit--With on-going subsidy</t>
  </si>
  <si>
    <t>f. Moved to new housing unit--Without an on-going subsidy</t>
  </si>
  <si>
    <t>g. Moved in with family/friends on a temporary basis</t>
  </si>
  <si>
    <t>h. Moved in with family/friends on a permanent basis</t>
  </si>
  <si>
    <t>i. Moved to a transitional or temporary housing facility or program</t>
  </si>
  <si>
    <t>j. Client became homeless â€“ moving to a shelter or other place unfit for human habitation</t>
  </si>
  <si>
    <t>k. Client went to jail/prison</t>
  </si>
  <si>
    <t>l. Client died</t>
  </si>
  <si>
    <t>n. Data not collected (no exit interview completed)</t>
  </si>
  <si>
    <t>a. Chronically homeless veteran</t>
  </si>
  <si>
    <t>b. Non-chronically homeless veteran</t>
  </si>
  <si>
    <t>c. Not a veteran</t>
  </si>
  <si>
    <t>e. Data Not Collected</t>
  </si>
  <si>
    <t>f. Total</t>
  </si>
  <si>
    <t>a. Chronically homeless</t>
  </si>
  <si>
    <t>b. Not chronically homeless</t>
  </si>
  <si>
    <t>1|0</t>
  </si>
  <si>
    <t>1|3</t>
  </si>
  <si>
    <t>2|</t>
  </si>
  <si>
    <t>4|</t>
  </si>
  <si>
    <t>12|</t>
  </si>
  <si>
    <t>13|</t>
  </si>
  <si>
    <t>Client Doesn't Know or Client Refused</t>
  </si>
  <si>
    <t>d. Client Doesn't Know/Client Refused</t>
  </si>
  <si>
    <t>Organization</t>
  </si>
  <si>
    <t>Q26b</t>
  </si>
  <si>
    <t>f. 61 to 180 days</t>
  </si>
  <si>
    <t>g. 181 to 365 days</t>
  </si>
  <si>
    <t>h. 366 to 730 days (1 â€“ 2 yrs.)</t>
  </si>
  <si>
    <t>i. Data Not Collected</t>
  </si>
  <si>
    <t>j. Total</t>
  </si>
  <si>
    <t>m. Client doesnâ€™t know/Client refused</t>
  </si>
  <si>
    <t>c. State Children's Health Insurance</t>
  </si>
  <si>
    <t>d. VA Medical Services</t>
  </si>
  <si>
    <t>e. Employer-provided health insurance</t>
  </si>
  <si>
    <t>f. Health insurance through COBRA</t>
  </si>
  <si>
    <t>g. Private pay health insurance</t>
  </si>
  <si>
    <t>h. State Health Insurance for Adults</t>
  </si>
  <si>
    <t>i. No health insurance</t>
  </si>
  <si>
    <t>j. Client doesn't know/Client refused</t>
  </si>
  <si>
    <t>k. Data not collected</t>
  </si>
  <si>
    <t>l. Number of adult stayers not yet required to have an annual assessment</t>
  </si>
  <si>
    <t>m. 1 source of health insurance</t>
  </si>
  <si>
    <t>n. More than 1 source of health insurance</t>
  </si>
  <si>
    <t>o. Total clients</t>
  </si>
  <si>
    <t>a. 0 to 7 days</t>
  </si>
  <si>
    <t>b. 8 to 14 days</t>
  </si>
  <si>
    <t>c. 15 to 21 days</t>
  </si>
  <si>
    <t>b. First contact was at a non-residential service setting</t>
  </si>
  <si>
    <t>c. First contact was at a residential service setting</t>
  </si>
  <si>
    <t>Project</t>
  </si>
  <si>
    <t>Identify the Project ID's of the housing projects this project is affiliated with</t>
  </si>
  <si>
    <t>c. Client Doesnâ€™t Know/Client Refused</t>
  </si>
  <si>
    <t>d. Data Not Collected</t>
  </si>
  <si>
    <t>Ext</t>
  </si>
  <si>
    <t xml:space="preserve">Q4a | Organization ID | </t>
  </si>
  <si>
    <t xml:space="preserve">Q4a | Project name | </t>
  </si>
  <si>
    <t xml:space="preserve">Q4a | Project ID | </t>
  </si>
  <si>
    <t xml:space="preserve">Q4a | HMIS Project Type | </t>
  </si>
  <si>
    <t xml:space="preserve">Q4a | Method of tracking ES | </t>
  </si>
  <si>
    <t xml:space="preserve">Q4a | If HMIS Project ID = 6 (S Only), is the Services Only (HMIS Project Type 6) affiliated with a residential project? | </t>
  </si>
  <si>
    <t xml:space="preserve">Q4a | Identify the Project ID's of the housing projects this project is affiliated with | </t>
  </si>
  <si>
    <t>Q5a | First name | Client Doesn't Know or Client Refused</t>
  </si>
  <si>
    <t>Q5a | First name | Data not collected</t>
  </si>
  <si>
    <t>Q5a | Last name | Client Doesn't Know or Client Refused</t>
  </si>
  <si>
    <t>Q5a | Last name | Data not collected</t>
  </si>
  <si>
    <t>Q5a | SSN | Client Doesn't Know or Client Refused</t>
  </si>
  <si>
    <t>Q5a | SSN | Data not collected</t>
  </si>
  <si>
    <t>Q5a | Date of Birth | Client Doesn't Know or Client Refused</t>
  </si>
  <si>
    <t>Q5a | Date of Birth | Data not collected</t>
  </si>
  <si>
    <t>Q5a | Race | Client Doesn't Know or Client Refused</t>
  </si>
  <si>
    <t>Q5a | Race | Data not collected</t>
  </si>
  <si>
    <t>Q5a | Ethnicity | Client Doesn't Know or Client Refused</t>
  </si>
  <si>
    <t>Q5a | Ethnicity | Data not collected</t>
  </si>
  <si>
    <t>Q5a | Gender | Client Doesn't Know or Client Refused</t>
  </si>
  <si>
    <t>Q5a | Gender | Data not collected</t>
  </si>
  <si>
    <t>Q5a | Veteran Status | Client Doesn't Know or Client Refused</t>
  </si>
  <si>
    <t>Q5a | Veteran Status | Data not collected</t>
  </si>
  <si>
    <t>Q5a | Disabling condition | Client Doesn't Know or Client Refused</t>
  </si>
  <si>
    <t>Q5a | Disabling condition | Data not collected</t>
  </si>
  <si>
    <t>Q5a | Residence Prior to Entry | Client Doesn't Know or Client Refused</t>
  </si>
  <si>
    <t>Q5a | Residence Prior to Entry | Data not collected</t>
  </si>
  <si>
    <t>Q5a | Relationship to Head of Household | Client Doesn't Know or Client Refused</t>
  </si>
  <si>
    <t>Q5a | Relationship to Head of Household | Data not collected</t>
  </si>
  <si>
    <t>Q5a | Destination | Client Doesn't Know or Client Refused</t>
  </si>
  <si>
    <t>Q5a | Destination | Data not collected</t>
  </si>
  <si>
    <t>Q5a | Client location for project entry | Client Doesn't Know or Client Refused</t>
  </si>
  <si>
    <t>Q5a | Client location for project entry | Data not collected</t>
  </si>
  <si>
    <t>Q5a | Length of Time on Street, in ES or SH | Client Doesn't Know or Client Refused</t>
  </si>
  <si>
    <t>Q5a | Length of Time on Street, in ES or SH | Data not collected</t>
  </si>
  <si>
    <t>Q6b | a. Adults | Total</t>
  </si>
  <si>
    <t>Q6b | a. Adults | a. Without children</t>
  </si>
  <si>
    <t>Q6b | a. Adults | b. With children and adults</t>
  </si>
  <si>
    <t>Q6b | a. Adults | c. With only children</t>
  </si>
  <si>
    <t>Q6b | a. Adults | d. Unknown household type</t>
  </si>
  <si>
    <t>Q6b | b. Children | Total</t>
  </si>
  <si>
    <t>Q6b | b. Children | a. Without children</t>
  </si>
  <si>
    <t>Q6b | b. Children | b. With children and adults</t>
  </si>
  <si>
    <t>Q6b | b. Children | c. With only children</t>
  </si>
  <si>
    <t>Q6b | b. Children | d. Unknown household type</t>
  </si>
  <si>
    <t>Q6b | c. Don't know / refused | Total</t>
  </si>
  <si>
    <t>Q6b | c. Don't know / refused | a. Without children</t>
  </si>
  <si>
    <t>Q6b | c. Don't know / refused | b. With children and adults</t>
  </si>
  <si>
    <t>Q6b | c. Don't know / refused | c. With only children</t>
  </si>
  <si>
    <t>Q6b | c. Don't know / refused | d. Unknown household type</t>
  </si>
  <si>
    <t>Q6b | d. Information missing | Total</t>
  </si>
  <si>
    <t>Q6b | d. Information missing | a. Without children</t>
  </si>
  <si>
    <t>Q6b | d. Information missing | b. With children and adults</t>
  </si>
  <si>
    <t>Q6b | d. Information missing | c. With only children</t>
  </si>
  <si>
    <t>Q6b | d. Information missing | d. Unknown household type</t>
  </si>
  <si>
    <t>Q6b | e. Total | Total</t>
  </si>
  <si>
    <t>Q6b | e. Total | a. Without children</t>
  </si>
  <si>
    <t>Q6b | e. Total | b. With children and adults</t>
  </si>
  <si>
    <t>Q6b | e. Total | c. With only children</t>
  </si>
  <si>
    <t>Q6b | e. Total | d. Unknown household type</t>
  </si>
  <si>
    <t>Q7a | Total households | Total</t>
  </si>
  <si>
    <t>Q7a | Total households | a. Without children</t>
  </si>
  <si>
    <t>Q7a | Total households | b. With children and adults</t>
  </si>
  <si>
    <t>Q7a | Total households | c. With only children</t>
  </si>
  <si>
    <t>Q7a | Total households | d. Unknown household type</t>
  </si>
  <si>
    <t>Q7b | January | Total</t>
  </si>
  <si>
    <t>Q7b | January | a. Without children</t>
  </si>
  <si>
    <t>Q7b | January | b. With children and adults</t>
  </si>
  <si>
    <t>Q7b | January | c. With only children</t>
  </si>
  <si>
    <t>Q7b | January | d. Unknown household type</t>
  </si>
  <si>
    <t>Q7b | April | Total</t>
  </si>
  <si>
    <t>Q7b | April | a. Without children</t>
  </si>
  <si>
    <t>Q7b | April | b. With children and adults</t>
  </si>
  <si>
    <t>Q7b | April | c. With only children</t>
  </si>
  <si>
    <t>Q7b | April | d. Unknown household type</t>
  </si>
  <si>
    <t>Q7b | July | Total</t>
  </si>
  <si>
    <t>Q7b | July | a. Without children</t>
  </si>
  <si>
    <t>Q7b | July | b. With children and adults</t>
  </si>
  <si>
    <t>Q7b | July | c. With only children</t>
  </si>
  <si>
    <t>Q7b | July | d. Unknown household type</t>
  </si>
  <si>
    <t>Q7b | October | Total</t>
  </si>
  <si>
    <t>Q7b | October | a. Without children</t>
  </si>
  <si>
    <t>Q7b | October | b. With children and adults</t>
  </si>
  <si>
    <t>Q7b | October | c. With only children</t>
  </si>
  <si>
    <t>Q7b | October | d. Unknown household type</t>
  </si>
  <si>
    <t>Q9a | a1. Contacted once? | Total</t>
  </si>
  <si>
    <t>Q9a | a1. Contacted once? | a. First contact was at a place not meant for human habitation</t>
  </si>
  <si>
    <t>Q9a | a1. Contacted once? | b. First contact was at a non-residential service setting</t>
  </si>
  <si>
    <t>Q9a | a1. Contacted once? | c. First contact was at a residential service setting</t>
  </si>
  <si>
    <t>Q9a | a1. Contacted once? | d. First contact place was missing</t>
  </si>
  <si>
    <t>Q9a | a2. Contacted 2-5 times? | Total</t>
  </si>
  <si>
    <t>Q9a | a2. Contacted 2-5 times? | a. First contact was at a place not meant for human habitation</t>
  </si>
  <si>
    <t>Q9a | a2. Contacted 2-5 times? | b. First contact was at a non-residential service setting</t>
  </si>
  <si>
    <t>Q9a | a2. Contacted 2-5 times? | c. First contact was at a residential service setting</t>
  </si>
  <si>
    <t>Q9a | a2. Contacted 2-5 times? | d. First contact place was missing</t>
  </si>
  <si>
    <t>Q9a | a3. Contacted 6-9 times? | Total</t>
  </si>
  <si>
    <t>Q9a | a3. Contacted 6-9 times? | a. First contact was at a place not meant for human habitation</t>
  </si>
  <si>
    <t>Q9a | a3. Contacted 6-9 times? | b. First contact was at a non-residential service setting</t>
  </si>
  <si>
    <t>Q9a | a3. Contacted 6-9 times? | c. First contact was at a residential service setting</t>
  </si>
  <si>
    <t>Q9a | a3. Contacted 6-9 times? | d. First contact place was missing</t>
  </si>
  <si>
    <t>Q9a | a4. Contacted 10 or more times? | Total</t>
  </si>
  <si>
    <t>Q9a | a4. Contacted 10 or more times? | a. First contact was at a place not meant for human habitation</t>
  </si>
  <si>
    <t>Q9a | a4. Contacted 10 or more times? | b. First contact was at a non-residential service setting</t>
  </si>
  <si>
    <t>Q9a | a4. Contacted 10 or more times? | c. First contact was at a residential service setting</t>
  </si>
  <si>
    <t>Q9a | a4. Contacted 10 or more times? | d. First contact place was missing</t>
  </si>
  <si>
    <t>Q9a | az. Total persons contacted | Total</t>
  </si>
  <si>
    <t>Q9a | az. Total persons contacted | a. First contact was at a place not meant for human habitation</t>
  </si>
  <si>
    <t>Q9a | az. Total persons contacted | b. First contact was at a non-residential service setting</t>
  </si>
  <si>
    <t>Q9a | az. Total persons contacted | c. First contact was at a residential service setting</t>
  </si>
  <si>
    <t>Q9a | az. Total persons contacted | d. First contact place was missing</t>
  </si>
  <si>
    <t>Q9b | b1. Engaged after 1 contact? | Total</t>
  </si>
  <si>
    <t>Q9b | b1. Engaged after 1 contact? | a. First contact was at a place not meant for human habitation</t>
  </si>
  <si>
    <t>Q9b | b1. Engaged after 1 contact? | b. First contact was at a non-residential service setting</t>
  </si>
  <si>
    <t>Q9b | b1. Engaged after 1 contact? | c. First contact was at a residential service setting</t>
  </si>
  <si>
    <t>Q9b | b1. Engaged after 1 contact? | d. First contact place was missing</t>
  </si>
  <si>
    <t>Q9b | b2. Engaged after 2-5 contacts? | Total</t>
  </si>
  <si>
    <t>Q9b | b2. Engaged after 2-5 contacts? | a. First contact was at a place not meant for human habitation</t>
  </si>
  <si>
    <t>Q9b | b2. Engaged after 2-5 contacts? | b. First contact was at a non-residential service setting</t>
  </si>
  <si>
    <t>Q9b | b2. Engaged after 2-5 contacts? | c. First contact was at a residential service setting</t>
  </si>
  <si>
    <t>Q9b | b2. Engaged after 2-5 contacts? | d. First contact place was missing</t>
  </si>
  <si>
    <t>Q9b | b3. Engaged after 6-9 contacts? | Total</t>
  </si>
  <si>
    <t>Q9b | b3. Engaged after 6-9 contacts? | a. First contact was at a place not meant for human habitation</t>
  </si>
  <si>
    <t>Q9b | b3. Engaged after 6-9 contacts? | b. First contact was at a non-residential service setting</t>
  </si>
  <si>
    <t>Q9b | b3. Engaged after 6-9 contacts? | c. First contact was at a residential service setting</t>
  </si>
  <si>
    <t>Q9b | b3. Engaged after 6-9 contacts? | d. First contact place was missing</t>
  </si>
  <si>
    <t>Q9b | b4. Engaged after 10 or more contacts? | Total</t>
  </si>
  <si>
    <t>Q9b | b4. Engaged after 10 or more contacts? | a. First contact was at a place not meant for human habitation</t>
  </si>
  <si>
    <t>Q9b | b4. Engaged after 10 or more contacts? | b. First contact was at a non-residential service setting</t>
  </si>
  <si>
    <t>Q9b | b4. Engaged after 10 or more contacts? | c. First contact was at a residential service setting</t>
  </si>
  <si>
    <t>Q9b | b4. Engaged after 10 or more contacts? | d. First contact place was missing</t>
  </si>
  <si>
    <t>Q9b | bz. Total persons engaged | Total</t>
  </si>
  <si>
    <t>Q9b | bz. Total persons engaged | a. First contact was at a place not meant for human habitation</t>
  </si>
  <si>
    <t>Q9b | bz. Total persons engaged | b. First contact was at a non-residential service setting</t>
  </si>
  <si>
    <t>Q9b | bz. Total persons engaged | c. First contact was at a residential service setting</t>
  </si>
  <si>
    <t>Q9b | bz. Total persons engaged | d. First contact place was missing</t>
  </si>
  <si>
    <t>Q9b | c. Rate of engagement (%) | Total</t>
  </si>
  <si>
    <t>Q9b | c. Rate of engagement (%) | a. First contact was at a place not meant for human habitation</t>
  </si>
  <si>
    <t>Q9b | c. Rate of engagement (%) | b. First contact was at a non-residential service setting</t>
  </si>
  <si>
    <t>Q9b | c. Rate of engagement (%) | c. First contact was at a residential service setting</t>
  </si>
  <si>
    <t>Q9b | c. Rate of engagement (%) | d. First contact place was missing</t>
  </si>
  <si>
    <t>Q10a | a. Male | Total</t>
  </si>
  <si>
    <t>Q10a | a. Male | a. Without children</t>
  </si>
  <si>
    <t>Q10a | a. Male | b. With children and adults</t>
  </si>
  <si>
    <t>Q10a | a. Male | c. Unknown household type</t>
  </si>
  <si>
    <t>Q10a | b. Female | Total</t>
  </si>
  <si>
    <t>Q10a | b. Female | a. Without children</t>
  </si>
  <si>
    <t>Q10a | b. Female | b. With children and adults</t>
  </si>
  <si>
    <t>Q10a | b. Female | c. Unknown household type</t>
  </si>
  <si>
    <t>Q10a | c. Transgender male to female | Total</t>
  </si>
  <si>
    <t>Q10a | c. Transgender male to female | a. Without children</t>
  </si>
  <si>
    <t>Q10a | c. Transgender male to female | b. With children and adults</t>
  </si>
  <si>
    <t>Q10a | c. Transgender male to female | c. Unknown household type</t>
  </si>
  <si>
    <t>Q10a | d. Transgender female to male | Total</t>
  </si>
  <si>
    <t>Q10a | d. Transgender female to male | a. Without children</t>
  </si>
  <si>
    <t>Q10a | d. Transgender female to male | b. With children and adults</t>
  </si>
  <si>
    <t>Q10a | d. Transgender female to male | c. Unknown household type</t>
  </si>
  <si>
    <t>Q10a | e. Other | Total</t>
  </si>
  <si>
    <t>Q10a | e. Other | a. Without children</t>
  </si>
  <si>
    <t>Q10a | e. Other | b. With children and adults</t>
  </si>
  <si>
    <t>Q10a | e. Other | c. Unknown household type</t>
  </si>
  <si>
    <t>Q10a | f. Don't know / refused | Total</t>
  </si>
  <si>
    <t>Q10a | f. Don't know / refused | a. Without children</t>
  </si>
  <si>
    <t>Q10a | f. Don't know / refused | b. With children and adults</t>
  </si>
  <si>
    <t>Q10a | f. Don't know / refused | c. Unknown household type</t>
  </si>
  <si>
    <t>Q10a | g. Information missing | Total</t>
  </si>
  <si>
    <t>Q10a | g. Information missing | a. Without children</t>
  </si>
  <si>
    <t>Q10a | g. Information missing | b. With children and adults</t>
  </si>
  <si>
    <t>Q10a | g. Information missing | c. Unknown household type</t>
  </si>
  <si>
    <t>Q10a | h. Subtotal | Total</t>
  </si>
  <si>
    <t>Q10a | h. Subtotal | a. Without children</t>
  </si>
  <si>
    <t>Q10a | h. Subtotal | b. With children and adults</t>
  </si>
  <si>
    <t>Q10a | h. Subtotal | c. Unknown household type</t>
  </si>
  <si>
    <t>Q10b | a. Male | Total</t>
  </si>
  <si>
    <t>Q10b | a. Male | a. With children and adults</t>
  </si>
  <si>
    <t>Q10b | a. Male | b. With only children</t>
  </si>
  <si>
    <t>Q10b | a. Male | c. Unknown household type</t>
  </si>
  <si>
    <t>Q10b | b. Female | Total</t>
  </si>
  <si>
    <t>Q10b | b. Female | a. With children and adults</t>
  </si>
  <si>
    <t>Q10b | b. Female | b. With only children</t>
  </si>
  <si>
    <t>Q10b | b. Female | c. Unknown household type</t>
  </si>
  <si>
    <t>Q10b | c. Transgender male to female | Total</t>
  </si>
  <si>
    <t>Q10b | c. Transgender male to female | a. With children and adults</t>
  </si>
  <si>
    <t>Q10b | c. Transgender male to female | b. With only children</t>
  </si>
  <si>
    <t>Q10b | c. Transgender male to female | c. Unknown household type</t>
  </si>
  <si>
    <t>Q10b | d. Transgender female to male | Total</t>
  </si>
  <si>
    <t>Q10b | d. Transgender female to male | a. With children and adults</t>
  </si>
  <si>
    <t>Q10b | d. Transgender female to male | b. With only children</t>
  </si>
  <si>
    <t>Q10b | d. Transgender female to male | c. Unknown household type</t>
  </si>
  <si>
    <t>Q10b | e. Other | Total</t>
  </si>
  <si>
    <t>Q10b | e. Other | a. With children and adults</t>
  </si>
  <si>
    <t>Q10b | e. Other | b. With only children</t>
  </si>
  <si>
    <t>Q10b | e. Other | c. Unknown household type</t>
  </si>
  <si>
    <t>Q10b | f. Don't know / refused | Total</t>
  </si>
  <si>
    <t>Q10b | f. Don't know / refused | a. With children and adults</t>
  </si>
  <si>
    <t>Q10b | f. Don't know / refused | b. With only children</t>
  </si>
  <si>
    <t>Q10b | f. Don't know / refused | c. Unknown household type</t>
  </si>
  <si>
    <t>Q10b | g. Information missing | Total</t>
  </si>
  <si>
    <t>Q10b | g. Information missing | a. With children and adults</t>
  </si>
  <si>
    <t>Q10b | g. Information missing | b. With only children</t>
  </si>
  <si>
    <t>Q10b | g. Information missing | c. Unknown household type</t>
  </si>
  <si>
    <t>Q10b | h. Subtotal | Total</t>
  </si>
  <si>
    <t>Q10b | h. Subtotal | a. With children and adults</t>
  </si>
  <si>
    <t>Q10b | h. Subtotal | b. With only children</t>
  </si>
  <si>
    <t>Q10b | h. Subtotal | c. Unknown household type</t>
  </si>
  <si>
    <t>Q10c | a. Male | Total</t>
  </si>
  <si>
    <t>Q10c | a. Male | a. Without children</t>
  </si>
  <si>
    <t>Q10c | a. Male | b. With children and adults</t>
  </si>
  <si>
    <t>Q10c | a. Male | c. With only children</t>
  </si>
  <si>
    <t>Q10c | a. Male | d. Unknown household type</t>
  </si>
  <si>
    <t>Q10c | b. Female | Total</t>
  </si>
  <si>
    <t>Q10c | b. Female | a. Without children</t>
  </si>
  <si>
    <t>Q10c | b. Female | b. With children and adults</t>
  </si>
  <si>
    <t>Q10c | b. Female | c. With only children</t>
  </si>
  <si>
    <t>Q10c | b. Female | d. Unknown household type</t>
  </si>
  <si>
    <t>Q10c | c. Transgender male to female | Total</t>
  </si>
  <si>
    <t>Q10c | c. Transgender male to female | a. Without children</t>
  </si>
  <si>
    <t>Q10c | c. Transgender male to female | b. With children and adults</t>
  </si>
  <si>
    <t>Q10c | c. Transgender male to female | c. With only children</t>
  </si>
  <si>
    <t>Q10c | c. Transgender male to female | d. Unknown household type</t>
  </si>
  <si>
    <t>Q10c | d. Transgender female to male | Total</t>
  </si>
  <si>
    <t>Q10c | d. Transgender female to male | a. Without children</t>
  </si>
  <si>
    <t>Q10c | d. Transgender female to male | b. With children and adults</t>
  </si>
  <si>
    <t>Q10c | d. Transgender female to male | c. With only children</t>
  </si>
  <si>
    <t>Q10c | d. Transgender female to male | d. Unknown household type</t>
  </si>
  <si>
    <t>Q10c | e. Other | Total</t>
  </si>
  <si>
    <t>Q10c | e. Other | a. Without children</t>
  </si>
  <si>
    <t>Q10c | e. Other | b. With children and adults</t>
  </si>
  <si>
    <t>Q10c | e. Other | c. With only children</t>
  </si>
  <si>
    <t>Q10c | e. Other | d. Unknown household type</t>
  </si>
  <si>
    <t>Q10c | f. Don't know / refused | Total</t>
  </si>
  <si>
    <t>Q10c | f. Don't know / refused | a. Without children</t>
  </si>
  <si>
    <t>Q10c | f. Don't know / refused | b. With children and adults</t>
  </si>
  <si>
    <t>Q10c | f. Don't know / refused | c. With only children</t>
  </si>
  <si>
    <t>Q10c | f. Don't know / refused | d. Unknown household type</t>
  </si>
  <si>
    <t>Q10c | g. Information missing | Total</t>
  </si>
  <si>
    <t>Q10c | g. Information missing | a. Without children</t>
  </si>
  <si>
    <t>Q10c | g. Information missing | b. With children and adults</t>
  </si>
  <si>
    <t>Q10c | g. Information missing | c. With only children</t>
  </si>
  <si>
    <t>Q10c | g. Information missing | d. Unknown household type</t>
  </si>
  <si>
    <t>Q10c | h. Subtotal | Total</t>
  </si>
  <si>
    <t>Q10c | h. Subtotal | a. Without children</t>
  </si>
  <si>
    <t>Q10c | h. Subtotal | b. With children and adults</t>
  </si>
  <si>
    <t>Q10c | h. Subtotal | c. With only children</t>
  </si>
  <si>
    <t>Q10c | h. Subtotal | d. Unknown household type</t>
  </si>
  <si>
    <t>Q10d | a. Male | Total</t>
  </si>
  <si>
    <t>Q10d | a. Male | a. Under age 18</t>
  </si>
  <si>
    <t>Q10d | a. Male | b. Age 18-24</t>
  </si>
  <si>
    <t>Q10d | a. Male | c. Age 25-61</t>
  </si>
  <si>
    <t>Q10d | a. Male | d. Age 62 and over</t>
  </si>
  <si>
    <t>Q10d | a. Male | e. Client Doesn't Know/Client Refused</t>
  </si>
  <si>
    <t>Q10d | a. Male | f. Data not collected</t>
  </si>
  <si>
    <t>Q10d | b. Female | Total</t>
  </si>
  <si>
    <t>Q10d | b. Female | a. Under age 18</t>
  </si>
  <si>
    <t>Q10d | b. Female | b. Age 18-24</t>
  </si>
  <si>
    <t>Q10d | b. Female | c. Age 25-61</t>
  </si>
  <si>
    <t>Q10d | b. Female | d. Age 62 and over</t>
  </si>
  <si>
    <t>Q10d | b. Female | e. Client Doesn't Know/Client Refused</t>
  </si>
  <si>
    <t>Q10d | b. Female | f. Data not collected</t>
  </si>
  <si>
    <t>Q11 | a. Under 5 | Total</t>
  </si>
  <si>
    <t>Q11 | a. Under 5 | a. Without children</t>
  </si>
  <si>
    <t>Q11 | a. Under 5 | b. With children and adults</t>
  </si>
  <si>
    <t>Q11 | a. Under 5 | c. With only children</t>
  </si>
  <si>
    <t>Q11 | a. Under 5 | d. Unknown household type</t>
  </si>
  <si>
    <t>Q11 | b. 5 - 12 | Total</t>
  </si>
  <si>
    <t>Q11 | b. 5 - 12 | a. Without children</t>
  </si>
  <si>
    <t>Q11 | b. 5 - 12 | b. With children and adults</t>
  </si>
  <si>
    <t>Q11 | b. 5 - 12 | c. With only children</t>
  </si>
  <si>
    <t>Q11 | b. 5 - 12 | d. Unknown household type</t>
  </si>
  <si>
    <t>Q11 | c. 13 - 17 | Total</t>
  </si>
  <si>
    <t>Q11 | c. 13 - 17 | a. Without children</t>
  </si>
  <si>
    <t>Q11 | c. 13 - 17 | b. With children and adults</t>
  </si>
  <si>
    <t>Q11 | c. 13 - 17 | c. With only children</t>
  </si>
  <si>
    <t>Q11 | c. 13 - 17 | d. Unknown household type</t>
  </si>
  <si>
    <t>Q11 | d. 18 - 24 | Total</t>
  </si>
  <si>
    <t>Q11 | d. 18 - 24 | a. Without children</t>
  </si>
  <si>
    <t>Q11 | d. 18 - 24 | b. With children and adults</t>
  </si>
  <si>
    <t>Q11 | d. 18 - 24 | c. With only children</t>
  </si>
  <si>
    <t>Q11 | d. 18 - 24 | d. Unknown household type</t>
  </si>
  <si>
    <t>Q11 | e. 25 - 34 | Total</t>
  </si>
  <si>
    <t>Q11 | e. 25 - 34 | a. Without children</t>
  </si>
  <si>
    <t>Q11 | e. 25 - 34 | b. With children and adults</t>
  </si>
  <si>
    <t>Q11 | e. 25 - 34 | c. With only children</t>
  </si>
  <si>
    <t>Q11 | e. 25 - 34 | d. Unknown household type</t>
  </si>
  <si>
    <t>Q11 | f. 35 - 44 | Total</t>
  </si>
  <si>
    <t>Q11 | f. 35 - 44 | a. Without children</t>
  </si>
  <si>
    <t>Q11 | f. 35 - 44 | b. With children and adults</t>
  </si>
  <si>
    <t>Q11 | f. 35 - 44 | c. With only children</t>
  </si>
  <si>
    <t>Q11 | f. 35 - 44 | d. Unknown household type</t>
  </si>
  <si>
    <t>Q11 | g. 45 - 54 | Total</t>
  </si>
  <si>
    <t>Q11 | g. 45 - 54 | a. Without children</t>
  </si>
  <si>
    <t>Q11 | g. 45 - 54 | b. With children and adults</t>
  </si>
  <si>
    <t>Q11 | g. 45 - 54 | c. With only children</t>
  </si>
  <si>
    <t>Q11 | g. 45 - 54 | d. Unknown household type</t>
  </si>
  <si>
    <t>Q11 | h. 55 - 61 | Total</t>
  </si>
  <si>
    <t>Q11 | h. 55 - 61 | a. Without children</t>
  </si>
  <si>
    <t>Q11 | h. 55 - 61 | b. With children and adults</t>
  </si>
  <si>
    <t>Q11 | h. 55 - 61 | c. With only children</t>
  </si>
  <si>
    <t>Q11 | h. 55 - 61 | d. Unknown household type</t>
  </si>
  <si>
    <t>Q11 | i. 62+ | Total</t>
  </si>
  <si>
    <t>Q11 | i. 62+ | a. Without children</t>
  </si>
  <si>
    <t>Q11 | i. 62+ | b. With children and adults</t>
  </si>
  <si>
    <t>Q11 | i. 62+ | c. With only children</t>
  </si>
  <si>
    <t>Q11 | i. 62+ | d. Unknown household type</t>
  </si>
  <si>
    <t>Q11 | j. Don't know / refused | Total</t>
  </si>
  <si>
    <t>Q11 | j. Don't know / refused | a. Without children</t>
  </si>
  <si>
    <t>Q11 | j. Don't know / refused | b. With children and adults</t>
  </si>
  <si>
    <t>Q11 | j. Don't know / refused | c. With only children</t>
  </si>
  <si>
    <t>Q11 | j. Don't know / refused | d. Unknown household type</t>
  </si>
  <si>
    <t>Q11 | k. Information missing | Total</t>
  </si>
  <si>
    <t>Q11 | k. Information missing | a. Without children</t>
  </si>
  <si>
    <t>Q11 | k. Information missing | b. With children and adults</t>
  </si>
  <si>
    <t>Q11 | k. Information missing | c. With only children</t>
  </si>
  <si>
    <t>Q11 | k. Information missing | d. Unknown household type</t>
  </si>
  <si>
    <t>Q11 | l. Total | Total</t>
  </si>
  <si>
    <t>Q11 | l. Total | a. Without children</t>
  </si>
  <si>
    <t>Q11 | l. Total | b. With children and adults</t>
  </si>
  <si>
    <t>Q11 | l. Total | c. With only children</t>
  </si>
  <si>
    <t>Q11 | l. Total | d. Unknown household type</t>
  </si>
  <si>
    <t>Q12a | a. White | Total</t>
  </si>
  <si>
    <t>Q12a | a. White | a. Without children</t>
  </si>
  <si>
    <t>Q12a | a. White | b. With children and adults</t>
  </si>
  <si>
    <t>Q12a | a. White | c. With only children</t>
  </si>
  <si>
    <t>Q12a | a. White | d. Unknown household type</t>
  </si>
  <si>
    <t>Q12a | b. Black or African-American | Total</t>
  </si>
  <si>
    <t>Q12a | b. Black or African-American | a. Without children</t>
  </si>
  <si>
    <t>Q12a | b. Black or African-American | b. With children and adults</t>
  </si>
  <si>
    <t>Q12a | b. Black or African-American | c. With only children</t>
  </si>
  <si>
    <t>Q12a | b. Black or African-American | d. Unknown household type</t>
  </si>
  <si>
    <t>Q12a | c. Asian | Total</t>
  </si>
  <si>
    <t>Q12a | c. Asian | a. Without children</t>
  </si>
  <si>
    <t>Q12a | c. Asian | b. With children and adults</t>
  </si>
  <si>
    <t>Q12a | c. Asian | c. With only children</t>
  </si>
  <si>
    <t>Q12a | c. Asian | d. Unknown household type</t>
  </si>
  <si>
    <t>Q12a | d. American Indian or Alaska Native | Total</t>
  </si>
  <si>
    <t>Q12a | d. American Indian or Alaska Native | a. Without children</t>
  </si>
  <si>
    <t>Q12a | d. American Indian or Alaska Native | b. With children and adults</t>
  </si>
  <si>
    <t>Q12a | d. American Indian or Alaska Native | c. With only children</t>
  </si>
  <si>
    <t>Q12a | d. American Indian or Alaska Native | d. Unknown household type</t>
  </si>
  <si>
    <t>Q12a | e. Native Hawaiian or Other Pacific Islander | Total</t>
  </si>
  <si>
    <t>Q12a | e. Native Hawaiian or Other Pacific Islander | a. Without children</t>
  </si>
  <si>
    <t>Q12a | e. Native Hawaiian or Other Pacific Islander | b. With children and adults</t>
  </si>
  <si>
    <t>Q12a | e. Native Hawaiian or Other Pacific Islander | c. With only children</t>
  </si>
  <si>
    <t>Q12a | e. Native Hawaiian or Other Pacific Islander | d. Unknown household type</t>
  </si>
  <si>
    <t>Q12a | f. Multiple races | Total</t>
  </si>
  <si>
    <t>Q12a | f. Multiple races | a. Without children</t>
  </si>
  <si>
    <t>Q12a | f. Multiple races | b. With children and adults</t>
  </si>
  <si>
    <t>Q12a | f. Multiple races | c. With only children</t>
  </si>
  <si>
    <t>Q12a | f. Multiple races | d. Unknown household type</t>
  </si>
  <si>
    <t>Q12a | g. Don't know / refused | Total</t>
  </si>
  <si>
    <t>Q12a | g. Don't know / refused | a. Without children</t>
  </si>
  <si>
    <t>Q12a | g. Don't know / refused | b. With children and adults</t>
  </si>
  <si>
    <t>Q12a | g. Don't know / refused | c. With only children</t>
  </si>
  <si>
    <t>Q12a | g. Don't know / refused | d. Unknown household type</t>
  </si>
  <si>
    <t>Q12a | h. Information missing | Total</t>
  </si>
  <si>
    <t>Q12a | h. Information missing | a. Without children</t>
  </si>
  <si>
    <t>Q12a | h. Information missing | b. With children and adults</t>
  </si>
  <si>
    <t>Q12a | h. Information missing | c. With only children</t>
  </si>
  <si>
    <t>Q12a | h. Information missing | d. Unknown household type</t>
  </si>
  <si>
    <t>Q12a | i. Total | Total</t>
  </si>
  <si>
    <t>Q12a | i. Total | a. Without children</t>
  </si>
  <si>
    <t>Q12a | i. Total | b. With children and adults</t>
  </si>
  <si>
    <t>Q12a | i. Total | c. With only children</t>
  </si>
  <si>
    <t>Q12a | i. Total | d. Unknown household type</t>
  </si>
  <si>
    <t>Q12b | a. Non-Hispanic/non-Latino | Total</t>
  </si>
  <si>
    <t>Q12b | a. Non-Hispanic/non-Latino | a. Without children</t>
  </si>
  <si>
    <t>Q12b | a. Non-Hispanic/non-Latino | b. With children and adults</t>
  </si>
  <si>
    <t>Q12b | a. Non-Hispanic/non-Latino | c. With only children</t>
  </si>
  <si>
    <t>Q12b | a. Non-Hispanic/non-Latino | d. Unknown household type</t>
  </si>
  <si>
    <t>Q12b | b. Hispanic/Latino | Total</t>
  </si>
  <si>
    <t>Q12b | b. Hispanic/Latino | a. Without children</t>
  </si>
  <si>
    <t>Q12b | b. Hispanic/Latino | b. With children and adults</t>
  </si>
  <si>
    <t>Q12b | b. Hispanic/Latino | c. With only children</t>
  </si>
  <si>
    <t>Q12b | b. Hispanic/Latino | d. Unknown household type</t>
  </si>
  <si>
    <t>Q12b | c. Don't know / refused | Total</t>
  </si>
  <si>
    <t>Q12b | c. Don't know / refused | a. Without children</t>
  </si>
  <si>
    <t>Q12b | c. Don't know / refused | b. With children and adults</t>
  </si>
  <si>
    <t>Q12b | c. Don't know / refused | c. With only children</t>
  </si>
  <si>
    <t>Q12b | c. Don't know / refused | d. Unknown household type</t>
  </si>
  <si>
    <t>Q12b | d. Information missing | Total</t>
  </si>
  <si>
    <t>Q12b | d. Information missing | a. Without children</t>
  </si>
  <si>
    <t>Q12b | d. Information missing | b. With children and adults</t>
  </si>
  <si>
    <t>Q12b | d. Information missing | c. With only children</t>
  </si>
  <si>
    <t>Q12b | d. Information missing | d. Unknown household type</t>
  </si>
  <si>
    <t>Q12b | e. Total | Total</t>
  </si>
  <si>
    <t>Q12b | e. Total | a. Without children</t>
  </si>
  <si>
    <t>Q12b | e. Total | b. With children and adults</t>
  </si>
  <si>
    <t>Q12b | e. Total | c. With only children</t>
  </si>
  <si>
    <t>Q12b | e. Total | d. Unknown household type</t>
  </si>
  <si>
    <t>Q13a1 | a. Mental illness | Total persons</t>
  </si>
  <si>
    <t>Q13a1 | a. Mental illness | a. Without children</t>
  </si>
  <si>
    <t>Q13a1 | a. Mental illness | b. With children and adults</t>
  </si>
  <si>
    <t>Q13a1 | a. Mental illness | c. With only children</t>
  </si>
  <si>
    <t>Q13a1 | a. Mental illness | d. Unknown household type</t>
  </si>
  <si>
    <t>Q13a1 | b. Alcohol abuse | Total persons</t>
  </si>
  <si>
    <t>Q13a1 | b. Alcohol abuse | a. Without children</t>
  </si>
  <si>
    <t>Q13a1 | b. Alcohol abuse | b. With children and adults</t>
  </si>
  <si>
    <t>Q13a1 | b. Alcohol abuse | c. With only children</t>
  </si>
  <si>
    <t>Q13a1 | b. Alcohol abuse | d. Unknown household type</t>
  </si>
  <si>
    <t>Q13a1 | c. Drug abuse | Total persons</t>
  </si>
  <si>
    <t>Q13a1 | c. Drug abuse | a. Without children</t>
  </si>
  <si>
    <t>Q13a1 | c. Drug abuse | b. With children and adults</t>
  </si>
  <si>
    <t>Q13a1 | c. Drug abuse | c. With only children</t>
  </si>
  <si>
    <t>Q13a1 | c. Drug abuse | d. Unknown household type</t>
  </si>
  <si>
    <t>Q13a1 | d. Both alcohol and drug abuse | Total persons</t>
  </si>
  <si>
    <t>Q13a1 | d. Both alcohol and drug abuse | a. Without children</t>
  </si>
  <si>
    <t>Q13a1 | d. Both alcohol and drug abuse | b. With children and adults</t>
  </si>
  <si>
    <t>Q13a1 | d. Both alcohol and drug abuse | c. With only children</t>
  </si>
  <si>
    <t>Q13a1 | d. Both alcohol and drug abuse | d. Unknown household type</t>
  </si>
  <si>
    <t>Q13a1 | e. Chronic health condition | Total persons</t>
  </si>
  <si>
    <t>Q13a1 | e. Chronic health condition | a. Without children</t>
  </si>
  <si>
    <t>Q13a1 | e. Chronic health condition | b. With children and adults</t>
  </si>
  <si>
    <t>Q13a1 | e. Chronic health condition | c. With only children</t>
  </si>
  <si>
    <t>Q13a1 | e. Chronic health condition | d. Unknown household type</t>
  </si>
  <si>
    <t>Q13a1 | f. HIV/AIDS and related diseases | Total persons</t>
  </si>
  <si>
    <t>Q13a1 | f. HIV/AIDS and related diseases | a. Without children</t>
  </si>
  <si>
    <t>Q13a1 | f. HIV/AIDS and related diseases | b. With children and adults</t>
  </si>
  <si>
    <t>Q13a1 | f. HIV/AIDS and related diseases | c. With only children</t>
  </si>
  <si>
    <t>Q13a1 | f. HIV/AIDS and related diseases | d. Unknown household type</t>
  </si>
  <si>
    <t>Q13a1 | g. Developmental disability | Total persons</t>
  </si>
  <si>
    <t>Q13a1 | g. Developmental disability | a. Without children</t>
  </si>
  <si>
    <t>Q13a1 | g. Developmental disability | b. With children and adults</t>
  </si>
  <si>
    <t>Q13a1 | g. Developmental disability | c. With only children</t>
  </si>
  <si>
    <t>Q13a1 | g. Developmental disability | d. Unknown household type</t>
  </si>
  <si>
    <t>Q13a1 | h. Physical disability | Total persons</t>
  </si>
  <si>
    <t>Q13a1 | h. Physical disability | a. Without children</t>
  </si>
  <si>
    <t>Q13a1 | h. Physical disability | b. With children and adults</t>
  </si>
  <si>
    <t>Q13a1 | h. Physical disability | c. With only children</t>
  </si>
  <si>
    <t>Q13a1 | h. Physical disability | d. Unknown household type</t>
  </si>
  <si>
    <t>Q13b1 | a. Mental illness | Total persons</t>
  </si>
  <si>
    <t>Q13b1 | a. Mental illness | a. Without children</t>
  </si>
  <si>
    <t>Q13b1 | a. Mental illness | b. With children and adults</t>
  </si>
  <si>
    <t>Q13b1 | a. Mental illness | c. With only children</t>
  </si>
  <si>
    <t>Q13b1 | a. Mental illness | d. Unknown household type</t>
  </si>
  <si>
    <t>Q13b1 | b. Alcohol abuse | Total persons</t>
  </si>
  <si>
    <t>Q13b1 | b. Alcohol abuse | a. Without children</t>
  </si>
  <si>
    <t>Q13b1 | b. Alcohol abuse | b. With children and adults</t>
  </si>
  <si>
    <t>Q13b1 | b. Alcohol abuse | c. With only children</t>
  </si>
  <si>
    <t>Q13b1 | b. Alcohol abuse | d. Unknown household type</t>
  </si>
  <si>
    <t>Q13b1 | c. Drug abuse | Total persons</t>
  </si>
  <si>
    <t>Q13b1 | c. Drug abuse | a. Without children</t>
  </si>
  <si>
    <t>Q13b1 | c. Drug abuse | b. With children and adults</t>
  </si>
  <si>
    <t>Q13b1 | c. Drug abuse | c. With only children</t>
  </si>
  <si>
    <t>Q13b1 | c. Drug abuse | d. Unknown household type</t>
  </si>
  <si>
    <t>Q13b1 | d. Both alcohol and drug abuse | Total persons</t>
  </si>
  <si>
    <t>Q13b1 | d. Both alcohol and drug abuse | a. Without children</t>
  </si>
  <si>
    <t>Q13b1 | d. Both alcohol and drug abuse | b. With children and adults</t>
  </si>
  <si>
    <t>Q13b1 | d. Both alcohol and drug abuse | c. With only children</t>
  </si>
  <si>
    <t>Q13b1 | d. Both alcohol and drug abuse | d. Unknown household type</t>
  </si>
  <si>
    <t>Q13b1 | e. Chronic health condition | Total persons</t>
  </si>
  <si>
    <t>Q13b1 | e. Chronic health condition | a. Without children</t>
  </si>
  <si>
    <t>Q13b1 | e. Chronic health condition | b. With children and adults</t>
  </si>
  <si>
    <t>Q13b1 | e. Chronic health condition | c. With only children</t>
  </si>
  <si>
    <t>Q13b1 | e. Chronic health condition | d. Unknown household type</t>
  </si>
  <si>
    <t>Q13b1 | f. HIV/AIDS and related diseases | Total persons</t>
  </si>
  <si>
    <t>Q13b1 | f. HIV/AIDS and related diseases | a. Without children</t>
  </si>
  <si>
    <t>Q13b1 | f. HIV/AIDS and related diseases | b. With children and adults</t>
  </si>
  <si>
    <t>Q13b1 | f. HIV/AIDS and related diseases | c. With only children</t>
  </si>
  <si>
    <t>Q13b1 | f. HIV/AIDS and related diseases | d. Unknown household type</t>
  </si>
  <si>
    <t>Q13b1 | g. Developmental disability | Total persons</t>
  </si>
  <si>
    <t>Q13b1 | g. Developmental disability | a. Without children</t>
  </si>
  <si>
    <t>Q13b1 | g. Developmental disability | b. With children and adults</t>
  </si>
  <si>
    <t>Q13b1 | g. Developmental disability | c. With only children</t>
  </si>
  <si>
    <t>Q13b1 | g. Developmental disability | d. Unknown household type</t>
  </si>
  <si>
    <t>Q13b1 | h. Physical disability | Total persons</t>
  </si>
  <si>
    <t>Q13b1 | h. Physical disability | a. Without children</t>
  </si>
  <si>
    <t>Q13b1 | h. Physical disability | b. With children and adults</t>
  </si>
  <si>
    <t>Q13b1 | h. Physical disability | c. With only children</t>
  </si>
  <si>
    <t>Q13b1 | h. Physical disability | d. Unknown household type</t>
  </si>
  <si>
    <t>Q13c1 | a. Mental illness | Total persons</t>
  </si>
  <si>
    <t>Q13c1 | a. Mental illness | a. Without children</t>
  </si>
  <si>
    <t>Q13c1 | a. Mental illness | b. With children and adults</t>
  </si>
  <si>
    <t>Q13c1 | a. Mental illness | c. With only children</t>
  </si>
  <si>
    <t>Q13c1 | a. Mental illness | d. Unknown household type</t>
  </si>
  <si>
    <t>Q13c1 | b. Alcohol abuse | Total persons</t>
  </si>
  <si>
    <t>Q13c1 | b. Alcohol abuse | a. Without children</t>
  </si>
  <si>
    <t>Q13c1 | b. Alcohol abuse | b. With children and adults</t>
  </si>
  <si>
    <t>Q13c1 | b. Alcohol abuse | c. With only children</t>
  </si>
  <si>
    <t>Q13c1 | b. Alcohol abuse | d. Unknown household type</t>
  </si>
  <si>
    <t>Q13c1 | c. Drug abuse | Total persons</t>
  </si>
  <si>
    <t>Q13c1 | c. Drug abuse | a. Without children</t>
  </si>
  <si>
    <t>Q13c1 | c. Drug abuse | b. With children and adults</t>
  </si>
  <si>
    <t>Q13c1 | c. Drug abuse | c. With only children</t>
  </si>
  <si>
    <t>Q13c1 | c. Drug abuse | d. Unknown household type</t>
  </si>
  <si>
    <t>Q13c1 | d. Both alcohol and drug abuse | Total persons</t>
  </si>
  <si>
    <t>Q13c1 | d. Both alcohol and drug abuse | a. Without children</t>
  </si>
  <si>
    <t>Q13c1 | d. Both alcohol and drug abuse | b. With children and adults</t>
  </si>
  <si>
    <t>Q13c1 | d. Both alcohol and drug abuse | c. With only children</t>
  </si>
  <si>
    <t>Q13c1 | d. Both alcohol and drug abuse | d. Unknown household type</t>
  </si>
  <si>
    <t>Q13c1 | e. Chronic health condition | Total persons</t>
  </si>
  <si>
    <t>Q13c1 | e. Chronic health condition | a. Without children</t>
  </si>
  <si>
    <t>Q13c1 | e. Chronic health condition | b. With children and adults</t>
  </si>
  <si>
    <t>Q13c1 | e. Chronic health condition | c. With only children</t>
  </si>
  <si>
    <t>Q13c1 | e. Chronic health condition | d. Unknown household type</t>
  </si>
  <si>
    <t>Q13c1 | f. HIV/AIDS and related diseases | Total persons</t>
  </si>
  <si>
    <t>Q13c1 | f. HIV/AIDS and related diseases | a. Without children</t>
  </si>
  <si>
    <t>Q13c1 | f. HIV/AIDS and related diseases | b. With children and adults</t>
  </si>
  <si>
    <t>Q13c1 | f. HIV/AIDS and related diseases | c. With only children</t>
  </si>
  <si>
    <t>Q13c1 | f. HIV/AIDS and related diseases | d. Unknown household type</t>
  </si>
  <si>
    <t>Q13c1 | g. Developmental disability | Total persons</t>
  </si>
  <si>
    <t>Q13c1 | g. Developmental disability | a. Without children</t>
  </si>
  <si>
    <t>Q13c1 | g. Developmental disability | b. With children and adults</t>
  </si>
  <si>
    <t>Q13c1 | g. Developmental disability | c. With only children</t>
  </si>
  <si>
    <t>Q13c1 | g. Developmental disability | d. Unknown household type</t>
  </si>
  <si>
    <t>Q13c1 | h. Physical disability | Total persons</t>
  </si>
  <si>
    <t>Q13c1 | h. Physical disability | a. Without children</t>
  </si>
  <si>
    <t>Q13c1 | h. Physical disability | b. With children and adults</t>
  </si>
  <si>
    <t>Q13c1 | h. Physical disability | c. With only children</t>
  </si>
  <si>
    <t>Q13c1 | h. Physical disability | d. Unknown household type</t>
  </si>
  <si>
    <t>Q14a | a. Yes | Total</t>
  </si>
  <si>
    <t>Q14a | a. Yes | a. Without children</t>
  </si>
  <si>
    <t>Q14a | a. Yes | b. With children and adults</t>
  </si>
  <si>
    <t>Q14a | a. Yes | c. With only children</t>
  </si>
  <si>
    <t>Q14a | a. Yes | d. Unknown household type</t>
  </si>
  <si>
    <t>Q14a | b. No | Total</t>
  </si>
  <si>
    <t>Q14a | b. No | a. Without children</t>
  </si>
  <si>
    <t>Q14a | b. No | b. With children and adults</t>
  </si>
  <si>
    <t>Q14a | b. No | c. With only children</t>
  </si>
  <si>
    <t>Q14a | b. No | d. Unknown household type</t>
  </si>
  <si>
    <t>Q14a | c. Don't know / refused | Total</t>
  </si>
  <si>
    <t>Q14a | c. Don't know / refused | a. Without children</t>
  </si>
  <si>
    <t>Q14a | c. Don't know / refused | b. With children and adults</t>
  </si>
  <si>
    <t>Q14a | c. Don't know / refused | c. With only children</t>
  </si>
  <si>
    <t>Q14a | c. Don't know / refused | d. Unknown household type</t>
  </si>
  <si>
    <t>Q14a | d. Information missing | Total</t>
  </si>
  <si>
    <t>Q14a | d. Information missing | a. Without children</t>
  </si>
  <si>
    <t>Q14a | d. Information missing | b. With children and adults</t>
  </si>
  <si>
    <t>Q14a | d. Information missing | c. With only children</t>
  </si>
  <si>
    <t>Q14a | d. Information missing | d. Unknown household type</t>
  </si>
  <si>
    <t>Q14a | e. Total | Total</t>
  </si>
  <si>
    <t>Q14a | e. Total | a. Without children</t>
  </si>
  <si>
    <t>Q14a | e. Total | b. With children and adults</t>
  </si>
  <si>
    <t>Q14a | e. Total | c. With only children</t>
  </si>
  <si>
    <t>Q14a | e. Total | d. Unknown household type</t>
  </si>
  <si>
    <t>Q14b | a. Yes | Total</t>
  </si>
  <si>
    <t>Q14b | a. Yes | a. Without children</t>
  </si>
  <si>
    <t>Q14b | a. Yes | b. With children and adults</t>
  </si>
  <si>
    <t>Q14b | a. Yes | c. With only children</t>
  </si>
  <si>
    <t>Q14b | a. Yes | d. Unknown household type</t>
  </si>
  <si>
    <t>Q14b | b. No | Total</t>
  </si>
  <si>
    <t>Q14b | b. No | a. Without children</t>
  </si>
  <si>
    <t>Q14b | b. No | b. With children and adults</t>
  </si>
  <si>
    <t>Q14b | b. No | c. With only children</t>
  </si>
  <si>
    <t>Q14b | b. No | d. Unknown household type</t>
  </si>
  <si>
    <t>Q14b | c. Don't know / refused | Total</t>
  </si>
  <si>
    <t>Q14b | c. Don't know / refused | a. Without children</t>
  </si>
  <si>
    <t>Q14b | c. Don't know / refused | b. With children and adults</t>
  </si>
  <si>
    <t>Q14b | c. Don't know / refused | c. With only children</t>
  </si>
  <si>
    <t>Q14b | c. Don't know / refused | d. Unknown household type</t>
  </si>
  <si>
    <t>Q14b | d. Information missing | Total</t>
  </si>
  <si>
    <t>Q14b | d. Information missing | a. Without children</t>
  </si>
  <si>
    <t>Q14b | d. Information missing | b. With children and adults</t>
  </si>
  <si>
    <t>Q14b | d. Information missing | c. With only children</t>
  </si>
  <si>
    <t>Q14b | d. Information missing | d. Unknown household type</t>
  </si>
  <si>
    <t>Q14b | e. Total | Total</t>
  </si>
  <si>
    <t>Q14b | e. Total | a. Without children</t>
  </si>
  <si>
    <t>Q14b | e. Total | b. With children and adults</t>
  </si>
  <si>
    <t>Q14b | e. Total | c. With only children</t>
  </si>
  <si>
    <t>Q14b | e. Total | d. Unknown household type</t>
  </si>
  <si>
    <t>Q15 | a. Homeless situations | Total</t>
  </si>
  <si>
    <t>Q15 | a. Homeless situations | a. Without children</t>
  </si>
  <si>
    <t>Q15 | a. Homeless situations | b. With children and adults</t>
  </si>
  <si>
    <t>Q15 | a. Homeless situations | c. With only children</t>
  </si>
  <si>
    <t>Q15 | a. Homeless situations | d. Unknown household type</t>
  </si>
  <si>
    <t>Q15 | a1. Emergency shelter | Total</t>
  </si>
  <si>
    <t>Q15 | a1. Emergency shelter | a. Without children</t>
  </si>
  <si>
    <t>Q15 | a1. Emergency shelter | b. With children and adults</t>
  </si>
  <si>
    <t>Q15 | a1. Emergency shelter | c. With only children</t>
  </si>
  <si>
    <t>Q15 | a1. Emergency shelter | d. Unknown household type</t>
  </si>
  <si>
    <t>Q15 | a2. Transitional housing for homeless persons | Total</t>
  </si>
  <si>
    <t>Q15 | a2. Transitional housing for homeless persons | a. Without children</t>
  </si>
  <si>
    <t>Q15 | a2. Transitional housing for homeless persons | b. With children and adults</t>
  </si>
  <si>
    <t>Q15 | a2. Transitional housing for homeless persons | c. With only children</t>
  </si>
  <si>
    <t>Q15 | a2. Transitional housing for homeless persons | d. Unknown household type</t>
  </si>
  <si>
    <t>Q15 | a3. Place not meant for human habitation | Total</t>
  </si>
  <si>
    <t>Q15 | a3. Place not meant for human habitation | a. Without children</t>
  </si>
  <si>
    <t>Q15 | a3. Place not meant for human habitation | b. With children and adults</t>
  </si>
  <si>
    <t>Q15 | a3. Place not meant for human habitation | c. With only children</t>
  </si>
  <si>
    <t>Q15 | a3. Place not meant for human habitation | d. Unknown household type</t>
  </si>
  <si>
    <t>Q15 | a4. Safe haven | Total</t>
  </si>
  <si>
    <t>Q15 | a4. Safe haven | a. Without children</t>
  </si>
  <si>
    <t>Q15 | a4. Safe haven | b. With children and adults</t>
  </si>
  <si>
    <t>Q15 | a4. Safe haven | c. With only children</t>
  </si>
  <si>
    <t>Q15 | a4. Safe haven | d. Unknown household type</t>
  </si>
  <si>
    <t>Q15 | az. Total | Total</t>
  </si>
  <si>
    <t>Q15 | az. Total | a. Without children</t>
  </si>
  <si>
    <t>Q15 | az. Total | b. With children and adults</t>
  </si>
  <si>
    <t>Q15 | az. Total | c. With only children</t>
  </si>
  <si>
    <t>Q15 | az. Total | d. Unknown household type</t>
  </si>
  <si>
    <t>Q15 | b. Institutional settings | Total</t>
  </si>
  <si>
    <t>Q15 | b. Institutional settings | a. Without children</t>
  </si>
  <si>
    <t>Q15 | b. Institutional settings | b. With children and adults</t>
  </si>
  <si>
    <t>Q15 | b. Institutional settings | c. With only children</t>
  </si>
  <si>
    <t>Q15 | b. Institutional settings | d. Unknown household type</t>
  </si>
  <si>
    <t>Q15 | b1. Psychiatric facility | Total</t>
  </si>
  <si>
    <t>Q15 | b1. Psychiatric facility | a. Without children</t>
  </si>
  <si>
    <t>Q15 | b1. Psychiatric facility | b. With children and adults</t>
  </si>
  <si>
    <t>Q15 | b1. Psychiatric facility | c. With only children</t>
  </si>
  <si>
    <t>Q15 | b1. Psychiatric facility | d. Unknown household type</t>
  </si>
  <si>
    <t>Q15 | b2. Substance abuse or detox center | Total</t>
  </si>
  <si>
    <t>Q15 | b2. Substance abuse or detox center | a. Without children</t>
  </si>
  <si>
    <t>Q15 | b2. Substance abuse or detox center | b. With children and adults</t>
  </si>
  <si>
    <t>Q15 | b2. Substance abuse or detox center | c. With only children</t>
  </si>
  <si>
    <t>Q15 | b2. Substance abuse or detox center | d. Unknown household type</t>
  </si>
  <si>
    <t>Q15 | b3. Hospital (non-psychiatric) | Total</t>
  </si>
  <si>
    <t>Q15 | b3. Hospital (non-psychiatric) | a. Without children</t>
  </si>
  <si>
    <t>Q15 | b3. Hospital (non-psychiatric) | b. With children and adults</t>
  </si>
  <si>
    <t>Q15 | b3. Hospital (non-psychiatric) | c. With only children</t>
  </si>
  <si>
    <t>Q15 | b3. Hospital (non-psychiatric) | d. Unknown household type</t>
  </si>
  <si>
    <t>Q15 | b4. Jail, prison or juvenile detention | Total</t>
  </si>
  <si>
    <t>Q15 | b4. Jail, prison or juvenile detention | a. Without children</t>
  </si>
  <si>
    <t>Q15 | b4. Jail, prison or juvenile detention | b. With children and adults</t>
  </si>
  <si>
    <t>Q15 | b4. Jail, prison or juvenile detention | c. With only children</t>
  </si>
  <si>
    <t>Q15 | b4. Jail, prison or juvenile detention | d. Unknown household type</t>
  </si>
  <si>
    <t>Q15 | b5. Foster care home or foster care group home | Total</t>
  </si>
  <si>
    <t>Q15 | b5. Foster care home or foster care group home | a. Without children</t>
  </si>
  <si>
    <t>Q15 | b5. Foster care home or foster care group home | b. With children and adults</t>
  </si>
  <si>
    <t>Q15 | b5. Foster care home or foster care group home | c. With only children</t>
  </si>
  <si>
    <t>Q15 | b5. Foster care home or foster care group home | d. Unknown household type</t>
  </si>
  <si>
    <t>Q15 | b6. Long-term care facility or nursing home | Total</t>
  </si>
  <si>
    <t>Q15 | b6. Long-term care facility or nursing home | a. Without children</t>
  </si>
  <si>
    <t>Q15 | b6. Long-term care facility or nursing home | b. With children and adults</t>
  </si>
  <si>
    <t>Q15 | b6. Long-term care facility or nursing home | c. With only children</t>
  </si>
  <si>
    <t>Q15 | b6. Long-term care facility or nursing home | d. Unknown household type</t>
  </si>
  <si>
    <t>Q15 | b7. Residential project or halfway house with no homeless criteria | Total</t>
  </si>
  <si>
    <t>Q15 | b7. Residential project or halfway house with no homeless criteria | a. Without children</t>
  </si>
  <si>
    <t>Q15 | b7. Residential project or halfway house with no homeless criteria | b. With children and adults</t>
  </si>
  <si>
    <t>Q15 | b7. Residential project or halfway house with no homeless criteria | c. With only children</t>
  </si>
  <si>
    <t>Q15 | b7. Residential project or halfway house with no homeless criteria | d. Unknown household type</t>
  </si>
  <si>
    <t>Q15 | bz. Total | Total</t>
  </si>
  <si>
    <t>Q15 | bz. Total | a. Without children</t>
  </si>
  <si>
    <t>Q15 | bz. Total | b. With children and adults</t>
  </si>
  <si>
    <t>Q15 | bz. Total | c. With only children</t>
  </si>
  <si>
    <t>Q15 | bz. Total | d. Unknown household type</t>
  </si>
  <si>
    <t>Q15 | c. Other locations | Total</t>
  </si>
  <si>
    <t>Q15 | c. Other locations | a. Without children</t>
  </si>
  <si>
    <t>Q15 | c. Other locations | b. With children and adults</t>
  </si>
  <si>
    <t>Q15 | c. Other locations | c. With only children</t>
  </si>
  <si>
    <t>Q15 | c. Other locations | d. Unknown household type</t>
  </si>
  <si>
    <t>Q15 | c02. Owned by client, no subsidy | Total</t>
  </si>
  <si>
    <t>Q15 | c02. Owned by client, no subsidy | a. Without children</t>
  </si>
  <si>
    <t>Q15 | c02. Owned by client, no subsidy | b. With children and adults</t>
  </si>
  <si>
    <t>Q15 | c02. Owned by client, no subsidy | c. With only children</t>
  </si>
  <si>
    <t>Q15 | c02. Owned by client, no subsidy | d. Unknown household type</t>
  </si>
  <si>
    <t>Q15 | c03. Owned by client, with subsidy | Total</t>
  </si>
  <si>
    <t>Q15 | c03. Owned by client, with subsidy | a. Without children</t>
  </si>
  <si>
    <t>Q15 | c03. Owned by client, with subsidy | b. With children and adults</t>
  </si>
  <si>
    <t>Q15 | c03. Owned by client, with subsidy | c. With only children</t>
  </si>
  <si>
    <t>Q15 | c03. Owned by client, with subsidy | d. Unknown household type</t>
  </si>
  <si>
    <t>Q15 | c04. Rental by client, no subsidy | Total</t>
  </si>
  <si>
    <t>Q15 | c04. Rental by client, no subsidy | a. Without children</t>
  </si>
  <si>
    <t>Q15 | c04. Rental by client, no subsidy | b. With children and adults</t>
  </si>
  <si>
    <t>Q15 | c04. Rental by client, no subsidy | c. With only children</t>
  </si>
  <si>
    <t>Q15 | c04. Rental by client, no subsidy | d. Unknown household type</t>
  </si>
  <si>
    <t>Q15 | c05. Rental by client, with VASH subsidy | Total</t>
  </si>
  <si>
    <t>Q15 | c05. Rental by client, with VASH subsidy | a. Without children</t>
  </si>
  <si>
    <t>Q15 | c05. Rental by client, with VASH subsidy | b. With children and adults</t>
  </si>
  <si>
    <t>Q15 | c05. Rental by client, with VASH subsidy | c. With only children</t>
  </si>
  <si>
    <t>Q15 | c05. Rental by client, with VASH subsidy | d. Unknown household type</t>
  </si>
  <si>
    <t>Q15 | c07. Rental by client, with other subsidy | Total</t>
  </si>
  <si>
    <t>Q15 | c07. Rental by client, with other subsidy | a. Without children</t>
  </si>
  <si>
    <t>Q15 | c07. Rental by client, with other subsidy | b. With children and adults</t>
  </si>
  <si>
    <t>Q15 | c07. Rental by client, with other subsidy | c. With only children</t>
  </si>
  <si>
    <t>Q15 | c07. Rental by client, with other subsidy | d. Unknown household type</t>
  </si>
  <si>
    <t>Q15 | c08. Hotel or motel paid by client | Total</t>
  </si>
  <si>
    <t>Q15 | c08. Hotel or motel paid by client | a. Without children</t>
  </si>
  <si>
    <t>Q15 | c08. Hotel or motel paid by client | b. With children and adults</t>
  </si>
  <si>
    <t>Q15 | c08. Hotel or motel paid by client | c. With only children</t>
  </si>
  <si>
    <t>Q15 | c08. Hotel or motel paid by client | d. Unknown household type</t>
  </si>
  <si>
    <t>Q15 | cz. Total | Total</t>
  </si>
  <si>
    <t>Q15 | cz. Total | a. Without children</t>
  </si>
  <si>
    <t>Q15 | cz. Total | b. With children and adults</t>
  </si>
  <si>
    <t>Q15 | cz. Total | c. With only children</t>
  </si>
  <si>
    <t>Q15 | cz. Total | d. Unknown household type</t>
  </si>
  <si>
    <t>Q15 | d. Total | Total</t>
  </si>
  <si>
    <t>Q15 | d. Total | a. Without children</t>
  </si>
  <si>
    <t>Q15 | d. Total | b. With children and adults</t>
  </si>
  <si>
    <t>Q15 | d. Total | c. With only children</t>
  </si>
  <si>
    <t>Q15 | d. Total | d. Unknown household type</t>
  </si>
  <si>
    <t>Q20a | a. Supplemental Nutritional Assistance Program | At entry</t>
  </si>
  <si>
    <t>Q20a | a. Supplemental Nutritional Assistance Program | At Latest Annual Assessment for Stayers</t>
  </si>
  <si>
    <t>Q20a | a. Supplemental Nutritional Assistance Program | At Exit for Leavers</t>
  </si>
  <si>
    <t>Q20a | b. WIC | At entry</t>
  </si>
  <si>
    <t>Q20a | b. WIC | At Latest Annual Assessment for Stayers</t>
  </si>
  <si>
    <t>Q20a | b. WIC | At Exit for Leavers</t>
  </si>
  <si>
    <t>Q20a | c. TANF Child Care services | At entry</t>
  </si>
  <si>
    <t>Q20a | c. TANF Child Care services | At Latest Annual Assessment for Stayers</t>
  </si>
  <si>
    <t>Q20a | c. TANF Child Care services | At Exit for Leavers</t>
  </si>
  <si>
    <t>Q20a | d. TANF transportation services | At entry</t>
  </si>
  <si>
    <t>Q20a | d. TANF transportation services | At Latest Annual Assessment for Stayers</t>
  </si>
  <si>
    <t>Q20a | d. TANF transportation services | At Exit for Leavers</t>
  </si>
  <si>
    <t>Q20a | e. Other TANF-funded services | At entry</t>
  </si>
  <si>
    <t>Q20a | e. Other TANF-funded services | At Latest Annual Assessment for Stayers</t>
  </si>
  <si>
    <t>Q20a | e. Other TANF-funded services | At Exit for Leavers</t>
  </si>
  <si>
    <t>Q20a | f. Other source | At entry</t>
  </si>
  <si>
    <t>Q20a | f. Other source | At Latest Annual Assessment for Stayers</t>
  </si>
  <si>
    <t>Q20a | f. Other source | At Exit for Leavers</t>
  </si>
  <si>
    <t>Q21 | a. MEDICAID health insurance | At entry</t>
  </si>
  <si>
    <t>Q21 | a. MEDICAID health insurance | At Latest Annual Assessment for Stayers</t>
  </si>
  <si>
    <t>Q21 | a. MEDICAID health insurance | At Exit for Leavers</t>
  </si>
  <si>
    <t>Q21 | b. MEDICARE health insurance | At entry</t>
  </si>
  <si>
    <t>Q21 | b. MEDICARE health insurance | At Latest Annual Assessment for Stayers</t>
  </si>
  <si>
    <t>Q21 | b. MEDICARE health insurance | At Exit for Leavers</t>
  </si>
  <si>
    <t>Q21 | c. State Children's Health Insurance | At entry</t>
  </si>
  <si>
    <t>Q21 | c. State Children's Health Insurance | At Latest Annual Assessment for Stayers</t>
  </si>
  <si>
    <t>Q21 | c. State Children's Health Insurance | At Exit for Leavers</t>
  </si>
  <si>
    <t>Q21 | d. VA Medical Services | At entry</t>
  </si>
  <si>
    <t>Q21 | d. VA Medical Services | At Latest Annual Assessment for Stayers</t>
  </si>
  <si>
    <t>Q21 | d. VA Medical Services | At Exit for Leavers</t>
  </si>
  <si>
    <t>Q21 | e. Employer-provided health insurance | At entry</t>
  </si>
  <si>
    <t>Q21 | e. Employer-provided health insurance | At Latest Annual Assessment for Stayers</t>
  </si>
  <si>
    <t>Q21 | e. Employer-provided health insurance | At Exit for Leavers</t>
  </si>
  <si>
    <t>Q21 | f. Health insurance through COBRA | At entry</t>
  </si>
  <si>
    <t>Q21 | f. Health insurance through COBRA | At Latest Annual Assessment for Stayers</t>
  </si>
  <si>
    <t>Q21 | f. Health insurance through COBRA | At Exit for Leavers</t>
  </si>
  <si>
    <t>Q21 | g. Private pay health insurance | At entry</t>
  </si>
  <si>
    <t>Q21 | g. Private pay health insurance | At Latest Annual Assessment for Stayers</t>
  </si>
  <si>
    <t>Q21 | g. Private pay health insurance | At Exit for Leavers</t>
  </si>
  <si>
    <t>Q21 | h. State Health Insurance for Adults | At entry</t>
  </si>
  <si>
    <t>Q21 | h. State Health Insurance for Adults | At Latest Annual Assessment for Stayers</t>
  </si>
  <si>
    <t>Q21 | h. State Health Insurance for Adults | At Exit for Leavers</t>
  </si>
  <si>
    <t>Q21 | i. No health insurance | At entry</t>
  </si>
  <si>
    <t>Q21 | i. No health insurance | At Latest Annual Assessment for Stayers</t>
  </si>
  <si>
    <t>Q21 | i. No health insurance | At Exit for Leavers</t>
  </si>
  <si>
    <t>Q21 | j. Client doesn't know/Client refused | At entry</t>
  </si>
  <si>
    <t>Q21 | j. Client doesn't know/Client refused | At Latest Annual Assessment for Stayers</t>
  </si>
  <si>
    <t>Q21 | j. Client doesn't know/Client refused | At Exit for Leavers</t>
  </si>
  <si>
    <t>Q21 | k. Data not collected | At entry</t>
  </si>
  <si>
    <t>Q21 | k. Data not collected | At Latest Annual Assessment for Stayers</t>
  </si>
  <si>
    <t>Q21 | k. Data not collected | At Exit for Leavers</t>
  </si>
  <si>
    <t>Q21 | l. Number of adult stayers not yet required to have an annual assessment | At entry</t>
  </si>
  <si>
    <t>Q21 | l. Number of adult stayers not yet required to have an annual assessment | At Latest Annual Assessment for Stayers</t>
  </si>
  <si>
    <t>Q21 | l. Number of adult stayers not yet required to have an annual assessment | At Exit for Leavers</t>
  </si>
  <si>
    <t>Q21 | m. 1 source of health insurance | At entry</t>
  </si>
  <si>
    <t>Q21 | m. 1 source of health insurance | At Latest Annual Assessment for Stayers</t>
  </si>
  <si>
    <t>Q21 | m. 1 source of health insurance | At Exit for Leavers</t>
  </si>
  <si>
    <t>Q21 | n. More than 1 source of health insurance | At entry</t>
  </si>
  <si>
    <t>Q21 | n. More than 1 source of health insurance | At Latest Annual Assessment for Stayers</t>
  </si>
  <si>
    <t>Q21 | n. More than 1 source of health insurance | At Exit for Leavers</t>
  </si>
  <si>
    <t>Q22a2 | a. 0 to 7 days | Total</t>
  </si>
  <si>
    <t>Q22a2 | a. 0 to 7 days | Leavers</t>
  </si>
  <si>
    <t>Q22a2 | a. 0 to 7 days | Stayers</t>
  </si>
  <si>
    <t>Q22a2 | b. 8 to 14 days | Total</t>
  </si>
  <si>
    <t>Q22a2 | b. 8 to 14 days | Leavers</t>
  </si>
  <si>
    <t>Q22a2 | b. 8 to 14 days | Stayers</t>
  </si>
  <si>
    <t>Q22a2 | c. 15 to 21 days | Total</t>
  </si>
  <si>
    <t>Q22a2 | c. 15 to 21 days | Leavers</t>
  </si>
  <si>
    <t>Q22a2 | c. 15 to 21 days | Stayers</t>
  </si>
  <si>
    <t>Q22a2 | d. 22 to 30 days | Total</t>
  </si>
  <si>
    <t>Q22a2 | d. 22 to 30 days | Leavers</t>
  </si>
  <si>
    <t>Q22a2 | d. 22 to 30 days | Stayers</t>
  </si>
  <si>
    <t>Q22a2 | e. 31 to 60 days | Total</t>
  </si>
  <si>
    <t>Q22a2 | e. 31 to 60 days | Leavers</t>
  </si>
  <si>
    <t>Q22a2 | e. 31 to 60 days | Stayers</t>
  </si>
  <si>
    <t>Q22a2 | f. 61 to 90 days | Total</t>
  </si>
  <si>
    <t>Q22a2 | f. 61 to 90 days | Leavers</t>
  </si>
  <si>
    <t>Q22a2 | f. 61 to 90 days | Stayers</t>
  </si>
  <si>
    <t>Q22a2 | g. 91 to 180 days | Total</t>
  </si>
  <si>
    <t>Q22a2 | g. 91 to 180 days | Leavers</t>
  </si>
  <si>
    <t>Q22a2 | g. 91 to 180 days | Stayers</t>
  </si>
  <si>
    <t>Q22a2 | h. 181 to 365 days | Total</t>
  </si>
  <si>
    <t>Q22a2 | h. 181 to 365 days | Leavers</t>
  </si>
  <si>
    <t>Q22a2 | h. 181 to 365 days | Stayers</t>
  </si>
  <si>
    <t>Q22a2 | m. More than 1825 days (&gt;5 yrs.) | Total</t>
  </si>
  <si>
    <t>Q22a2 | m. More than 1825 days (&gt;5 yrs.) | Leavers</t>
  </si>
  <si>
    <t>Q22a2 | m. More than 1825 days (&gt;5 yrs.) | Stayers</t>
  </si>
  <si>
    <t>Q22a2 | n. Information missing | Total</t>
  </si>
  <si>
    <t>Q22a2 | n. Information missing | Leavers</t>
  </si>
  <si>
    <t>Q22a2 | n. Information missing | Stayers</t>
  </si>
  <si>
    <t>Q22a2 | o. Total | Total</t>
  </si>
  <si>
    <t>Q22a2 | o. Total | Leavers</t>
  </si>
  <si>
    <t>Q22a2 | o. Total | Stayers</t>
  </si>
  <si>
    <t>Q22c | a. 0-7 days | Total</t>
  </si>
  <si>
    <t>Q22c | a. 0-7 days | a. Without children</t>
  </si>
  <si>
    <t>Q22c | a. 0-7 days | b. With children and adults</t>
  </si>
  <si>
    <t>Q22c | a. 0-7 days | c. With only children</t>
  </si>
  <si>
    <t>Q22c | a. 0-7 days | d. Unknown household type</t>
  </si>
  <si>
    <t>Q22c | b. 8-14 days | Total</t>
  </si>
  <si>
    <t>Q22c | b. 8-14 days | a. Without children</t>
  </si>
  <si>
    <t>Q22c | b. 8-14 days | b. With children and adults</t>
  </si>
  <si>
    <t>Q22c | b. 8-14 days | c. With only children</t>
  </si>
  <si>
    <t>Q22c | b. 8-14 days | d. Unknown household type</t>
  </si>
  <si>
    <t>Q22c | c. 15-21 days | Total</t>
  </si>
  <si>
    <t>Q22c | c. 15-21 days | a. Without children</t>
  </si>
  <si>
    <t>Q22c | c. 15-21 days | b. With children and adults</t>
  </si>
  <si>
    <t>Q22c | c. 15-21 days | c. With only children</t>
  </si>
  <si>
    <t>Q22c | c. 15-21 days | d. Unknown household type</t>
  </si>
  <si>
    <t>Q22c | d. 22 to 30 days | Total</t>
  </si>
  <si>
    <t>Q22c | d. 22 to 30 days | a. Without children</t>
  </si>
  <si>
    <t>Q22c | d. 22 to 30 days | b. With children and adults</t>
  </si>
  <si>
    <t>Q22c | d. 22 to 30 days | c. With only children</t>
  </si>
  <si>
    <t>Q22c | d. 22 to 30 days | d. Unknown household type</t>
  </si>
  <si>
    <t>Q22c | e. 31 to 60 days | Total</t>
  </si>
  <si>
    <t>Q22c | e. 31 to 60 days | a. Without children</t>
  </si>
  <si>
    <t>Q22c | e. 31 to 60 days | b. With children and adults</t>
  </si>
  <si>
    <t>Q22c | e. 31 to 60 days | c. With only children</t>
  </si>
  <si>
    <t>Q22c | e. 31 to 60 days | d. Unknown household type</t>
  </si>
  <si>
    <t>Q22c | f. 61 to 180 days | Total</t>
  </si>
  <si>
    <t>Q22c | f. 61 to 180 days | a. Without children</t>
  </si>
  <si>
    <t>Q22c | f. 61 to 180 days | b. With children and adults</t>
  </si>
  <si>
    <t>Q22c | f. 61 to 180 days | c. With only children</t>
  </si>
  <si>
    <t>Q22c | f. 61 to 180 days | d. Unknown household type</t>
  </si>
  <si>
    <t>Q22c | g. 181 to 365 days | Total</t>
  </si>
  <si>
    <t>Q22c | g. 181 to 365 days | a. Without children</t>
  </si>
  <si>
    <t>Q22c | g. 181 to 365 days | b. With children and adults</t>
  </si>
  <si>
    <t>Q22c | g. 181 to 365 days | c. With only children</t>
  </si>
  <si>
    <t>Q22c | g. 181 to 365 days | d. Unknown household type</t>
  </si>
  <si>
    <t>Q22c | i. Data Not Collected | Total</t>
  </si>
  <si>
    <t>Q22c | i. Data Not Collected | a. Without children</t>
  </si>
  <si>
    <t>Q22c | i. Data Not Collected | b. With children and adults</t>
  </si>
  <si>
    <t>Q22c | i. Data Not Collected | c. With only children</t>
  </si>
  <si>
    <t>Q22c | i. Data Not Collected | d. Unknown household type</t>
  </si>
  <si>
    <t>Q22c | j. Total | Total</t>
  </si>
  <si>
    <t>Q22c | j. Total | a. Without children</t>
  </si>
  <si>
    <t>Q22c | j. Total | b. With children and adults</t>
  </si>
  <si>
    <t>Q22c | j. Total | c. With only children</t>
  </si>
  <si>
    <t>Q22c | j. Total | d. Unknown household type</t>
  </si>
  <si>
    <t>Q22d | a. 0 to 7 days | Total</t>
  </si>
  <si>
    <t>Q22d | a. 0 to 7 days | a. Without children</t>
  </si>
  <si>
    <t>Q22d | a. 0 to 7 days | b. With children and adults</t>
  </si>
  <si>
    <t>Q22d | a. 0 to 7 days | c. With only children</t>
  </si>
  <si>
    <t>Q22d | a. 0 to 7 days | d. Unknown household type</t>
  </si>
  <si>
    <t>Q22d | b. 8 to 14 days | Total</t>
  </si>
  <si>
    <t>Q22d | b. 8 to 14 days | a. Without children</t>
  </si>
  <si>
    <t>Q22d | b. 8 to 14 days | b. With children and adults</t>
  </si>
  <si>
    <t>Q22d | b. 8 to 14 days | c. With only children</t>
  </si>
  <si>
    <t>Q22d | b. 8 to 14 days | d. Unknown household type</t>
  </si>
  <si>
    <t>Q22d | c. 15 to 21 days | Total</t>
  </si>
  <si>
    <t>Q22d | c. 15 to 21 days | a. Without children</t>
  </si>
  <si>
    <t>Q22d | c. 15 to 21 days | b. With children and adults</t>
  </si>
  <si>
    <t>Q22d | c. 15 to 21 days | c. With only children</t>
  </si>
  <si>
    <t>Q22d | c. 15 to 21 days | d. Unknown household type</t>
  </si>
  <si>
    <t>Q22d | d. 22 to 30 days | Total</t>
  </si>
  <si>
    <t>Q22d | d. 22 to 30 days | a. Without children</t>
  </si>
  <si>
    <t>Q22d | d. 22 to 30 days | b. With children and adults</t>
  </si>
  <si>
    <t>Q22d | d. 22 to 30 days | c. With only children</t>
  </si>
  <si>
    <t>Q22d | d. 22 to 30 days | d. Unknown household type</t>
  </si>
  <si>
    <t>Q22d | e. 31 to 60 days | Total</t>
  </si>
  <si>
    <t>Q22d | e. 31 to 60 days | a. Without children</t>
  </si>
  <si>
    <t>Q22d | e. 31 to 60 days | b. With children and adults</t>
  </si>
  <si>
    <t>Q22d | e. 31 to 60 days | c. With only children</t>
  </si>
  <si>
    <t>Q22d | e. 31 to 60 days | d. Unknown household type</t>
  </si>
  <si>
    <t>Q22d | f. 61 to 90 days | Total</t>
  </si>
  <si>
    <t>Q22d | f. 61 to 90 days | a. Without children</t>
  </si>
  <si>
    <t>Q22d | f. 61 to 90 days | b. With children and adults</t>
  </si>
  <si>
    <t>Q22d | f. 61 to 90 days | c. With only children</t>
  </si>
  <si>
    <t>Q22d | f. 61 to 90 days | d. Unknown household type</t>
  </si>
  <si>
    <t>Q22d | g. 91 to 180 days | Total</t>
  </si>
  <si>
    <t>Q22d | g. 91 to 180 days | a. Without children</t>
  </si>
  <si>
    <t>Q22d | g. 91 to 180 days | b. With children and adults</t>
  </si>
  <si>
    <t>Q22d | g. 91 to 180 days | c. With only children</t>
  </si>
  <si>
    <t>Q22d | g. 91 to 180 days | d. Unknown household type</t>
  </si>
  <si>
    <t>Q22d | h. 181 to 365 days | Total</t>
  </si>
  <si>
    <t>Q22d | h. 181 to 365 days | a. Without children</t>
  </si>
  <si>
    <t>Q22d | h. 181 to 365 days | b. With children and adults</t>
  </si>
  <si>
    <t>Q22d | h. 181 to 365 days | c. With only children</t>
  </si>
  <si>
    <t>Q22d | h. 181 to 365 days | d. Unknown household type</t>
  </si>
  <si>
    <t>Q22d | m. More than 1825 days (&gt;5 yrs.) | Total</t>
  </si>
  <si>
    <t>Q22d | m. More than 1825 days (&gt;5 yrs.) | a. Without children</t>
  </si>
  <si>
    <t>Q22d | m. More than 1825 days (&gt;5 yrs.) | b. With children and adults</t>
  </si>
  <si>
    <t>Q22d | m. More than 1825 days (&gt;5 yrs.) | c. With only children</t>
  </si>
  <si>
    <t>Q22d | m. More than 1825 days (&gt;5 yrs.) | d. Unknown household type</t>
  </si>
  <si>
    <t>Q22d | n. Information missing | Total</t>
  </si>
  <si>
    <t>Q22d | n. Information missing | a. Without children</t>
  </si>
  <si>
    <t>Q22d | n. Information missing | b. With children and adults</t>
  </si>
  <si>
    <t>Q22d | n. Information missing | c. With only children</t>
  </si>
  <si>
    <t>Q22d | n. Information missing | d. Unknown household type</t>
  </si>
  <si>
    <t>Q22d | o. Total | Total</t>
  </si>
  <si>
    <t>Q22d | o. Total | a. Without children</t>
  </si>
  <si>
    <t>Q22d | o. Total | b. With children and adults</t>
  </si>
  <si>
    <t>Q22d | o. Total | c. With only children</t>
  </si>
  <si>
    <t>Q22d | o. Total | d. Unknown household type</t>
  </si>
  <si>
    <t>Q23 | a. Permanent destinations | Total</t>
  </si>
  <si>
    <t>Q23 | a. Permanent destinations | a. Without children</t>
  </si>
  <si>
    <t>Q23 | a. Permanent destinations | b. With children and adults</t>
  </si>
  <si>
    <t>Q23 | a. Permanent destinations | c. With only children</t>
  </si>
  <si>
    <t>Q23 | a. Permanent destinations | d. Unknown household type</t>
  </si>
  <si>
    <t>Q23 | a01. Moved from one HOPWA funded project to HOPWA PH | Total</t>
  </si>
  <si>
    <t>Q23 | a01. Moved from one HOPWA funded project to HOPWA PH | a. Without children</t>
  </si>
  <si>
    <t>Q23 | a01. Moved from one HOPWA funded project to HOPWA PH | b. With children and adults</t>
  </si>
  <si>
    <t>Q23 | a01. Moved from one HOPWA funded project to HOPWA PH | c. With only children</t>
  </si>
  <si>
    <t>Q23 | a01. Moved from one HOPWA funded project to HOPWA PH | d. Unknown household type</t>
  </si>
  <si>
    <t>Q23 | a02. Owned by client, no ongoing subsidy | Total</t>
  </si>
  <si>
    <t>Q23 | a02. Owned by client, no ongoing subsidy | a. Without children</t>
  </si>
  <si>
    <t>Q23 | a02. Owned by client, no ongoing subsidy | b. With children and adults</t>
  </si>
  <si>
    <t>Q23 | a02. Owned by client, no ongoing subsidy | c. With only children</t>
  </si>
  <si>
    <t>Q23 | a02. Owned by client, no ongoing subsidy | d. Unknown household type</t>
  </si>
  <si>
    <t>Q23 | a03. Owned by client, with ongoing subsidy | Total</t>
  </si>
  <si>
    <t>Q23 | a03. Owned by client, with ongoing subsidy | a. Without children</t>
  </si>
  <si>
    <t>Q23 | a03. Owned by client, with ongoing subsidy | b. With children and adults</t>
  </si>
  <si>
    <t>Q23 | a03. Owned by client, with ongoing subsidy | c. With only children</t>
  </si>
  <si>
    <t>Q23 | a03. Owned by client, with ongoing subsidy | d. Unknown household type</t>
  </si>
  <si>
    <t>Q23 | a04. Rental by client, no ongoing subsidy | Total</t>
  </si>
  <si>
    <t>Q23 | a04. Rental by client, no ongoing subsidy | a. Without children</t>
  </si>
  <si>
    <t>Q23 | a04. Rental by client, no ongoing subsidy | b. With children and adults</t>
  </si>
  <si>
    <t>Q23 | a04. Rental by client, no ongoing subsidy | c. With only children</t>
  </si>
  <si>
    <t>Q23 | a04. Rental by client, no ongoing subsidy | d. Unknown household type</t>
  </si>
  <si>
    <t>Q23 | a05. Rental by client, VASH subsidy | Total</t>
  </si>
  <si>
    <t>Q23 | a05. Rental by client, VASH subsidy | a. Without children</t>
  </si>
  <si>
    <t>Q23 | a05. Rental by client, VASH subsidy | b. With children and adults</t>
  </si>
  <si>
    <t>Q23 | a05. Rental by client, VASH subsidy | c. With only children</t>
  </si>
  <si>
    <t>Q23 | a05. Rental by client, VASH subsidy | d. Unknown household type</t>
  </si>
  <si>
    <t>Q23 | a06. Rental by client, with GPD TIP housing subsidy | Total</t>
  </si>
  <si>
    <t>Q23 | a06. Rental by client, with GPD TIP housing subsidy | a. Without children</t>
  </si>
  <si>
    <t>Q23 | a06. Rental by client, with GPD TIP housing subsidy | b. With children and adults</t>
  </si>
  <si>
    <t>Q23 | a06. Rental by client, with GPD TIP housing subsidy | c. With only children</t>
  </si>
  <si>
    <t>Q23 | a06. Rental by client, with GPD TIP housing subsidy | d. Unknown household type</t>
  </si>
  <si>
    <t>Q23 | a07. Rental by client, other ongoing subsidy | Total</t>
  </si>
  <si>
    <t>Q23 | a07. Rental by client, other ongoing subsidy | a. Without children</t>
  </si>
  <si>
    <t>Q23 | a07. Rental by client, other ongoing subsidy | b. With children and adults</t>
  </si>
  <si>
    <t>Q23 | a07. Rental by client, other ongoing subsidy | c. With only children</t>
  </si>
  <si>
    <t>Q23 | a07. Rental by client, other ongoing subsidy | d. Unknown household type</t>
  </si>
  <si>
    <t>Q23 | a08. Permanent housing for homeless persons | Total</t>
  </si>
  <si>
    <t>Q23 | a08. Permanent housing for homeless persons | a. Without children</t>
  </si>
  <si>
    <t>Q23 | a08. Permanent housing for homeless persons | b. With children and adults</t>
  </si>
  <si>
    <t>Q23 | a08. Permanent housing for homeless persons | c. With only children</t>
  </si>
  <si>
    <t>Q23 | a08. Permanent housing for homeless persons | d. Unknown household type</t>
  </si>
  <si>
    <t>Q23 | a09. Staying or living with family, permanent tenure | Total</t>
  </si>
  <si>
    <t>Q23 | a09. Staying or living with family, permanent tenure | a. Without children</t>
  </si>
  <si>
    <t>Q23 | a09. Staying or living with family, permanent tenure | b. With children and adults</t>
  </si>
  <si>
    <t>Q23 | a09. Staying or living with family, permanent tenure | c. With only children</t>
  </si>
  <si>
    <t>Q23 | a09. Staying or living with family, permanent tenure | d. Unknown household type</t>
  </si>
  <si>
    <t>Q23 | a10. Staying or living with friends, permanent tenure | Total</t>
  </si>
  <si>
    <t>Q23 | a10. Staying or living with friends, permanent tenure | a. Without children</t>
  </si>
  <si>
    <t>Q23 | a10. Staying or living with friends, permanent tenure | b. With children and adults</t>
  </si>
  <si>
    <t>Q23 | a10. Staying or living with friends, permanent tenure | c. With only children</t>
  </si>
  <si>
    <t>Q23 | a10. Staying or living with friends, permanent tenure | d. Unknown household type</t>
  </si>
  <si>
    <t>Q23 | az. Total | Total</t>
  </si>
  <si>
    <t>Q23 | az. Total | a. Without children</t>
  </si>
  <si>
    <t>Q23 | az. Total | b. With children and adults</t>
  </si>
  <si>
    <t>Q23 | az. Total | c. With only children</t>
  </si>
  <si>
    <t>Q23 | az. Total | d. Unknown household type</t>
  </si>
  <si>
    <t>Q23 | b. Temporary destinations | Total</t>
  </si>
  <si>
    <t>Q23 | b. Temporary destinations | a. Without children</t>
  </si>
  <si>
    <t>Q23 | b. Temporary destinations | b. With children and adults</t>
  </si>
  <si>
    <t>Q23 | b. Temporary destinations | c. With only children</t>
  </si>
  <si>
    <t>Q23 | b. Temporary destinations | d. Unknown household type</t>
  </si>
  <si>
    <t>Q23 | b1. Emergency shelter | Total</t>
  </si>
  <si>
    <t>Q23 | b1. Emergency shelter | a. Without children</t>
  </si>
  <si>
    <t>Q23 | b1. Emergency shelter | b. With children and adults</t>
  </si>
  <si>
    <t>Q23 | b1. Emergency shelter | c. With only children</t>
  </si>
  <si>
    <t>Q23 | b1. Emergency shelter | d. Unknown household type</t>
  </si>
  <si>
    <t>Q23 | b2. Moved from one HOPWA  funded project to HOPWA TH | Total</t>
  </si>
  <si>
    <t>Q23 | b2. Moved from one HOPWA  funded project to HOPWA TH | a. Without children</t>
  </si>
  <si>
    <t>Q23 | b2. Moved from one HOPWA  funded project to HOPWA TH | b. With children and adults</t>
  </si>
  <si>
    <t>Q23 | b2. Moved from one HOPWA  funded project to HOPWA TH | c. With only children</t>
  </si>
  <si>
    <t>Q23 | b2. Moved from one HOPWA  funded project to HOPWA TH | d. Unknown household type</t>
  </si>
  <si>
    <t>Q23 | b3. Transitional housing for homeless persons | Total</t>
  </si>
  <si>
    <t>Q23 | b3. Transitional housing for homeless persons | a. Without children</t>
  </si>
  <si>
    <t>Q23 | b3. Transitional housing for homeless persons | b. With children and adults</t>
  </si>
  <si>
    <t>Q23 | b3. Transitional housing for homeless persons | c. With only children</t>
  </si>
  <si>
    <t>Q23 | b3. Transitional housing for homeless persons | d. Unknown household type</t>
  </si>
  <si>
    <t>Q23 | b5. Staying with friends, temporary tenure | Total</t>
  </si>
  <si>
    <t>Q23 | b5. Staying with friends, temporary tenure | a. Without children</t>
  </si>
  <si>
    <t>Q23 | b5. Staying with friends, temporary tenure | b. With children and adults</t>
  </si>
  <si>
    <t>Q23 | b5. Staying with friends, temporary tenure | c. With only children</t>
  </si>
  <si>
    <t>Q23 | b5. Staying with friends, temporary tenure | d. Unknown household type</t>
  </si>
  <si>
    <t>Q23 | b6. Place not meant for human habitation | Total</t>
  </si>
  <si>
    <t>Q23 | b6. Place not meant for human habitation | a. Without children</t>
  </si>
  <si>
    <t>Q23 | b6. Place not meant for human habitation | b. With children and adults</t>
  </si>
  <si>
    <t>Q23 | b6. Place not meant for human habitation | c. With only children</t>
  </si>
  <si>
    <t>Q23 | b6. Place not meant for human habitation | d. Unknown household type</t>
  </si>
  <si>
    <t>Q23 | b7. Safe Haven | Total</t>
  </si>
  <si>
    <t>Q23 | b7. Safe Haven | a. Without children</t>
  </si>
  <si>
    <t>Q23 | b7. Safe Haven | b. With children and adults</t>
  </si>
  <si>
    <t>Q23 | b7. Safe Haven | c. With only children</t>
  </si>
  <si>
    <t>Q23 | b7. Safe Haven | d. Unknown household type</t>
  </si>
  <si>
    <t>Q23 | b8. Hotel or motel paid by client | Total</t>
  </si>
  <si>
    <t>Q23 | b8. Hotel or motel paid by client | a. Without children</t>
  </si>
  <si>
    <t>Q23 | b8. Hotel or motel paid by client | b. With children and adults</t>
  </si>
  <si>
    <t>Q23 | b8. Hotel or motel paid by client | c. With only children</t>
  </si>
  <si>
    <t>Q23 | b8. Hotel or motel paid by client | d. Unknown household type</t>
  </si>
  <si>
    <t>Q23 | bz. Total | Total</t>
  </si>
  <si>
    <t>Q23 | bz. Total | a. Without children</t>
  </si>
  <si>
    <t>Q23 | bz. Total | b. With children and adults</t>
  </si>
  <si>
    <t>Q23 | bz. Total | c. With only children</t>
  </si>
  <si>
    <t>Q23 | bz. Total | d. Unknown household type</t>
  </si>
  <si>
    <t>Q23 | c. Institutional settings | Total</t>
  </si>
  <si>
    <t>Q23 | c. Institutional settings | a. Without children</t>
  </si>
  <si>
    <t>Q23 | c. Institutional settings | b. With children and adults</t>
  </si>
  <si>
    <t>Q23 | c. Institutional settings | c. With only children</t>
  </si>
  <si>
    <t>Q23 | c. Institutional settings | d. Unknown household type</t>
  </si>
  <si>
    <t>Q23 | c1. Foster care home or group foster care home | Total</t>
  </si>
  <si>
    <t>Q23 | c1. Foster care home or group foster care home | a. Without children</t>
  </si>
  <si>
    <t>Q23 | c1. Foster care home or group foster care home | b. With children and adults</t>
  </si>
  <si>
    <t>Q23 | c1. Foster care home or group foster care home | c. With only children</t>
  </si>
  <si>
    <t>Q23 | c1. Foster care home or group foster care home | d. Unknown household type</t>
  </si>
  <si>
    <t>Q23 | c2. Psychiatric hospital or other psychiatric facility | Total</t>
  </si>
  <si>
    <t>Q23 | c2. Psychiatric hospital or other psychiatric facility | a. Without children</t>
  </si>
  <si>
    <t>Q23 | c2. Psychiatric hospital or other psychiatric facility | b. With children and adults</t>
  </si>
  <si>
    <t>Q23 | c2. Psychiatric hospital or other psychiatric facility | c. With only children</t>
  </si>
  <si>
    <t>Q23 | c2. Psychiatric hospital or other psychiatric facility | d. Unknown household type</t>
  </si>
  <si>
    <t>Q23 | c3. Substance abuse treatment facility or detox center | Total</t>
  </si>
  <si>
    <t>Q23 | c3. Substance abuse treatment facility or detox center | a. Without children</t>
  </si>
  <si>
    <t>Q23 | c3. Substance abuse treatment facility or detox center | b. With children and adults</t>
  </si>
  <si>
    <t>Q23 | c3. Substance abuse treatment facility or detox center | c. With only children</t>
  </si>
  <si>
    <t>Q23 | c3. Substance abuse treatment facility or detox center | d. Unknown household type</t>
  </si>
  <si>
    <t>Q23 | c4. Hospital or other residential non-psychiatric medical facility | Total</t>
  </si>
  <si>
    <t>Q23 | c4. Hospital or other residential non-psychiatric medical facility | a. Without children</t>
  </si>
  <si>
    <t>Q23 | c4. Hospital or other residential non-psychiatric medical facility | b. With children and adults</t>
  </si>
  <si>
    <t>Q23 | c4. Hospital or other residential non-psychiatric medical facility | c. With only children</t>
  </si>
  <si>
    <t>Q23 | c4. Hospital or other residential non-psychiatric medical facility | d. Unknown household type</t>
  </si>
  <si>
    <t>Q23 | c5. Jail, prison or juvenile detention facility | Total</t>
  </si>
  <si>
    <t>Q23 | c5. Jail, prison or juvenile detention facility | a. Without children</t>
  </si>
  <si>
    <t>Q23 | c5. Jail, prison or juvenile detention facility | b. With children and adults</t>
  </si>
  <si>
    <t>Q23 | c5. Jail, prison or juvenile detention facility | c. With only children</t>
  </si>
  <si>
    <t>Q23 | c5. Jail, prison or juvenile detention facility | d. Unknown household type</t>
  </si>
  <si>
    <t>Q23 | c6. Long term care facility or nursing home | Total</t>
  </si>
  <si>
    <t>Q23 | c6. Long term care facility or nursing home | a. Without children</t>
  </si>
  <si>
    <t>Q23 | c6. Long term care facility or nursing home | b. With children and adults</t>
  </si>
  <si>
    <t>Q23 | c6. Long term care facility or nursing home | c. With only children</t>
  </si>
  <si>
    <t>Q23 | c6. Long term care facility or nursing home | d. Unknown household type</t>
  </si>
  <si>
    <t>Q23 | cz. Total | Total</t>
  </si>
  <si>
    <t>Q23 | cz. Total | a. Without children</t>
  </si>
  <si>
    <t>Q23 | cz. Total | b. With children and adults</t>
  </si>
  <si>
    <t>Q23 | cz. Total | c. With only children</t>
  </si>
  <si>
    <t>Q23 | cz. Total | d. Unknown household type</t>
  </si>
  <si>
    <t>Q23 | d. Other destinations | Total</t>
  </si>
  <si>
    <t>Q23 | d. Other destinations | a. Without children</t>
  </si>
  <si>
    <t>Q23 | d. Other destinations | b. With children and adults</t>
  </si>
  <si>
    <t>Q23 | d. Other destinations | c. With only children</t>
  </si>
  <si>
    <t>Q23 | d. Other destinations | d. Unknown household type</t>
  </si>
  <si>
    <t>Q23 | d1. Residential project or halfway house with no homeless criteria | Total</t>
  </si>
  <si>
    <t>Q23 | d1. Residential project or halfway house with no homeless criteria | a. Without children</t>
  </si>
  <si>
    <t>Q23 | d1. Residential project or halfway house with no homeless criteria | b. With children and adults</t>
  </si>
  <si>
    <t>Q23 | d1. Residential project or halfway house with no homeless criteria | c. With only children</t>
  </si>
  <si>
    <t>Q23 | d1. Residential project or halfway house with no homeless criteria | d. Unknown household type</t>
  </si>
  <si>
    <t>Q23 | d2. Deceased | Total</t>
  </si>
  <si>
    <t>Q23 | d2. Deceased | a. Without children</t>
  </si>
  <si>
    <t>Q23 | d2. Deceased | b. With children and adults</t>
  </si>
  <si>
    <t>Q23 | d2. Deceased | c. With only children</t>
  </si>
  <si>
    <t>Q23 | d2. Deceased | d. Unknown household type</t>
  </si>
  <si>
    <t>Q23 | d3. Other | Total</t>
  </si>
  <si>
    <t>Q23 | d3. Other | a. Without children</t>
  </si>
  <si>
    <t>Q23 | d3. Other | b. With children and adults</t>
  </si>
  <si>
    <t>Q23 | d3. Other | c. With only children</t>
  </si>
  <si>
    <t>Q23 | d3. Other | d. Unknown household type</t>
  </si>
  <si>
    <t>Q23 | d4. Don't know / refused | Total</t>
  </si>
  <si>
    <t>Q23 | d4. Don't know / refused | a. Without children</t>
  </si>
  <si>
    <t>Q23 | d4. Don't know / refused | b. With children and adults</t>
  </si>
  <si>
    <t>Q23 | d4. Don't know / refused | c. With only children</t>
  </si>
  <si>
    <t>Q23 | d4. Don't know / refused | d. Unknown household type</t>
  </si>
  <si>
    <t>Q23 | d5. Information missing | Total</t>
  </si>
  <si>
    <t>Q23 | d5. Information missing | a. Without children</t>
  </si>
  <si>
    <t>Q23 | d5. Information missing | b. With children and adults</t>
  </si>
  <si>
    <t>Q23 | d5. Information missing | c. With only children</t>
  </si>
  <si>
    <t>Q23 | d5. Information missing | d. Unknown household type</t>
  </si>
  <si>
    <t>Q23 | dz. Total | Total</t>
  </si>
  <si>
    <t>Q23 | dz. Total | a. Without children</t>
  </si>
  <si>
    <t>Q23 | dz. Total | b. With children and adults</t>
  </si>
  <si>
    <t>Q23 | dz. Total | c. With only children</t>
  </si>
  <si>
    <t>Q23 | dz. Total | d. Unknown household type</t>
  </si>
  <si>
    <t>Q23 | e. Total | Total</t>
  </si>
  <si>
    <t>Q23 | e. Total | a. Without children</t>
  </si>
  <si>
    <t>Q23 | e. Total | b. With children and adults</t>
  </si>
  <si>
    <t>Q23 | e. Total | c. With only children</t>
  </si>
  <si>
    <t>Q23 | e. Total | d. Unknown household type</t>
  </si>
  <si>
    <t>Q23a | a. Permanent destinations | Total</t>
  </si>
  <si>
    <t>Q23a | a. Permanent destinations | a. Without children</t>
  </si>
  <si>
    <t>Q23a | a. Permanent destinations | b. With children and adults</t>
  </si>
  <si>
    <t>Q23a | a. Permanent destinations | c. With only children</t>
  </si>
  <si>
    <t>Q23a | a. Permanent destinations | d. Unknown household type</t>
  </si>
  <si>
    <t>Q23a | a01. Moved from one HOPWA funded project to HOPWA PH | Total</t>
  </si>
  <si>
    <t>Q23a | a01. Moved from one HOPWA funded project to HOPWA PH | a. Without children</t>
  </si>
  <si>
    <t>Q23a | a01. Moved from one HOPWA funded project to HOPWA PH | b. With children and adults</t>
  </si>
  <si>
    <t>Q23a | a01. Moved from one HOPWA funded project to HOPWA PH | c. With only children</t>
  </si>
  <si>
    <t>Q23a | a01. Moved from one HOPWA funded project to HOPWA PH | d. Unknown household type</t>
  </si>
  <si>
    <t>Q23a | a02. Owned by client, no ongoing subsidy | Total</t>
  </si>
  <si>
    <t>Q23a | a02. Owned by client, no ongoing subsidy | a. Without children</t>
  </si>
  <si>
    <t>Q23a | a02. Owned by client, no ongoing subsidy | b. With children and adults</t>
  </si>
  <si>
    <t>Q23a | a02. Owned by client, no ongoing subsidy | c. With only children</t>
  </si>
  <si>
    <t>Q23a | a02. Owned by client, no ongoing subsidy | d. Unknown household type</t>
  </si>
  <si>
    <t>Q23a | a03. Owned by client, with ongoing subsidy | Total</t>
  </si>
  <si>
    <t>Q23a | a03. Owned by client, with ongoing subsidy | a. Without children</t>
  </si>
  <si>
    <t>Q23a | a03. Owned by client, with ongoing subsidy | b. With children and adults</t>
  </si>
  <si>
    <t>Q23a | a03. Owned by client, with ongoing subsidy | c. With only children</t>
  </si>
  <si>
    <t>Q23a | a03. Owned by client, with ongoing subsidy | d. Unknown household type</t>
  </si>
  <si>
    <t>Q23a | a04. Rental by client, no ongoing subsidy | Total</t>
  </si>
  <si>
    <t>Q23a | a04. Rental by client, no ongoing subsidy | a. Without children</t>
  </si>
  <si>
    <t>Q23a | a04. Rental by client, no ongoing subsidy | b. With children and adults</t>
  </si>
  <si>
    <t>Q23a | a04. Rental by client, no ongoing subsidy | c. With only children</t>
  </si>
  <si>
    <t>Q23a | a04. Rental by client, no ongoing subsidy | d. Unknown household type</t>
  </si>
  <si>
    <t>Q23a | a05. Rental by client, VASH subsidy | Total</t>
  </si>
  <si>
    <t>Q23a | a05. Rental by client, VASH subsidy | a. Without children</t>
  </si>
  <si>
    <t>Q23a | a05. Rental by client, VASH subsidy | b. With children and adults</t>
  </si>
  <si>
    <t>Q23a | a05. Rental by client, VASH subsidy | c. With only children</t>
  </si>
  <si>
    <t>Q23a | a05. Rental by client, VASH subsidy | d. Unknown household type</t>
  </si>
  <si>
    <t>Q23a | a06. Rental by client, with GPD TIP housing subsidy | Total</t>
  </si>
  <si>
    <t>Q23a | a06. Rental by client, with GPD TIP housing subsidy | a. Without children</t>
  </si>
  <si>
    <t>Q23a | a06. Rental by client, with GPD TIP housing subsidy | b. With children and adults</t>
  </si>
  <si>
    <t>Q23a | a06. Rental by client, with GPD TIP housing subsidy | c. With only children</t>
  </si>
  <si>
    <t>Q23a | a06. Rental by client, with GPD TIP housing subsidy | d. Unknown household type</t>
  </si>
  <si>
    <t>Q23a | a07. Rental by client, other ongoing subsidy | Total</t>
  </si>
  <si>
    <t>Q23a | a07. Rental by client, other ongoing subsidy | a. Without children</t>
  </si>
  <si>
    <t>Q23a | a07. Rental by client, other ongoing subsidy | b. With children and adults</t>
  </si>
  <si>
    <t>Q23a | a07. Rental by client, other ongoing subsidy | c. With only children</t>
  </si>
  <si>
    <t>Q23a | a07. Rental by client, other ongoing subsidy | d. Unknown household type</t>
  </si>
  <si>
    <t>Q23a | a08. Permanent housing for homeless persons | Total</t>
  </si>
  <si>
    <t>Q23a | a08. Permanent housing for homeless persons | a. Without children</t>
  </si>
  <si>
    <t>Q23a | a08. Permanent housing for homeless persons | b. With children and adults</t>
  </si>
  <si>
    <t>Q23a | a08. Permanent housing for homeless persons | c. With only children</t>
  </si>
  <si>
    <t>Q23a | a08. Permanent housing for homeless persons | d. Unknown household type</t>
  </si>
  <si>
    <t>Q23a | a09. Staying or living with family, permanent tenure | Total</t>
  </si>
  <si>
    <t>Q23a | a09. Staying or living with family, permanent tenure | a. Without children</t>
  </si>
  <si>
    <t>Q23a | a09. Staying or living with family, permanent tenure | b. With children and adults</t>
  </si>
  <si>
    <t>Q23a | a09. Staying or living with family, permanent tenure | c. With only children</t>
  </si>
  <si>
    <t>Q23a | a09. Staying or living with family, permanent tenure | d. Unknown household type</t>
  </si>
  <si>
    <t>Q23a | a10. Staying or living with friends, permanent tenure | Total</t>
  </si>
  <si>
    <t>Q23a | a10. Staying or living with friends, permanent tenure | a. Without children</t>
  </si>
  <si>
    <t>Q23a | a10. Staying or living with friends, permanent tenure | b. With children and adults</t>
  </si>
  <si>
    <t>Q23a | a10. Staying or living with friends, permanent tenure | c. With only children</t>
  </si>
  <si>
    <t>Q23a | a10. Staying or living with friends, permanent tenure | d. Unknown household type</t>
  </si>
  <si>
    <t>Q23a | az. Total | Total</t>
  </si>
  <si>
    <t>Q23a | az. Total | a. Without children</t>
  </si>
  <si>
    <t>Q23a | az. Total | b. With children and adults</t>
  </si>
  <si>
    <t>Q23a | az. Total | c. With only children</t>
  </si>
  <si>
    <t>Q23a | az. Total | d. Unknown household type</t>
  </si>
  <si>
    <t>Q23a | b. Temporary destinations | Total</t>
  </si>
  <si>
    <t>Q23a | b. Temporary destinations | a. Without children</t>
  </si>
  <si>
    <t>Q23a | b. Temporary destinations | b. With children and adults</t>
  </si>
  <si>
    <t>Q23a | b. Temporary destinations | c. With only children</t>
  </si>
  <si>
    <t>Q23a | b. Temporary destinations | d. Unknown household type</t>
  </si>
  <si>
    <t>Q23a | b1. Emergency shelter | Total</t>
  </si>
  <si>
    <t>Q23a | b1. Emergency shelter | a. Without children</t>
  </si>
  <si>
    <t>Q23a | b1. Emergency shelter | b. With children and adults</t>
  </si>
  <si>
    <t>Q23a | b1. Emergency shelter | c. With only children</t>
  </si>
  <si>
    <t>Q23a | b1. Emergency shelter | d. Unknown household type</t>
  </si>
  <si>
    <t>Q23a | b2. Moved from one HOPWA  funded project to HOPWA TH | Total</t>
  </si>
  <si>
    <t>Q23a | b2. Moved from one HOPWA  funded project to HOPWA TH | a. Without children</t>
  </si>
  <si>
    <t>Q23a | b2. Moved from one HOPWA  funded project to HOPWA TH | b. With children and adults</t>
  </si>
  <si>
    <t>Q23a | b2. Moved from one HOPWA  funded project to HOPWA TH | c. With only children</t>
  </si>
  <si>
    <t>Q23a | b2. Moved from one HOPWA  funded project to HOPWA TH | d. Unknown household type</t>
  </si>
  <si>
    <t>Q23a | b3. Transitional housing for homeless persons | Total</t>
  </si>
  <si>
    <t>Q23a | b3. Transitional housing for homeless persons | a. Without children</t>
  </si>
  <si>
    <t>Q23a | b3. Transitional housing for homeless persons | b. With children and adults</t>
  </si>
  <si>
    <t>Q23a | b3. Transitional housing for homeless persons | c. With only children</t>
  </si>
  <si>
    <t>Q23a | b3. Transitional housing for homeless persons | d. Unknown household type</t>
  </si>
  <si>
    <t>Q23a | b5. Staying with friends, temporary tenure | Total</t>
  </si>
  <si>
    <t>Q23a | b5. Staying with friends, temporary tenure | a. Without children</t>
  </si>
  <si>
    <t>Q23a | b5. Staying with friends, temporary tenure | b. With children and adults</t>
  </si>
  <si>
    <t>Q23a | b5. Staying with friends, temporary tenure | c. With only children</t>
  </si>
  <si>
    <t>Q23a | b5. Staying with friends, temporary tenure | d. Unknown household type</t>
  </si>
  <si>
    <t>Q23a | b6. Place not meant for human habitation | Total</t>
  </si>
  <si>
    <t>Q23a | b6. Place not meant for human habitation | a. Without children</t>
  </si>
  <si>
    <t>Q23a | b6. Place not meant for human habitation | b. With children and adults</t>
  </si>
  <si>
    <t>Q23a | b6. Place not meant for human habitation | c. With only children</t>
  </si>
  <si>
    <t>Q23a | b6. Place not meant for human habitation | d. Unknown household type</t>
  </si>
  <si>
    <t>Q23a | b7. Safe Haven | Total</t>
  </si>
  <si>
    <t>Q23a | b7. Safe Haven | a. Without children</t>
  </si>
  <si>
    <t>Q23a | b7. Safe Haven | b. With children and adults</t>
  </si>
  <si>
    <t>Q23a | b7. Safe Haven | c. With only children</t>
  </si>
  <si>
    <t>Q23a | b7. Safe Haven | d. Unknown household type</t>
  </si>
  <si>
    <t>Q23a | b8. Hotel or motel paid by client | Total</t>
  </si>
  <si>
    <t>Q23a | b8. Hotel or motel paid by client | a. Without children</t>
  </si>
  <si>
    <t>Q23a | b8. Hotel or motel paid by client | b. With children and adults</t>
  </si>
  <si>
    <t>Q23a | b8. Hotel or motel paid by client | c. With only children</t>
  </si>
  <si>
    <t>Q23a | b8. Hotel or motel paid by client | d. Unknown household type</t>
  </si>
  <si>
    <t>Q23a | bz. Total | Total</t>
  </si>
  <si>
    <t>Q23a | bz. Total | a. Without children</t>
  </si>
  <si>
    <t>Q23a | bz. Total | b. With children and adults</t>
  </si>
  <si>
    <t>Q23a | bz. Total | c. With only children</t>
  </si>
  <si>
    <t>Q23a | bz. Total | d. Unknown household type</t>
  </si>
  <si>
    <t>Q23a | c. Institutional settings | Total</t>
  </si>
  <si>
    <t>Q23a | c. Institutional settings | a. Without children</t>
  </si>
  <si>
    <t>Q23a | c. Institutional settings | b. With children and adults</t>
  </si>
  <si>
    <t>Q23a | c. Institutional settings | c. With only children</t>
  </si>
  <si>
    <t>Q23a | c. Institutional settings | d. Unknown household type</t>
  </si>
  <si>
    <t>Q23a | c1. Foster care home or group foster care home | Total</t>
  </si>
  <si>
    <t>Q23a | c1. Foster care home or group foster care home | a. Without children</t>
  </si>
  <si>
    <t>Q23a | c1. Foster care home or group foster care home | b. With children and adults</t>
  </si>
  <si>
    <t>Q23a | c1. Foster care home or group foster care home | c. With only children</t>
  </si>
  <si>
    <t>Q23a | c1. Foster care home or group foster care home | d. Unknown household type</t>
  </si>
  <si>
    <t>Q23a | c2. Psychiatric hospital or other psychiatric facility | Total</t>
  </si>
  <si>
    <t>Q23a | c2. Psychiatric hospital or other psychiatric facility | a. Without children</t>
  </si>
  <si>
    <t>Q23a | c2. Psychiatric hospital or other psychiatric facility | b. With children and adults</t>
  </si>
  <si>
    <t>Q23a | c2. Psychiatric hospital or other psychiatric facility | c. With only children</t>
  </si>
  <si>
    <t>Q23a | c2. Psychiatric hospital or other psychiatric facility | d. Unknown household type</t>
  </si>
  <si>
    <t>Q23a | c3. Substance abuse treatment facility or detox center | Total</t>
  </si>
  <si>
    <t>Q23a | c3. Substance abuse treatment facility or detox center | a. Without children</t>
  </si>
  <si>
    <t>Q23a | c3. Substance abuse treatment facility or detox center | b. With children and adults</t>
  </si>
  <si>
    <t>Q23a | c3. Substance abuse treatment facility or detox center | c. With only children</t>
  </si>
  <si>
    <t>Q23a | c3. Substance abuse treatment facility or detox center | d. Unknown household type</t>
  </si>
  <si>
    <t>Q23a | c4. Hospital or other residential non-psychiatric medical facility | Total</t>
  </si>
  <si>
    <t>Q23a | c4. Hospital or other residential non-psychiatric medical facility | a. Without children</t>
  </si>
  <si>
    <t>Q23a | c4. Hospital or other residential non-psychiatric medical facility | b. With children and adults</t>
  </si>
  <si>
    <t>Q23a | c4. Hospital or other residential non-psychiatric medical facility | c. With only children</t>
  </si>
  <si>
    <t>Q23a | c4. Hospital or other residential non-psychiatric medical facility | d. Unknown household type</t>
  </si>
  <si>
    <t>Q23a | c5. Jail, prison or juvenile detention facility | Total</t>
  </si>
  <si>
    <t>Q23a | c5. Jail, prison or juvenile detention facility | a. Without children</t>
  </si>
  <si>
    <t>Q23a | c5. Jail, prison or juvenile detention facility | b. With children and adults</t>
  </si>
  <si>
    <t>Q23a | c5. Jail, prison or juvenile detention facility | c. With only children</t>
  </si>
  <si>
    <t>Q23a | c5. Jail, prison or juvenile detention facility | d. Unknown household type</t>
  </si>
  <si>
    <t>Q23a | c6. Long term care facility or nursing home | Total</t>
  </si>
  <si>
    <t>Q23a | c6. Long term care facility or nursing home | a. Without children</t>
  </si>
  <si>
    <t>Q23a | c6. Long term care facility or nursing home | b. With children and adults</t>
  </si>
  <si>
    <t>Q23a | c6. Long term care facility or nursing home | c. With only children</t>
  </si>
  <si>
    <t>Q23a | c6. Long term care facility or nursing home | d. Unknown household type</t>
  </si>
  <si>
    <t>Q23a | cz. Total | Total</t>
  </si>
  <si>
    <t>Q23a | cz. Total | a. Without children</t>
  </si>
  <si>
    <t>Q23a | cz. Total | b. With children and adults</t>
  </si>
  <si>
    <t>Q23a | cz. Total | c. With only children</t>
  </si>
  <si>
    <t>Q23a | cz. Total | d. Unknown household type</t>
  </si>
  <si>
    <t>Q23a | d. Other destinations | Total</t>
  </si>
  <si>
    <t>Q23a | d. Other destinations | a. Without children</t>
  </si>
  <si>
    <t>Q23a | d. Other destinations | b. With children and adults</t>
  </si>
  <si>
    <t>Q23a | d. Other destinations | c. With only children</t>
  </si>
  <si>
    <t>Q23a | d. Other destinations | d. Unknown household type</t>
  </si>
  <si>
    <t>Q23a | d1. Residential project or halfway house with no homeless criteria | Total</t>
  </si>
  <si>
    <t>Q23a | d1. Residential project or halfway house with no homeless criteria | a. Without children</t>
  </si>
  <si>
    <t>Q23a | d1. Residential project or halfway house with no homeless criteria | b. With children and adults</t>
  </si>
  <si>
    <t>Q23a | d1. Residential project or halfway house with no homeless criteria | c. With only children</t>
  </si>
  <si>
    <t>Q23a | d1. Residential project or halfway house with no homeless criteria | d. Unknown household type</t>
  </si>
  <si>
    <t>Q23a | d2. Deceased | Total</t>
  </si>
  <si>
    <t>Q23a | d2. Deceased | a. Without children</t>
  </si>
  <si>
    <t>Q23a | d2. Deceased | b. With children and adults</t>
  </si>
  <si>
    <t>Q23a | d2. Deceased | c. With only children</t>
  </si>
  <si>
    <t>Q23a | d2. Deceased | d. Unknown household type</t>
  </si>
  <si>
    <t>Q23a | d3. Other | Total</t>
  </si>
  <si>
    <t>Q23a | d3. Other | a. Without children</t>
  </si>
  <si>
    <t>Q23a | d3. Other | b. With children and adults</t>
  </si>
  <si>
    <t>Q23a | d3. Other | c. With only children</t>
  </si>
  <si>
    <t>Q23a | d3. Other | d. Unknown household type</t>
  </si>
  <si>
    <t>Q23a | d4. Don't know / refused | Total</t>
  </si>
  <si>
    <t>Q23a | d4. Don't know / refused | a. Without children</t>
  </si>
  <si>
    <t>Q23a | d4. Don't know / refused | b. With children and adults</t>
  </si>
  <si>
    <t>Q23a | d4. Don't know / refused | c. With only children</t>
  </si>
  <si>
    <t>Q23a | d4. Don't know / refused | d. Unknown household type</t>
  </si>
  <si>
    <t>Q23a | d5. Information missing | Total</t>
  </si>
  <si>
    <t>Q23a | d5. Information missing | a. Without children</t>
  </si>
  <si>
    <t>Q23a | d5. Information missing | b. With children and adults</t>
  </si>
  <si>
    <t>Q23a | d5. Information missing | c. With only children</t>
  </si>
  <si>
    <t>Q23a | d5. Information missing | d. Unknown household type</t>
  </si>
  <si>
    <t>Q23a | dz. Total | Total</t>
  </si>
  <si>
    <t>Q23a | dz. Total | a. Without children</t>
  </si>
  <si>
    <t>Q23a | dz. Total | b. With children and adults</t>
  </si>
  <si>
    <t>Q23a | dz. Total | c. With only children</t>
  </si>
  <si>
    <t>Q23a | dz. Total | d. Unknown household type</t>
  </si>
  <si>
    <t>Q23a | e. Total | Total</t>
  </si>
  <si>
    <t>Q23a | e. Total | a. Without children</t>
  </si>
  <si>
    <t>Q23a | e. Total | b. With children and adults</t>
  </si>
  <si>
    <t>Q23a | e. Total | c. With only children</t>
  </si>
  <si>
    <t>Q23a | e. Total | d. Unknown household type</t>
  </si>
  <si>
    <t>Q23b | a. Able to maintain the housing they had at project entry--Without a subsidy | Total</t>
  </si>
  <si>
    <t>Q23b | a. Able to maintain the housing they had at project entry--Without a subsidy | a. Without children</t>
  </si>
  <si>
    <t>Q23b | a. Able to maintain the housing they had at project entry--Without a subsidy | b. With children and adults</t>
  </si>
  <si>
    <t>Q23b | a. Able to maintain the housing they had at project entry--Without a subsidy | c. With only children</t>
  </si>
  <si>
    <t>Q23b | a. Able to maintain the housing they had at project entry--Without a subsidy | d. Unknown household type</t>
  </si>
  <si>
    <t>Q23b | b. Able to maintain the housing they had at project entry--With the subsidy they had at project entry | Total</t>
  </si>
  <si>
    <t>Q23b | b. Able to maintain the housing they had at project entry--With the subsidy they had at project entry | a. Without children</t>
  </si>
  <si>
    <t>Q23b | b. Able to maintain the housing they had at project entry--With the subsidy they had at project entry | b. With children and adults</t>
  </si>
  <si>
    <t>Q23b | b. Able to maintain the housing they had at project entry--With the subsidy they had at project entry | c. With only children</t>
  </si>
  <si>
    <t>Q23b | b. Able to maintain the housing they had at project entry--With the subsidy they had at project entry | d. Unknown household type</t>
  </si>
  <si>
    <t>Q23b | c. Able to maintain the housing they had at project entry--With an on-going subsidy acquired since project entry | Total</t>
  </si>
  <si>
    <t>Q23b | c. Able to maintain the housing they had at project entry--With an on-going subsidy acquired since project entry | a. Without children</t>
  </si>
  <si>
    <t>Q23b | c. Able to maintain the housing they had at project entry--With an on-going subsidy acquired since project entry | b. With children and adults</t>
  </si>
  <si>
    <t>Q23b | c. Able to maintain the housing they had at project entry--With an on-going subsidy acquired since project entry | c. With only children</t>
  </si>
  <si>
    <t>Q23b | c. Able to maintain the housing they had at project entry--With an on-going subsidy acquired since project entry | d. Unknown household type</t>
  </si>
  <si>
    <t>Q23b | d. Able to maintain the housing they had at project entry--Only with financial assistance other than a subsidy | Total</t>
  </si>
  <si>
    <t>Q23b | d. Able to maintain the housing they had at project entry--Only with financial assistance other than a subsidy | a. Without children</t>
  </si>
  <si>
    <t>Q23b | d. Able to maintain the housing they had at project entry--Only with financial assistance other than a subsidy | b. With children and adults</t>
  </si>
  <si>
    <t>Q23b | d. Able to maintain the housing they had at project entry--Only with financial assistance other than a subsidy | c. With only children</t>
  </si>
  <si>
    <t>Q23b | d. Able to maintain the housing they had at project entry--Only with financial assistance other than a subsidy | d. Unknown household type</t>
  </si>
  <si>
    <t>Q23b | e. Moved to new housing unit--With on-going subsidy | Total</t>
  </si>
  <si>
    <t>Q23b | e. Moved to new housing unit--With on-going subsidy | a. Without children</t>
  </si>
  <si>
    <t>Q23b | e. Moved to new housing unit--With on-going subsidy | b. With children and adults</t>
  </si>
  <si>
    <t>Q23b | e. Moved to new housing unit--With on-going subsidy | c. With only children</t>
  </si>
  <si>
    <t>Q23b | e. Moved to new housing unit--With on-going subsidy | d. Unknown household type</t>
  </si>
  <si>
    <t>Q23b | f. Moved to new housing unit--Without an on-going subsidy | Total</t>
  </si>
  <si>
    <t>Q23b | f. Moved to new housing unit--Without an on-going subsidy | a. Without children</t>
  </si>
  <si>
    <t>Q23b | f. Moved to new housing unit--Without an on-going subsidy | b. With children and adults</t>
  </si>
  <si>
    <t>Q23b | f. Moved to new housing unit--Without an on-going subsidy | c. With only children</t>
  </si>
  <si>
    <t>Q23b | f. Moved to new housing unit--Without an on-going subsidy | d. Unknown household type</t>
  </si>
  <si>
    <t>Q23b | g. Moved in with family/friends on a temporary basis | Total</t>
  </si>
  <si>
    <t>Q23b | g. Moved in with family/friends on a temporary basis | a. Without children</t>
  </si>
  <si>
    <t>Q23b | g. Moved in with family/friends on a temporary basis | b. With children and adults</t>
  </si>
  <si>
    <t>Q23b | g. Moved in with family/friends on a temporary basis | c. With only children</t>
  </si>
  <si>
    <t>Q23b | g. Moved in with family/friends on a temporary basis | d. Unknown household type</t>
  </si>
  <si>
    <t>Q23b | h. Moved in with family/friends on a permanent basis | Total</t>
  </si>
  <si>
    <t>Q23b | h. Moved in with family/friends on a permanent basis | a. Without children</t>
  </si>
  <si>
    <t>Q23b | h. Moved in with family/friends on a permanent basis | b. With children and adults</t>
  </si>
  <si>
    <t>Q23b | h. Moved in with family/friends on a permanent basis | c. With only children</t>
  </si>
  <si>
    <t>Q23b | h. Moved in with family/friends on a permanent basis | d. Unknown household type</t>
  </si>
  <si>
    <t>Q23b | i. Moved to a transitional or temporary housing facility or program | Total</t>
  </si>
  <si>
    <t>Q23b | i. Moved to a transitional or temporary housing facility or program | a. Without children</t>
  </si>
  <si>
    <t>Q23b | i. Moved to a transitional or temporary housing facility or program | b. With children and adults</t>
  </si>
  <si>
    <t>Q23b | i. Moved to a transitional or temporary housing facility or program | c. With only children</t>
  </si>
  <si>
    <t>Q23b | i. Moved to a transitional or temporary housing facility or program | d. Unknown household type</t>
  </si>
  <si>
    <t>Q23b | k. Client went to jail/prison | Total</t>
  </si>
  <si>
    <t>Q23b | k. Client went to jail/prison | a. Without children</t>
  </si>
  <si>
    <t>Q23b | k. Client went to jail/prison | b. With children and adults</t>
  </si>
  <si>
    <t>Q23b | k. Client went to jail/prison | c. With only children</t>
  </si>
  <si>
    <t>Q23b | k. Client went to jail/prison | d. Unknown household type</t>
  </si>
  <si>
    <t>Q23b | l. Client died | Total</t>
  </si>
  <si>
    <t>Q23b | l. Client died | a. Without children</t>
  </si>
  <si>
    <t>Q23b | l. Client died | b. With children and adults</t>
  </si>
  <si>
    <t>Q23b | l. Client died | c. With only children</t>
  </si>
  <si>
    <t>Q23b | l. Client died | d. Unknown household type</t>
  </si>
  <si>
    <t>Q23b | n. Data not collected (no exit interview completed) | Total</t>
  </si>
  <si>
    <t>Q23b | n. Data not collected (no exit interview completed) | a. Without children</t>
  </si>
  <si>
    <t>Q23b | n. Data not collected (no exit interview completed) | b. With children and adults</t>
  </si>
  <si>
    <t>Q23b | n. Data not collected (no exit interview completed) | c. With only children</t>
  </si>
  <si>
    <t>Q23b | n. Data not collected (no exit interview completed) | d. Unknown household type</t>
  </si>
  <si>
    <t>Q23b | o. Total | Total</t>
  </si>
  <si>
    <t>Q23b | o. Total | a. Without children</t>
  </si>
  <si>
    <t>Q23b | o. Total | b. With children and adults</t>
  </si>
  <si>
    <t>Q23b | o. Total | c. With only children</t>
  </si>
  <si>
    <t>Q23b | o. Total | d. Unknown household type</t>
  </si>
  <si>
    <t>Q24 | a. Permanent destinations | Total</t>
  </si>
  <si>
    <t>Q24 | a. Permanent destinations | a. Without children</t>
  </si>
  <si>
    <t>Q24 | a. Permanent destinations | b. With children and adults</t>
  </si>
  <si>
    <t>Q24 | a. Permanent destinations | c. With only children</t>
  </si>
  <si>
    <t>Q24 | a. Permanent destinations | d. Unknown household type</t>
  </si>
  <si>
    <t>Q24 | a01. Moved from one HOPWA funded project to HOPWA PH | Total</t>
  </si>
  <si>
    <t>Q24 | a01. Moved from one HOPWA funded project to HOPWA PH | a. Without children</t>
  </si>
  <si>
    <t>Q24 | a01. Moved from one HOPWA funded project to HOPWA PH | b. With children and adults</t>
  </si>
  <si>
    <t>Q24 | a01. Moved from one HOPWA funded project to HOPWA PH | c. With only children</t>
  </si>
  <si>
    <t>Q24 | a01. Moved from one HOPWA funded project to HOPWA PH | d. Unknown household type</t>
  </si>
  <si>
    <t>Q24 | a02. Owned by client, no ongoing subsidy | Total</t>
  </si>
  <si>
    <t>Q24 | a02. Owned by client, no ongoing subsidy | a. Without children</t>
  </si>
  <si>
    <t>Q24 | a02. Owned by client, no ongoing subsidy | b. With children and adults</t>
  </si>
  <si>
    <t>Q24 | a02. Owned by client, no ongoing subsidy | c. With only children</t>
  </si>
  <si>
    <t>Q24 | a02. Owned by client, no ongoing subsidy | d. Unknown household type</t>
  </si>
  <si>
    <t>Q24 | a03. Owned by client, with ongoing subsidy | Total</t>
  </si>
  <si>
    <t>Q24 | a03. Owned by client, with ongoing subsidy | a. Without children</t>
  </si>
  <si>
    <t>Q24 | a03. Owned by client, with ongoing subsidy | b. With children and adults</t>
  </si>
  <si>
    <t>Q24 | a03. Owned by client, with ongoing subsidy | c. With only children</t>
  </si>
  <si>
    <t>Q24 | a03. Owned by client, with ongoing subsidy | d. Unknown household type</t>
  </si>
  <si>
    <t>Q24 | a04. Rental by client, no ongoing subsidy | Total</t>
  </si>
  <si>
    <t>Q24 | a04. Rental by client, no ongoing subsidy | a. Without children</t>
  </si>
  <si>
    <t>Q24 | a04. Rental by client, no ongoing subsidy | b. With children and adults</t>
  </si>
  <si>
    <t>Q24 | a04. Rental by client, no ongoing subsidy | c. With only children</t>
  </si>
  <si>
    <t>Q24 | a04. Rental by client, no ongoing subsidy | d. Unknown household type</t>
  </si>
  <si>
    <t>Q24 | a05. Rental by client, VASH subsidy | Total</t>
  </si>
  <si>
    <t>Q24 | a05. Rental by client, VASH subsidy | a. Without children</t>
  </si>
  <si>
    <t>Q24 | a05. Rental by client, VASH subsidy | b. With children and adults</t>
  </si>
  <si>
    <t>Q24 | a05. Rental by client, VASH subsidy | c. With only children</t>
  </si>
  <si>
    <t>Q24 | a05. Rental by client, VASH subsidy | d. Unknown household type</t>
  </si>
  <si>
    <t>Q24 | a06. Rental by client, with GPD TIP housing subsidy | Total</t>
  </si>
  <si>
    <t>Q24 | a06. Rental by client, with GPD TIP housing subsidy | a. Without children</t>
  </si>
  <si>
    <t>Q24 | a06. Rental by client, with GPD TIP housing subsidy | b. With children and adults</t>
  </si>
  <si>
    <t>Q24 | a06. Rental by client, with GPD TIP housing subsidy | c. With only children</t>
  </si>
  <si>
    <t>Q24 | a06. Rental by client, with GPD TIP housing subsidy | d. Unknown household type</t>
  </si>
  <si>
    <t>Q24 | a07. Rental by client, other ongoing subsidy | Total</t>
  </si>
  <si>
    <t>Q24 | a07. Rental by client, other ongoing subsidy | a. Without children</t>
  </si>
  <si>
    <t>Q24 | a07. Rental by client, other ongoing subsidy | b. With children and adults</t>
  </si>
  <si>
    <t>Q24 | a07. Rental by client, other ongoing subsidy | c. With only children</t>
  </si>
  <si>
    <t>Q24 | a07. Rental by client, other ongoing subsidy | d. Unknown household type</t>
  </si>
  <si>
    <t>Q24 | a08. Permanent housing for homeless persons | Total</t>
  </si>
  <si>
    <t>Q24 | a08. Permanent housing for homeless persons | a. Without children</t>
  </si>
  <si>
    <t>Q24 | a08. Permanent housing for homeless persons | b. With children and adults</t>
  </si>
  <si>
    <t>Q24 | a08. Permanent housing for homeless persons | c. With only children</t>
  </si>
  <si>
    <t>Q24 | a08. Permanent housing for homeless persons | d. Unknown household type</t>
  </si>
  <si>
    <t>Q24 | a09. Staying or living with family, permanent tenure | Total</t>
  </si>
  <si>
    <t>Q24 | a09. Staying or living with family, permanent tenure | a. Without children</t>
  </si>
  <si>
    <t>Q24 | a09. Staying or living with family, permanent tenure | b. With children and adults</t>
  </si>
  <si>
    <t>Q24 | a09. Staying or living with family, permanent tenure | c. With only children</t>
  </si>
  <si>
    <t>Q24 | a09. Staying or living with family, permanent tenure | d. Unknown household type</t>
  </si>
  <si>
    <t>Q24 | a10. Staying or living with friends, permanent tenure | Total</t>
  </si>
  <si>
    <t>Q24 | a10. Staying or living with friends, permanent tenure | a. Without children</t>
  </si>
  <si>
    <t>Q24 | a10. Staying or living with friends, permanent tenure | b. With children and adults</t>
  </si>
  <si>
    <t>Q24 | a10. Staying or living with friends, permanent tenure | c. With only children</t>
  </si>
  <si>
    <t>Q24 | a10. Staying or living with friends, permanent tenure | d. Unknown household type</t>
  </si>
  <si>
    <t>Q24 | az. Total | Total</t>
  </si>
  <si>
    <t>Q24 | az. Total | a. Without children</t>
  </si>
  <si>
    <t>Q24 | az. Total | b. With children and adults</t>
  </si>
  <si>
    <t>Q24 | az. Total | c. With only children</t>
  </si>
  <si>
    <t>Q24 | az. Total | d. Unknown household type</t>
  </si>
  <si>
    <t>Q24 | b. Temporary destinations | Total</t>
  </si>
  <si>
    <t>Q24 | b. Temporary destinations | a. Without children</t>
  </si>
  <si>
    <t>Q24 | b. Temporary destinations | b. With children and adults</t>
  </si>
  <si>
    <t>Q24 | b. Temporary destinations | c. With only children</t>
  </si>
  <si>
    <t>Q24 | b. Temporary destinations | d. Unknown household type</t>
  </si>
  <si>
    <t>Q24 | b1. Emergency shelter | Total</t>
  </si>
  <si>
    <t>Q24 | b1. Emergency shelter | a. Without children</t>
  </si>
  <si>
    <t>Q24 | b1. Emergency shelter | b. With children and adults</t>
  </si>
  <si>
    <t>Q24 | b1. Emergency shelter | c. With only children</t>
  </si>
  <si>
    <t>Q24 | b1. Emergency shelter | d. Unknown household type</t>
  </si>
  <si>
    <t>Q24 | b2. Moved from one HOPWA  funded project to HOPWA TH | Total</t>
  </si>
  <si>
    <t>Q24 | b2. Moved from one HOPWA  funded project to HOPWA TH | a. Without children</t>
  </si>
  <si>
    <t>Q24 | b2. Moved from one HOPWA  funded project to HOPWA TH | b. With children and adults</t>
  </si>
  <si>
    <t>Q24 | b2. Moved from one HOPWA  funded project to HOPWA TH | c. With only children</t>
  </si>
  <si>
    <t>Q24 | b2. Moved from one HOPWA  funded project to HOPWA TH | d. Unknown household type</t>
  </si>
  <si>
    <t>Q24 | b3. Transitional housing for homeless persons | Total</t>
  </si>
  <si>
    <t>Q24 | b3. Transitional housing for homeless persons | a. Without children</t>
  </si>
  <si>
    <t>Q24 | b3. Transitional housing for homeless persons | b. With children and adults</t>
  </si>
  <si>
    <t>Q24 | b3. Transitional housing for homeless persons | c. With only children</t>
  </si>
  <si>
    <t>Q24 | b3. Transitional housing for homeless persons | d. Unknown household type</t>
  </si>
  <si>
    <t>Q24 | b5. Staying with friends, temporary tenure | Total</t>
  </si>
  <si>
    <t>Q24 | b5. Staying with friends, temporary tenure | a. Without children</t>
  </si>
  <si>
    <t>Q24 | b5. Staying with friends, temporary tenure | b. With children and adults</t>
  </si>
  <si>
    <t>Q24 | b5. Staying with friends, temporary tenure | c. With only children</t>
  </si>
  <si>
    <t>Q24 | b5. Staying with friends, temporary tenure | d. Unknown household type</t>
  </si>
  <si>
    <t>Q24 | b6. Place not meant for human habitation | Total</t>
  </si>
  <si>
    <t>Q24 | b6. Place not meant for human habitation | a. Without children</t>
  </si>
  <si>
    <t>Q24 | b6. Place not meant for human habitation | b. With children and adults</t>
  </si>
  <si>
    <t>Q24 | b6. Place not meant for human habitation | c. With only children</t>
  </si>
  <si>
    <t>Q24 | b6. Place not meant for human habitation | d. Unknown household type</t>
  </si>
  <si>
    <t>Q24 | b7. Safe Haven | Total</t>
  </si>
  <si>
    <t>Q24 | b7. Safe Haven | a. Without children</t>
  </si>
  <si>
    <t>Q24 | b7. Safe Haven | b. With children and adults</t>
  </si>
  <si>
    <t>Q24 | b7. Safe Haven | c. With only children</t>
  </si>
  <si>
    <t>Q24 | b7. Safe Haven | d. Unknown household type</t>
  </si>
  <si>
    <t>Q24 | b8. Hotel or motel paid by client | Total</t>
  </si>
  <si>
    <t>Q24 | b8. Hotel or motel paid by client | a. Without children</t>
  </si>
  <si>
    <t>Q24 | b8. Hotel or motel paid by client | b. With children and adults</t>
  </si>
  <si>
    <t>Q24 | b8. Hotel or motel paid by client | c. With only children</t>
  </si>
  <si>
    <t>Q24 | b8. Hotel or motel paid by client | d. Unknown household type</t>
  </si>
  <si>
    <t>Q24 | bz. Total | Total</t>
  </si>
  <si>
    <t>Q24 | bz. Total | a. Without children</t>
  </si>
  <si>
    <t>Q24 | bz. Total | b. With children and adults</t>
  </si>
  <si>
    <t>Q24 | bz. Total | c. With only children</t>
  </si>
  <si>
    <t>Q24 | bz. Total | d. Unknown household type</t>
  </si>
  <si>
    <t>Q24 | c. Institutional settings | Total</t>
  </si>
  <si>
    <t>Q24 | c. Institutional settings | a. Without children</t>
  </si>
  <si>
    <t>Q24 | c. Institutional settings | b. With children and adults</t>
  </si>
  <si>
    <t>Q24 | c. Institutional settings | c. With only children</t>
  </si>
  <si>
    <t>Q24 | c. Institutional settings | d. Unknown household type</t>
  </si>
  <si>
    <t>Q24 | c1. Foster care home or group foster care home | Total</t>
  </si>
  <si>
    <t>Q24 | c1. Foster care home or group foster care home | a. Without children</t>
  </si>
  <si>
    <t>Q24 | c1. Foster care home or group foster care home | b. With children and adults</t>
  </si>
  <si>
    <t>Q24 | c1. Foster care home or group foster care home | c. With only children</t>
  </si>
  <si>
    <t>Q24 | c1. Foster care home or group foster care home | d. Unknown household type</t>
  </si>
  <si>
    <t>Q24 | c2. Psychiatric hospital or other psychiatric facility | Total</t>
  </si>
  <si>
    <t>Q24 | c2. Psychiatric hospital or other psychiatric facility | a. Without children</t>
  </si>
  <si>
    <t>Q24 | c2. Psychiatric hospital or other psychiatric facility | b. With children and adults</t>
  </si>
  <si>
    <t>Q24 | c2. Psychiatric hospital or other psychiatric facility | c. With only children</t>
  </si>
  <si>
    <t>Q24 | c2. Psychiatric hospital or other psychiatric facility | d. Unknown household type</t>
  </si>
  <si>
    <t>Q24 | c3. Substance abuse treatment facility or detox center | Total</t>
  </si>
  <si>
    <t>Q24 | c3. Substance abuse treatment facility or detox center | a. Without children</t>
  </si>
  <si>
    <t>Q24 | c3. Substance abuse treatment facility or detox center | b. With children and adults</t>
  </si>
  <si>
    <t>Q24 | c3. Substance abuse treatment facility or detox center | c. With only children</t>
  </si>
  <si>
    <t>Q24 | c3. Substance abuse treatment facility or detox center | d. Unknown household type</t>
  </si>
  <si>
    <t>Q24 | c4. Hospital or other residential non-psychiatric medical facility | Total</t>
  </si>
  <si>
    <t>Q24 | c4. Hospital or other residential non-psychiatric medical facility | a. Without children</t>
  </si>
  <si>
    <t>Q24 | c4. Hospital or other residential non-psychiatric medical facility | b. With children and adults</t>
  </si>
  <si>
    <t>Q24 | c4. Hospital or other residential non-psychiatric medical facility | c. With only children</t>
  </si>
  <si>
    <t>Q24 | c4. Hospital or other residential non-psychiatric medical facility | d. Unknown household type</t>
  </si>
  <si>
    <t>Q24 | c5. Jail, prison or juvenile detention facility | Total</t>
  </si>
  <si>
    <t>Q24 | c5. Jail, prison or juvenile detention facility | a. Without children</t>
  </si>
  <si>
    <t>Q24 | c5. Jail, prison or juvenile detention facility | b. With children and adults</t>
  </si>
  <si>
    <t>Q24 | c5. Jail, prison or juvenile detention facility | c. With only children</t>
  </si>
  <si>
    <t>Q24 | c5. Jail, prison or juvenile detention facility | d. Unknown household type</t>
  </si>
  <si>
    <t>Q24 | c6. Long term care facility or nursing home | Total</t>
  </si>
  <si>
    <t>Q24 | c6. Long term care facility or nursing home | a. Without children</t>
  </si>
  <si>
    <t>Q24 | c6. Long term care facility or nursing home | b. With children and adults</t>
  </si>
  <si>
    <t>Q24 | c6. Long term care facility or nursing home | c. With only children</t>
  </si>
  <si>
    <t>Q24 | c6. Long term care facility or nursing home | d. Unknown household type</t>
  </si>
  <si>
    <t>Q24 | cz. Total | Total</t>
  </si>
  <si>
    <t>Q24 | cz. Total | a. Without children</t>
  </si>
  <si>
    <t>Q24 | cz. Total | b. With children and adults</t>
  </si>
  <si>
    <t>Q24 | cz. Total | c. With only children</t>
  </si>
  <si>
    <t>Q24 | cz. Total | d. Unknown household type</t>
  </si>
  <si>
    <t>Q24 | d. Other destinations | Total</t>
  </si>
  <si>
    <t>Q24 | d. Other destinations | a. Without children</t>
  </si>
  <si>
    <t>Q24 | d. Other destinations | b. With children and adults</t>
  </si>
  <si>
    <t>Q24 | d. Other destinations | c. With only children</t>
  </si>
  <si>
    <t>Q24 | d. Other destinations | d. Unknown household type</t>
  </si>
  <si>
    <t>Q24 | d1. Residential project or halfway house with no homeless criteria | Total</t>
  </si>
  <si>
    <t>Q24 | d1. Residential project or halfway house with no homeless criteria | a. Without children</t>
  </si>
  <si>
    <t>Q24 | d1. Residential project or halfway house with no homeless criteria | b. With children and adults</t>
  </si>
  <si>
    <t>Q24 | d1. Residential project or halfway house with no homeless criteria | c. With only children</t>
  </si>
  <si>
    <t>Q24 | d1. Residential project or halfway house with no homeless criteria | d. Unknown household type</t>
  </si>
  <si>
    <t>Q24 | d2. Deceased | Total</t>
  </si>
  <si>
    <t>Q24 | d2. Deceased | a. Without children</t>
  </si>
  <si>
    <t>Q24 | d2. Deceased | b. With children and adults</t>
  </si>
  <si>
    <t>Q24 | d2. Deceased | c. With only children</t>
  </si>
  <si>
    <t>Q24 | d2. Deceased | d. Unknown household type</t>
  </si>
  <si>
    <t>Q24 | d3. Other | Total</t>
  </si>
  <si>
    <t>Q24 | d3. Other | a. Without children</t>
  </si>
  <si>
    <t>Q24 | d3. Other | b. With children and adults</t>
  </si>
  <si>
    <t>Q24 | d3. Other | c. With only children</t>
  </si>
  <si>
    <t>Q24 | d3. Other | d. Unknown household type</t>
  </si>
  <si>
    <t>Q24 | d4. Don't know / refused | Total</t>
  </si>
  <si>
    <t>Q24 | d4. Don't know / refused | a. Without children</t>
  </si>
  <si>
    <t>Q24 | d4. Don't know / refused | b. With children and adults</t>
  </si>
  <si>
    <t>Q24 | d4. Don't know / refused | c. With only children</t>
  </si>
  <si>
    <t>Q24 | d4. Don't know / refused | d. Unknown household type</t>
  </si>
  <si>
    <t>Q24 | d5. Information missing | Total</t>
  </si>
  <si>
    <t>Q24 | d5. Information missing | a. Without children</t>
  </si>
  <si>
    <t>Q24 | d5. Information missing | b. With children and adults</t>
  </si>
  <si>
    <t>Q24 | d5. Information missing | c. With only children</t>
  </si>
  <si>
    <t>Q24 | d5. Information missing | d. Unknown household type</t>
  </si>
  <si>
    <t>Q24 | dz. Total | Total</t>
  </si>
  <si>
    <t>Q24 | dz. Total | a. Without children</t>
  </si>
  <si>
    <t>Q24 | dz. Total | b. With children and adults</t>
  </si>
  <si>
    <t>Q24 | dz. Total | c. With only children</t>
  </si>
  <si>
    <t>Q24 | dz. Total | d. Unknown household type</t>
  </si>
  <si>
    <t>Q24 | e. Total | Total</t>
  </si>
  <si>
    <t>Q24 | e. Total | a. Without children</t>
  </si>
  <si>
    <t>Q24 | e. Total | b. With children and adults</t>
  </si>
  <si>
    <t>Q24 | e. Total | c. With only children</t>
  </si>
  <si>
    <t>Q24 | e. Total | d. Unknown household type</t>
  </si>
  <si>
    <t>Q25a | a. Chronically homeless veteran | Total</t>
  </si>
  <si>
    <t>Q25a | a. Chronically homeless veteran | a. Without children</t>
  </si>
  <si>
    <t>Q25a | a. Chronically homeless veteran | b. With children and adults</t>
  </si>
  <si>
    <t>Q25a | a. Chronically homeless veteran | c. Unknown household type</t>
  </si>
  <si>
    <t>Q25a | b. Non-chronically homeless veteran | Total</t>
  </si>
  <si>
    <t>Q25a | b. Non-chronically homeless veteran | a. Without children</t>
  </si>
  <si>
    <t>Q25a | b. Non-chronically homeless veteran | b. With children and adults</t>
  </si>
  <si>
    <t>Q25a | b. Non-chronically homeless veteran | c. Unknown household type</t>
  </si>
  <si>
    <t>Q25a | c. Not a veteran | Total</t>
  </si>
  <si>
    <t>Q25a | c. Not a veteran | a. Without children</t>
  </si>
  <si>
    <t>Q25a | c. Not a veteran | b. With children and adults</t>
  </si>
  <si>
    <t>Q25a | c. Not a veteran | c. Unknown household type</t>
  </si>
  <si>
    <t>Q25a | d. Client Doesn't Know/Client Refused | Total</t>
  </si>
  <si>
    <t>Q25a | d. Client Doesn't Know/Client Refused | a. Without children</t>
  </si>
  <si>
    <t>Q25a | d. Client Doesn't Know/Client Refused | b. With children and adults</t>
  </si>
  <si>
    <t>Q25a | d. Client Doesn't Know/Client Refused | c. Unknown household type</t>
  </si>
  <si>
    <t>Q25a | e. Data Not Collected | Total</t>
  </si>
  <si>
    <t>Q25a | e. Data Not Collected | a. Without children</t>
  </si>
  <si>
    <t>Q25a | e. Data Not Collected | b. With children and adults</t>
  </si>
  <si>
    <t>Q25a | e. Data Not Collected | c. Unknown household type</t>
  </si>
  <si>
    <t>Q25a | f. Total | Total</t>
  </si>
  <si>
    <t>Q25a | f. Total | a. Without children</t>
  </si>
  <si>
    <t>Q25a | f. Total | b. With children and adults</t>
  </si>
  <si>
    <t>Q25a | f. Total | c. Unknown household type</t>
  </si>
  <si>
    <t>Q26b | a. Chronically homeless | Total</t>
  </si>
  <si>
    <t>Q26b | a. Chronically homeless | a. Without children</t>
  </si>
  <si>
    <t>Q26b | a. Chronically homeless | b. With children and adults</t>
  </si>
  <si>
    <t>Q26b | a. Chronically homeless | c. With only children</t>
  </si>
  <si>
    <t>Q26b | a. Chronically homeless | d. Unknown household type</t>
  </si>
  <si>
    <t>Q26b | b. Not chronically homeless | Total</t>
  </si>
  <si>
    <t>Q26b | b. Not chronically homeless | a. Without children</t>
  </si>
  <si>
    <t>Q26b | b. Not chronically homeless | b. With children and adults</t>
  </si>
  <si>
    <t>Q26b | b. Not chronically homeless | c. With only children</t>
  </si>
  <si>
    <t>Q26b | b. Not chronically homeless | d. Unknown household type</t>
  </si>
  <si>
    <t>Q26b | d. Data Not Collected | Total</t>
  </si>
  <si>
    <t>Q26b | d. Data Not Collected | a. Without children</t>
  </si>
  <si>
    <t>Q26b | d. Data Not Collected | b. With children and adults</t>
  </si>
  <si>
    <t>Q26b | d. Data Not Collected | c. With only children</t>
  </si>
  <si>
    <t>Q26b | d. Data Not Collected | d. Unknown household type</t>
  </si>
  <si>
    <t>Q26b | e. Total | Total</t>
  </si>
  <si>
    <t>Q26b | e. Total | a. Without children</t>
  </si>
  <si>
    <t>Q26b | e. Total | b. With children and adults</t>
  </si>
  <si>
    <t>Q26b | e. Total | c. With only children</t>
  </si>
  <si>
    <t>Q26b | e. Total | d. Unknown household type</t>
  </si>
  <si>
    <t>Project Type</t>
  </si>
  <si>
    <t>a. Total number of persons served</t>
  </si>
  <si>
    <t>Q7a. Households Served</t>
  </si>
  <si>
    <t>Q6a | b. Number of adults (age 18 or over)</t>
  </si>
  <si>
    <t>Q6a | c. Number of children (under age 18)</t>
  </si>
  <si>
    <t>Q6a | d. Number of persons with unknown age</t>
  </si>
  <si>
    <t>Q6a | e. Total number of leavers</t>
  </si>
  <si>
    <t>Q6a | f. Total number of adult leavers</t>
  </si>
  <si>
    <t>Q6a | g. Total number of stayers</t>
  </si>
  <si>
    <t>Q6a | h. Total number of adult stayers</t>
  </si>
  <si>
    <t>Q6a | i. Number of veterans</t>
  </si>
  <si>
    <t>Q6a | j. Number of chronically homeless persons</t>
  </si>
  <si>
    <t>Q6a | k. Number of adult heads of household</t>
  </si>
  <si>
    <t>PROJECTS</t>
  </si>
  <si>
    <t>ID</t>
  </si>
  <si>
    <t>xFilter</t>
  </si>
  <si>
    <t>Row Labels</t>
  </si>
  <si>
    <t>Grand Total</t>
  </si>
  <si>
    <t>Duplicate</t>
  </si>
  <si>
    <t>Q6a | a. Total number of persons served</t>
  </si>
  <si>
    <t>ESG CAPER Report Validations</t>
  </si>
  <si>
    <t>Question</t>
  </si>
  <si>
    <t>Element</t>
  </si>
  <si>
    <t>Details column</t>
  </si>
  <si>
    <t>Q6a Validation 
column</t>
  </si>
  <si>
    <t>Total/total</t>
  </si>
  <si>
    <t>AZ</t>
  </si>
  <si>
    <t>Total/Total</t>
  </si>
  <si>
    <t>Total/Subtotal</t>
  </si>
  <si>
    <t>BA</t>
  </si>
  <si>
    <t>BB</t>
  </si>
  <si>
    <t>BC</t>
  </si>
  <si>
    <t>BD</t>
  </si>
  <si>
    <t>BK</t>
  </si>
  <si>
    <t>BJ</t>
  </si>
  <si>
    <t>Chained Process is ON</t>
  </si>
  <si>
    <t>Q23 | b4. Staying with family, temporary tenure | Total</t>
  </si>
  <si>
    <t>Q23 | b4. Staying with family, temporary tenure | a. Without children</t>
  </si>
  <si>
    <t>Q23 | b4. Staying with family, temporary tenure | b. With children and adults</t>
  </si>
  <si>
    <t>Q23 | b4. Staying with family, temporary tenure | c. With only children</t>
  </si>
  <si>
    <t>Q23 | b4. Staying with family, temporary tenure | d. Unknown household type</t>
  </si>
  <si>
    <t>Q23a | b4. Staying with family, temporary tenure | Total</t>
  </si>
  <si>
    <t>Q23a | b4. Staying with family, temporary tenure | a. Without children</t>
  </si>
  <si>
    <t>Q23a | b4. Staying with family, temporary tenure | b. With children and adults</t>
  </si>
  <si>
    <t>Q23a | b4. Staying with family, temporary tenure | c. With only children</t>
  </si>
  <si>
    <t>Q23a | b4. Staying with family, temporary tenure | d. Unknown household type</t>
  </si>
  <si>
    <t>Q24 | b4. Staying with family, temporary tenure | Total</t>
  </si>
  <si>
    <t>Q24 | b4. Staying with family, temporary tenure | a. Without children</t>
  </si>
  <si>
    <t>Q24 | b4. Staying with family, temporary tenure | b. With children and adults</t>
  </si>
  <si>
    <t>Q24 | b4. Staying with family, temporary tenure | c. With only children</t>
  </si>
  <si>
    <t>Q24 | b4. Staying with family, temporary tenure | d. Unknown household type</t>
  </si>
  <si>
    <t>b4. Staying with family, temporary tenure</t>
  </si>
  <si>
    <t>Q15 | c06. Rental by client, with GPD TIP subsidy | Total</t>
  </si>
  <si>
    <t>Q15 | c06. Rental by client, with GPD TIP subsidy | a. Without children</t>
  </si>
  <si>
    <t>Q15 | c06. Rental by client, with GPD TIP subsidy | b. With children and adults</t>
  </si>
  <si>
    <t>Q15 | c06. Rental by client, with GPD TIP subsidy | c. With only children</t>
  </si>
  <si>
    <t>Q15 | c06. Rental by client, with GPD TIP subsidy | d. Unknown household type</t>
  </si>
  <si>
    <t>c06. Rental by client, with GPD TIP subsidy</t>
  </si>
  <si>
    <t>Q15 | c09. Staying or living with friend(s) | Total</t>
  </si>
  <si>
    <t>Q15 | c09. Staying or living with friend(s) | a. Without children</t>
  </si>
  <si>
    <t>Q15 | c09. Staying or living with friend(s) | b. With children and adults</t>
  </si>
  <si>
    <t>Q15 | c09. Staying or living with friend(s) | c. With only children</t>
  </si>
  <si>
    <t>Q15 | c09. Staying or living with friend(s) | d. Unknown household type</t>
  </si>
  <si>
    <t>Q15 | c10. Staying or living with family | Total</t>
  </si>
  <si>
    <t>Q15 | c10. Staying or living with family | a. Without children</t>
  </si>
  <si>
    <t>Q15 | c10. Staying or living with family | b. With children and adults</t>
  </si>
  <si>
    <t>Q15 | c10. Staying or living with family | c. With only children</t>
  </si>
  <si>
    <t>Q15 | c10. Staying or living with family | d. Unknown household type</t>
  </si>
  <si>
    <t>Q15 | c11. Other | Total</t>
  </si>
  <si>
    <t>Q15 | c11. Other | a. Without children</t>
  </si>
  <si>
    <t>Q15 | c11. Other | b. With children and adults</t>
  </si>
  <si>
    <t>Q15 | c11. Other | d. Unknown household type</t>
  </si>
  <si>
    <t>Q15 | c12. Don't know / refused | Total</t>
  </si>
  <si>
    <t>Q15 | c12. Don't know / refused | a. Without children</t>
  </si>
  <si>
    <t>Q15 | c12. Don't know / refused | b. With children and adults</t>
  </si>
  <si>
    <t>Q15 | c12. Don't know / refused | c. With only children</t>
  </si>
  <si>
    <t>Q15 | c12. Don't know / refused | d. Unknown household type</t>
  </si>
  <si>
    <t>Q15 | c13. Information missing | Total</t>
  </si>
  <si>
    <t>Q15 | c13. Information missing | a. Without children</t>
  </si>
  <si>
    <t>Q15 | c13. Information missing | b. With children and adults</t>
  </si>
  <si>
    <t>Q15 | c13. Information missing | c. With only children</t>
  </si>
  <si>
    <t>Q15 | c13. Information missing | d. Unknown household type</t>
  </si>
  <si>
    <t>Q15 | c11. Other | c. With only children</t>
  </si>
  <si>
    <t>c09. Staying or living with friend(s)</t>
  </si>
  <si>
    <t>c10. Staying or living with family</t>
  </si>
  <si>
    <t>c11. Other</t>
  </si>
  <si>
    <t>c12. Don't know / refused</t>
  </si>
  <si>
    <t>c13. Information missing</t>
  </si>
  <si>
    <t>Q6a | l. Number of child heads of household</t>
  </si>
  <si>
    <t>Q6a | m. Number of unaccompanied youth under age 25</t>
  </si>
  <si>
    <t>Q6a | n. Number of parenting youth under age 25 with children</t>
  </si>
  <si>
    <t>l. Number of child heads of household</t>
  </si>
  <si>
    <t>m. Number of unaccompanied youth under age 25</t>
  </si>
  <si>
    <t>n. Number of parenting youth under age 25 with children</t>
  </si>
  <si>
    <t>Q10d | c. Transgender Male to Female | Total</t>
  </si>
  <si>
    <t>Q10d | c. Transgender Male to Female | a. Under age 18</t>
  </si>
  <si>
    <t>Q10d | c. Transgender Male to Female | b. Age 18-24</t>
  </si>
  <si>
    <t>Q10d | c. Transgender Male to Female | c. Age 25-61</t>
  </si>
  <si>
    <t>Q10d | c. Transgender Male to Female | d. Age 62 and over</t>
  </si>
  <si>
    <t>Q10d | c. Transgender Male to Female | e. Client Doesn't Know/Client Refused</t>
  </si>
  <si>
    <t>Q10d | c. Transgender Male to Female | f. Data not collected</t>
  </si>
  <si>
    <t>Q10d | d. Transgender female to male | Total</t>
  </si>
  <si>
    <t>Q10d | d. Transgender female to male | a. Under age 18</t>
  </si>
  <si>
    <t>Q10d | d. Transgender female to male | b. Age 18-24</t>
  </si>
  <si>
    <t>Q10d | d. Transgender female to male | c. Age 25-61</t>
  </si>
  <si>
    <t>Q10d | d. Transgender female to male | d. Age 62 and over</t>
  </si>
  <si>
    <t>Q10d | d. Transgender female to male | e. Client Doesn't Know/Client Refused</t>
  </si>
  <si>
    <t>Q10d | d. Transgender female to male | f. Data not collected</t>
  </si>
  <si>
    <t>Q10d | e. Other | Total</t>
  </si>
  <si>
    <t>Q10d | e. Other | a. Under age 18</t>
  </si>
  <si>
    <t>Q10d | e. Other | b. Age 18-24</t>
  </si>
  <si>
    <t>Q10d | e. Other | c. Age 25-61</t>
  </si>
  <si>
    <t>Q10d | e. Other | d. Age 62 and over</t>
  </si>
  <si>
    <t>Q10d | e. Other | e. Client Doesn't Know/Client Refused</t>
  </si>
  <si>
    <t>Q10d | e. Other | f. Data not collected</t>
  </si>
  <si>
    <t>Q10d | f. Don't know / refused | Total</t>
  </si>
  <si>
    <t>Q10d | f. Don't know / refused | a. Under age 18</t>
  </si>
  <si>
    <t>Q10d | f. Don't know / refused | b. Age 18-24</t>
  </si>
  <si>
    <t>Q10d | f. Don't know / refused | c. Age 25-61</t>
  </si>
  <si>
    <t>Q10d | f. Don't know / refused | d. Age 62 and over</t>
  </si>
  <si>
    <t>Q10d | f. Don't know / refused | e. Client Doesn't Know/Client Refused</t>
  </si>
  <si>
    <t>Q10d | f. Don't know / refused | f. Data not collected</t>
  </si>
  <si>
    <t>Q10d | g. Information missing | Total</t>
  </si>
  <si>
    <t>Q10d | g. Information missing | a. Under age 18</t>
  </si>
  <si>
    <t>Q10d | g. Information missing | b. Age 18-24</t>
  </si>
  <si>
    <t>Q10d | g. Information missing | c. Age 25-61</t>
  </si>
  <si>
    <t>Q10d | g. Information missing | d. Age 62 and over</t>
  </si>
  <si>
    <t>Q10d | g. Information missing | e. Client Doesn't Know/Client Refused</t>
  </si>
  <si>
    <t>Q10d | g. Information missing | f. Data not collected</t>
  </si>
  <si>
    <t>Q10d | h. Total | Total</t>
  </si>
  <si>
    <t>Q10d | h. Total | a. Under age 18</t>
  </si>
  <si>
    <t>Q10d | h. Total | b. Age 18-24</t>
  </si>
  <si>
    <t>Q10d | h. Total | c. Age 25-61</t>
  </si>
  <si>
    <t>Q10d | h. Total | d. Age 62 and over</t>
  </si>
  <si>
    <t>Q10d | h. Total | e. Client Doesn't Know/Client Refused</t>
  </si>
  <si>
    <t>Q10d | h. Total | f. Data not collected</t>
  </si>
  <si>
    <t>h. Total</t>
  </si>
  <si>
    <t>Q22a2 | i. 366 to 730 days (1-2 yrs.) | Total</t>
  </si>
  <si>
    <t>Q22a2 | i. 366 to 730 days (1-2 yrs.) | Leavers</t>
  </si>
  <si>
    <t>Q22a2 | i. 366 to 730 days (1-2 yrs.) | Stayers</t>
  </si>
  <si>
    <t>Q22a2 | j. 731 to 1095 days (2-3 yrs.) | Total</t>
  </si>
  <si>
    <t>Q22a2 | j. 731 to 1095 days (2-3 yrs.) | Leavers</t>
  </si>
  <si>
    <t>Q22a2 | j. 731 to 1095 days (2-3 yrs.) | Stayers</t>
  </si>
  <si>
    <t>Q22a2 | k. 1096 to 1460 days (3-4 yrs.) | Total</t>
  </si>
  <si>
    <t>Q22a2 | k. 1096 to 1460 days (3-4 yrs.) | Leavers</t>
  </si>
  <si>
    <t>Q22a2 | k. 1096 to 1460 days (3-4 yrs.) | Stayers</t>
  </si>
  <si>
    <t>Q22a2 | l. 1461 to 1825 days (4-5 yrs.) | Total</t>
  </si>
  <si>
    <t>Q22a2 | l. 1461 to 1825 days (4-5 yrs.) | Leavers</t>
  </si>
  <si>
    <t>Q22a2 | l. 1461 to 1825 days (4-5 yrs.) | Stayers</t>
  </si>
  <si>
    <t>Q22c | h. 366 to 730 days (1-2 yrs.) | Total</t>
  </si>
  <si>
    <t>Q22c | h. 366 to 730 days (1-2 yrs.) | a. Without children</t>
  </si>
  <si>
    <t>Q22c | h. 366 to 730 days (1-2 yrs.) | b. With children and adults</t>
  </si>
  <si>
    <t>Q22c | h. 366 to 730 days (1-2 yrs.) | c. With only children</t>
  </si>
  <si>
    <t>Q22c | h. 366 to 730 days (1-2 yrs.) | d. Unknown household type</t>
  </si>
  <si>
    <t>Q22d | i. 366 to 730 days (1-2 yrs.) | Total</t>
  </si>
  <si>
    <t>Q22d | i. 366 to 730 days (1-2 yrs.) | a. Without children</t>
  </si>
  <si>
    <t>Q22d | i. 366 to 730 days (1-2 yrs.) | b. With children and adults</t>
  </si>
  <si>
    <t>Q22d | i. 366 to 730 days (1-2 yrs.) | c. With only children</t>
  </si>
  <si>
    <t>Q22d | i. 366 to 730 days (1-2 yrs.) | d. Unknown household type</t>
  </si>
  <si>
    <t>Q22d | j. 731 to 1095 days (2-3 yrs.) | Total</t>
  </si>
  <si>
    <t>Q22d | j. 731 to 1095 days (2-3 yrs.) | a. Without children</t>
  </si>
  <si>
    <t>Q22d | j. 731 to 1095 days (2-3 yrs.) | b. With children and adults</t>
  </si>
  <si>
    <t>Q22d | j. 731 to 1095 days (2-3 yrs.) | c. With only children</t>
  </si>
  <si>
    <t>Q22d | j. 731 to 1095 days (2-3 yrs.) | d. Unknown household type</t>
  </si>
  <si>
    <t>Q22d | k. 1096 to 1460 days (3-4 yrs.) | Total</t>
  </si>
  <si>
    <t>Q22d | k. 1096 to 1460 days (3-4 yrs.) | a. Without children</t>
  </si>
  <si>
    <t>Q22d | k. 1096 to 1460 days (3-4 yrs.) | b. With children and adults</t>
  </si>
  <si>
    <t>Q22d | k. 1096 to 1460 days (3-4 yrs.) | c. With only children</t>
  </si>
  <si>
    <t>Q22d | k. 1096 to 1460 days (3-4 yrs.) | d. Unknown household type</t>
  </si>
  <si>
    <t>Q22d | l. 1461 to 1825 days (4-5 yrs.) | Total</t>
  </si>
  <si>
    <t>Q22d | l. 1461 to 1825 days (4-5 yrs.) | a. Without children</t>
  </si>
  <si>
    <t>Q22d | l. 1461 to 1825 days (4-5 yrs.) | b. With children and adults</t>
  </si>
  <si>
    <t>Q22d | l. 1461 to 1825 days (4-5 yrs.) | c. With only children</t>
  </si>
  <si>
    <t>Q22d | l. 1461 to 1825 days (4-5 yrs.) | d. Unknown household type</t>
  </si>
  <si>
    <t>Q23b | m. Client doesn't know/Client refused | b. With children and adults</t>
  </si>
  <si>
    <t>Q23b | m. Client doesn't know/Client refused | a. Without children</t>
  </si>
  <si>
    <t>Q23b | m. Client doesn't know/Client refused | Total</t>
  </si>
  <si>
    <t>Q26b | c. Client Doesn't Know/Client Refused | d. Unknown household type</t>
  </si>
  <si>
    <t>Q26b | c. Client Doesn't Know/Client Refused | c. With only children</t>
  </si>
  <si>
    <t>Q26b | c. Client Doesn't Know/Client Refused | b. With children and adults</t>
  </si>
  <si>
    <t>Q26b | c. Client Doesn't Know/Client Refused | a. Without children</t>
  </si>
  <si>
    <t>Q26b | c. Client Doesn't Know/Client Refused | Total</t>
  </si>
  <si>
    <t>Q23b | m. Client doesn't know/Client refused | c. With only children</t>
  </si>
  <si>
    <t>Q23b | m. Client doesn't know/Client refused | d. Unknown household type</t>
  </si>
  <si>
    <t>i. 366 to 730 days (1-2 yrs.)</t>
  </si>
  <si>
    <t>j. 731 to 1095 days (2-3 yrs.)</t>
  </si>
  <si>
    <t>k. 1096 to 1460 days (3-4 yrs.)</t>
  </si>
  <si>
    <t>l. 1461 to 1825 days (4-5 yrs.)</t>
  </si>
  <si>
    <t>h. 366 to 730 days (1-2 yrs.)</t>
  </si>
  <si>
    <t>m. Client doesn't know/Client refused</t>
  </si>
  <si>
    <t>c. Client Doesn't Know/Client Refused</t>
  </si>
  <si>
    <t>CH</t>
  </si>
  <si>
    <t>CM</t>
  </si>
  <si>
    <t>GQ</t>
  </si>
  <si>
    <t>HW</t>
  </si>
  <si>
    <t>JJ</t>
  </si>
  <si>
    <t>LL</t>
  </si>
  <si>
    <t>NV</t>
  </si>
  <si>
    <t>PO</t>
  </si>
  <si>
    <t>QN</t>
  </si>
  <si>
    <t>WC</t>
  </si>
  <si>
    <t>ADA</t>
  </si>
  <si>
    <t>Contact Name:</t>
  </si>
  <si>
    <t>Reporting Jurisdiction:</t>
  </si>
  <si>
    <t>Program Year Start Date:</t>
  </si>
  <si>
    <t>Program Year End Date:</t>
  </si>
  <si>
    <t>Last folder you selected with ESG CAPER 2015 CSV data:</t>
  </si>
  <si>
    <t>Verification that the email address looks like an email address.</t>
  </si>
  <si>
    <r>
      <t xml:space="preserve">Phone Number:  </t>
    </r>
    <r>
      <rPr>
        <b/>
        <sz val="11"/>
        <color theme="0" tint="-0.34998626667073579"/>
        <rFont val="Calibri"/>
        <family val="2"/>
        <scheme val="minor"/>
      </rPr>
      <t>(format as 123-456-7890)</t>
    </r>
  </si>
  <si>
    <r>
      <t xml:space="preserve">Fax Number:  </t>
    </r>
    <r>
      <rPr>
        <b/>
        <sz val="11"/>
        <color theme="0" tint="-0.34998626667073579"/>
        <rFont val="Calibri"/>
        <family val="2"/>
        <scheme val="minor"/>
      </rPr>
      <t>(format as 123-456-7890)</t>
    </r>
  </si>
  <si>
    <r>
      <t xml:space="preserve">Zip Code:  </t>
    </r>
    <r>
      <rPr>
        <b/>
        <sz val="11"/>
        <color theme="0" tint="-0.34998626667073579"/>
        <rFont val="Calibri"/>
        <family val="2"/>
        <scheme val="minor"/>
      </rPr>
      <t>(format as 12345 or 12345-1234)</t>
    </r>
  </si>
  <si>
    <t>Required</t>
  </si>
  <si>
    <t>Answered</t>
  </si>
  <si>
    <t>Yes</t>
  </si>
  <si>
    <t>Validation error</t>
  </si>
  <si>
    <t>Value</t>
  </si>
  <si>
    <t>Value compared with</t>
  </si>
  <si>
    <t>Add in this as well</t>
  </si>
  <si>
    <t>Location of value</t>
  </si>
  <si>
    <t>Location of additional value</t>
  </si>
  <si>
    <t>Maybe</t>
  </si>
  <si>
    <t>(scroll right for column totals)</t>
  </si>
  <si>
    <t>stop</t>
  </si>
  <si>
    <t>No</t>
  </si>
  <si>
    <t>ES-EE</t>
  </si>
  <si>
    <t>Q10a.csv</t>
  </si>
  <si>
    <t>Q10b.csv</t>
  </si>
  <si>
    <t>Q10c.csv</t>
  </si>
  <si>
    <t>Q10d.csv</t>
  </si>
  <si>
    <t>Q11.csv</t>
  </si>
  <si>
    <t>Q12a.csv</t>
  </si>
  <si>
    <t>Q12b.csv</t>
  </si>
  <si>
    <t>Q13a1.csv</t>
  </si>
  <si>
    <t>Q13b1.csv</t>
  </si>
  <si>
    <t>Q13c1.csv</t>
  </si>
  <si>
    <t>Q14a.csv</t>
  </si>
  <si>
    <t>Q14b.csv</t>
  </si>
  <si>
    <t>Q15.csv</t>
  </si>
  <si>
    <t>Q20a.csv</t>
  </si>
  <si>
    <t>Q21.csv</t>
  </si>
  <si>
    <t>Q22a2.csv</t>
  </si>
  <si>
    <t>Q22c.csv</t>
  </si>
  <si>
    <t>Q22d.csv</t>
  </si>
  <si>
    <t>Q23.csv</t>
  </si>
  <si>
    <t>Q23a.csv</t>
  </si>
  <si>
    <t>Q23b.csv</t>
  </si>
  <si>
    <t>Q24.csv</t>
  </si>
  <si>
    <t>Q25a.csv</t>
  </si>
  <si>
    <t>Q26b.csv</t>
  </si>
  <si>
    <t>Q4a.csv</t>
  </si>
  <si>
    <t>Q5a.csv</t>
  </si>
  <si>
    <t>Q6a.csv</t>
  </si>
  <si>
    <t>Q6b.csv</t>
  </si>
  <si>
    <t>Q7a.csv</t>
  </si>
  <si>
    <t>Q7b.csv</t>
  </si>
  <si>
    <t>Q9a.csv</t>
  </si>
  <si>
    <t>Q9b.csv</t>
  </si>
  <si>
    <t>Limit to project types (leave blank for no restriction)</t>
  </si>
  <si>
    <t>Notes</t>
  </si>
  <si>
    <t>eCART [ESG CAPER Annual Reporting Tool]</t>
  </si>
  <si>
    <t>j. Client became homeless-moving to a shelter or other place unfit for human habitation</t>
  </si>
  <si>
    <t>Q23b | j. Client became homeless-moving to a shelter or other place unfit for human habitation | Total</t>
  </si>
  <si>
    <t>Q23b | j. Client became homeless-moving to a shelter or other place unfit for human habitation | a. Without children</t>
  </si>
  <si>
    <t>Q23b | j. Client became homeless-moving to a shelter or other place unfit for human habitation | b. With children and adults</t>
  </si>
  <si>
    <t>Q23b | j. Client became homeless-moving to a shelter or other place unfit for human habitation | c. With only children</t>
  </si>
  <si>
    <t>Q23b | j. Client became homeless-moving to a shelter or other place unfit for human habitation | d. Unknown household type</t>
  </si>
  <si>
    <t>ES-NBN</t>
  </si>
  <si>
    <t>Outreach</t>
  </si>
  <si>
    <t>Organization(s)</t>
  </si>
  <si>
    <t>Project type(s)</t>
  </si>
  <si>
    <t>Project name(s)</t>
  </si>
  <si>
    <t>All project types</t>
  </si>
  <si>
    <t>Severity (disabled)</t>
  </si>
  <si>
    <t>Function</t>
  </si>
  <si>
    <t>equals</t>
  </si>
  <si>
    <t>notlessthan</t>
  </si>
  <si>
    <t>Reported total cannot be less than total of cells indicated in columns D and E.</t>
  </si>
  <si>
    <t>All organizations</t>
  </si>
  <si>
    <t>Filter data shown below and on Report with Filters tab</t>
  </si>
  <si>
    <t>Filters</t>
  </si>
  <si>
    <t>Change filters on Data tab</t>
  </si>
  <si>
    <t>1,2,4,12</t>
  </si>
  <si>
    <t>AHD</t>
  </si>
  <si>
    <t>AIZ</t>
  </si>
  <si>
    <t>ALW</t>
  </si>
  <si>
    <t>BAM</t>
  </si>
  <si>
    <t>BDJ</t>
  </si>
  <si>
    <t>BLQ</t>
  </si>
  <si>
    <t>BMO</t>
  </si>
  <si>
    <t>All project names</t>
  </si>
  <si>
    <t>Date of birth</t>
  </si>
  <si>
    <t xml:space="preserve"> Ethnicity </t>
  </si>
  <si>
    <t xml:space="preserve"> Gender </t>
  </si>
  <si>
    <t xml:space="preserve"> Veteran Status </t>
  </si>
  <si>
    <t xml:space="preserve"> Disabling condition </t>
  </si>
  <si>
    <t xml:space="preserve"> Residence Prior to Entry </t>
  </si>
  <si>
    <t xml:space="preserve"> Relationship to Head of Household </t>
  </si>
  <si>
    <t xml:space="preserve"> Destination </t>
  </si>
  <si>
    <t xml:space="preserve"> Client location for project entry </t>
  </si>
  <si>
    <t xml:space="preserve"> Length of Time on Street, in ES or SH </t>
  </si>
  <si>
    <t xml:space="preserve"> a. Total number of persons served</t>
  </si>
  <si>
    <t xml:space="preserve"> b. Number of adults (age 18 or over)</t>
  </si>
  <si>
    <t xml:space="preserve"> c. Number of children (under age 18)</t>
  </si>
  <si>
    <t xml:space="preserve"> d. Number of persons with unknown age</t>
  </si>
  <si>
    <t xml:space="preserve"> e. Total number of leavers</t>
  </si>
  <si>
    <t xml:space="preserve"> f. Total number of adult leavers</t>
  </si>
  <si>
    <t xml:space="preserve"> g. Total number of stayers</t>
  </si>
  <si>
    <t xml:space="preserve"> h. Total number of adult stayers</t>
  </si>
  <si>
    <t xml:space="preserve"> i. Number of veterans</t>
  </si>
  <si>
    <t xml:space="preserve"> j. Number of chronically homeless persons</t>
  </si>
  <si>
    <t xml:space="preserve"> k. Number of adult heads of household</t>
  </si>
  <si>
    <t xml:space="preserve"> l. Number of child heads of household</t>
  </si>
  <si>
    <t xml:space="preserve"> m. Number of unaccompanied youth under age 25</t>
  </si>
  <si>
    <t xml:space="preserve"> n. Number of parenting youth under age 25 with children</t>
  </si>
  <si>
    <t xml:space="preserve"> a. Adults </t>
  </si>
  <si>
    <t xml:space="preserve"> b. Children </t>
  </si>
  <si>
    <t xml:space="preserve"> c. Don't know / refused </t>
  </si>
  <si>
    <t xml:space="preserve"> d. Information missing </t>
  </si>
  <si>
    <t xml:space="preserve"> e. Total </t>
  </si>
  <si>
    <t xml:space="preserve"> Total households </t>
  </si>
  <si>
    <t xml:space="preserve"> January </t>
  </si>
  <si>
    <t xml:space="preserve"> April </t>
  </si>
  <si>
    <t xml:space="preserve"> July </t>
  </si>
  <si>
    <t xml:space="preserve"> October </t>
  </si>
  <si>
    <t xml:space="preserve"> a1. Contacted once? </t>
  </si>
  <si>
    <t xml:space="preserve"> a2. Contacted 2-5 times? </t>
  </si>
  <si>
    <t xml:space="preserve"> a3. Contacted 6-9 times? </t>
  </si>
  <si>
    <t xml:space="preserve"> a4. Contacted 10 or more times? </t>
  </si>
  <si>
    <t xml:space="preserve"> az. Total persons contacted </t>
  </si>
  <si>
    <t xml:space="preserve"> b1. Engaged after 1 contact? </t>
  </si>
  <si>
    <t xml:space="preserve"> b2. Engaged after 2-5 contacts? </t>
  </si>
  <si>
    <t xml:space="preserve"> b3. Engaged after 6-9 contacts? </t>
  </si>
  <si>
    <t xml:space="preserve"> b4. Engaged after 10 or more contacts? </t>
  </si>
  <si>
    <t xml:space="preserve"> bz. Total persons engaged </t>
  </si>
  <si>
    <t xml:space="preserve"> c. Rate of engagement (%) </t>
  </si>
  <si>
    <t xml:space="preserve"> a. Male </t>
  </si>
  <si>
    <t xml:space="preserve"> b. Female </t>
  </si>
  <si>
    <t xml:space="preserve"> c. Transgender male to female </t>
  </si>
  <si>
    <t xml:space="preserve"> d. Transgender female to male </t>
  </si>
  <si>
    <t xml:space="preserve"> e. Other </t>
  </si>
  <si>
    <t xml:space="preserve"> f. Don't know / refused </t>
  </si>
  <si>
    <t xml:space="preserve"> g. Information missing </t>
  </si>
  <si>
    <t xml:space="preserve"> h. Subtotal </t>
  </si>
  <si>
    <t xml:space="preserve"> c. Transgender Male to Female </t>
  </si>
  <si>
    <t xml:space="preserve"> h. Total </t>
  </si>
  <si>
    <t xml:space="preserve"> a. Under 5 </t>
  </si>
  <si>
    <t xml:space="preserve"> b. 5 - 12 </t>
  </si>
  <si>
    <t xml:space="preserve"> c. 13 - 17 </t>
  </si>
  <si>
    <t xml:space="preserve"> d. 18 - 24 </t>
  </si>
  <si>
    <t xml:space="preserve"> e. 25 - 34 </t>
  </si>
  <si>
    <t xml:space="preserve"> f. 35 - 44 </t>
  </si>
  <si>
    <t xml:space="preserve"> g. 45 - 54 </t>
  </si>
  <si>
    <t xml:space="preserve"> h. 55 - 61 </t>
  </si>
  <si>
    <t xml:space="preserve"> i. 62+ </t>
  </si>
  <si>
    <t xml:space="preserve"> j. Don't know / refused </t>
  </si>
  <si>
    <t xml:space="preserve"> k. Information missing </t>
  </si>
  <si>
    <t xml:space="preserve"> l. Total </t>
  </si>
  <si>
    <t xml:space="preserve"> a. White </t>
  </si>
  <si>
    <t xml:space="preserve"> b. Black or African-American </t>
  </si>
  <si>
    <t xml:space="preserve"> c. Asian </t>
  </si>
  <si>
    <t xml:space="preserve"> d. American Indian or Alaska Native </t>
  </si>
  <si>
    <t xml:space="preserve"> e. Native Hawaiian or Other Pacific Islander </t>
  </si>
  <si>
    <t xml:space="preserve"> f. Multiple races </t>
  </si>
  <si>
    <t xml:space="preserve"> g. Don't know / refused </t>
  </si>
  <si>
    <t xml:space="preserve"> h. Information missing </t>
  </si>
  <si>
    <t xml:space="preserve"> i. Total </t>
  </si>
  <si>
    <t xml:space="preserve"> a. Non-Hispanic/non-Latino </t>
  </si>
  <si>
    <t xml:space="preserve"> b. Hispanic/Latino </t>
  </si>
  <si>
    <t xml:space="preserve"> a. Mental illness </t>
  </si>
  <si>
    <t xml:space="preserve"> b. Alcohol abuse </t>
  </si>
  <si>
    <t xml:space="preserve"> c. Drug abuse </t>
  </si>
  <si>
    <t xml:space="preserve"> d. Both alcohol and drug abuse </t>
  </si>
  <si>
    <t xml:space="preserve"> e. Chronic health condition </t>
  </si>
  <si>
    <t xml:space="preserve"> f. HIV/AIDS and related diseases </t>
  </si>
  <si>
    <t xml:space="preserve"> g. Developmental disability </t>
  </si>
  <si>
    <t xml:space="preserve"> h. Physical disability </t>
  </si>
  <si>
    <t xml:space="preserve"> a. Yes </t>
  </si>
  <si>
    <t xml:space="preserve"> b. No </t>
  </si>
  <si>
    <t xml:space="preserve"> a. Homeless situations </t>
  </si>
  <si>
    <t xml:space="preserve"> a1. Emergency shelter </t>
  </si>
  <si>
    <t xml:space="preserve"> a2. Transitional housing for homeless persons </t>
  </si>
  <si>
    <t xml:space="preserve"> a3. Place not meant for human habitation </t>
  </si>
  <si>
    <t xml:space="preserve"> a4. Safe haven </t>
  </si>
  <si>
    <t xml:space="preserve"> az. Total </t>
  </si>
  <si>
    <t xml:space="preserve"> b. Institutional settings </t>
  </si>
  <si>
    <t xml:space="preserve"> b1. Psychiatric facility </t>
  </si>
  <si>
    <t xml:space="preserve"> b2. Substance abuse or detox center </t>
  </si>
  <si>
    <t xml:space="preserve"> b3. Hospital (non-psychiatric) </t>
  </si>
  <si>
    <t xml:space="preserve"> b4. Jail, prison or juvenile detention </t>
  </si>
  <si>
    <t xml:space="preserve"> b5. Foster care home or foster care group home </t>
  </si>
  <si>
    <t xml:space="preserve"> b6. Long-term care facility or nursing home </t>
  </si>
  <si>
    <t xml:space="preserve"> b7. Residential project or halfway house with no homeless criteria </t>
  </si>
  <si>
    <t xml:space="preserve"> bz. Total </t>
  </si>
  <si>
    <t xml:space="preserve"> c. Other locations </t>
  </si>
  <si>
    <t xml:space="preserve"> c02. Owned by client, no subsidy </t>
  </si>
  <si>
    <t xml:space="preserve"> c03. Owned by client, with subsidy </t>
  </si>
  <si>
    <t xml:space="preserve"> c04. Rental by client, no subsidy </t>
  </si>
  <si>
    <t xml:space="preserve"> c05. Rental by client, with VASH subsidy </t>
  </si>
  <si>
    <t xml:space="preserve"> c06. Rental by client, with GPD TIP subsidy </t>
  </si>
  <si>
    <t xml:space="preserve"> c07. Rental by client, with other subsidy </t>
  </si>
  <si>
    <t xml:space="preserve"> c08. Hotel or motel paid by client </t>
  </si>
  <si>
    <t xml:space="preserve"> c09. Staying or living with friend(s) </t>
  </si>
  <si>
    <t xml:space="preserve"> c10. Staying or living with family </t>
  </si>
  <si>
    <t xml:space="preserve"> c11. Other </t>
  </si>
  <si>
    <t xml:space="preserve"> c12. Don't know / refused </t>
  </si>
  <si>
    <t xml:space="preserve"> c13. Information missing </t>
  </si>
  <si>
    <t xml:space="preserve"> cz. Total </t>
  </si>
  <si>
    <t xml:space="preserve"> d. Total </t>
  </si>
  <si>
    <t xml:space="preserve"> a. Supplemental Nutritional Assistance Program </t>
  </si>
  <si>
    <t xml:space="preserve"> b. WIC </t>
  </si>
  <si>
    <t xml:space="preserve"> c. TANF Child Care services </t>
  </si>
  <si>
    <t xml:space="preserve"> d. TANF transportation services </t>
  </si>
  <si>
    <t xml:space="preserve"> e. Other TANF-funded services </t>
  </si>
  <si>
    <t xml:space="preserve"> f. Other source </t>
  </si>
  <si>
    <t xml:space="preserve"> a. MEDICAID health insurance </t>
  </si>
  <si>
    <t xml:space="preserve"> c. State Children's Health Insurance </t>
  </si>
  <si>
    <t xml:space="preserve"> d. VA Medical Services </t>
  </si>
  <si>
    <t xml:space="preserve"> e. Employer-provided health insurance </t>
  </si>
  <si>
    <t xml:space="preserve"> f. Health insurance through COBRA </t>
  </si>
  <si>
    <t xml:space="preserve"> g. Private pay health insurance </t>
  </si>
  <si>
    <t xml:space="preserve"> h. State Health Insurance for Adults </t>
  </si>
  <si>
    <t xml:space="preserve"> i. No health insurance </t>
  </si>
  <si>
    <t xml:space="preserve"> j. Client doesn't know/Client refused </t>
  </si>
  <si>
    <t xml:space="preserve"> k. Data not collected </t>
  </si>
  <si>
    <t xml:space="preserve"> l. Number of adult stayers not yet required to have an annual assessment </t>
  </si>
  <si>
    <t xml:space="preserve"> m. 1 source of health insurance </t>
  </si>
  <si>
    <t xml:space="preserve"> n. More than 1 source of health insurance </t>
  </si>
  <si>
    <t xml:space="preserve"> a. 0 to 7 days </t>
  </si>
  <si>
    <t xml:space="preserve"> b. 8 to 14 days </t>
  </si>
  <si>
    <t xml:space="preserve"> c. 15 to 21 days </t>
  </si>
  <si>
    <t xml:space="preserve"> d. 22 to 30 days </t>
  </si>
  <si>
    <t xml:space="preserve"> e. 31 to 60 days </t>
  </si>
  <si>
    <t xml:space="preserve"> f. 61 to 90 days </t>
  </si>
  <si>
    <t xml:space="preserve"> g. 91 to 180 days </t>
  </si>
  <si>
    <t xml:space="preserve"> h. 181 to 365 days </t>
  </si>
  <si>
    <t xml:space="preserve"> i. 366 to 730 days (1-2 yrs.) </t>
  </si>
  <si>
    <t xml:space="preserve"> j. 731 to 1095 days (2-3 yrs.) </t>
  </si>
  <si>
    <t xml:space="preserve"> k. 1096 to 1460 days (3-4 yrs.) </t>
  </si>
  <si>
    <t xml:space="preserve"> l. 1461 to 1825 days (4-5 yrs.) </t>
  </si>
  <si>
    <t xml:space="preserve"> m. More than 1825 days (&gt;5 yrs.) </t>
  </si>
  <si>
    <t xml:space="preserve"> n. Information missing </t>
  </si>
  <si>
    <t xml:space="preserve"> o. Total </t>
  </si>
  <si>
    <t xml:space="preserve"> a. 0-7 days </t>
  </si>
  <si>
    <t xml:space="preserve"> b. 8-14 days </t>
  </si>
  <si>
    <t xml:space="preserve"> c. 15-21 days </t>
  </si>
  <si>
    <t xml:space="preserve"> f. 61 to 180 days </t>
  </si>
  <si>
    <t xml:space="preserve"> g. 181 to 365 days </t>
  </si>
  <si>
    <t xml:space="preserve"> h. 366 to 730 days (1-2 yrs.) </t>
  </si>
  <si>
    <t xml:space="preserve"> i. Data Not Collected </t>
  </si>
  <si>
    <t xml:space="preserve"> j. Total </t>
  </si>
  <si>
    <t xml:space="preserve"> a. Permanent destinations </t>
  </si>
  <si>
    <t xml:space="preserve"> a01. Moved from HOPWA project to HOPWA PH </t>
  </si>
  <si>
    <t xml:space="preserve"> a02. Owned by client, no ongoing subsidy </t>
  </si>
  <si>
    <t xml:space="preserve"> a03. Owned by client, with ongoing subsidy </t>
  </si>
  <si>
    <t xml:space="preserve"> a05. Rental by client, VASH subsidy </t>
  </si>
  <si>
    <t xml:space="preserve"> a08. PH for homeless persons </t>
  </si>
  <si>
    <t xml:space="preserve"> a09. With family, permanent</t>
  </si>
  <si>
    <t xml:space="preserve"> a10. With friends, permanent</t>
  </si>
  <si>
    <t xml:space="preserve"> b. Temporary destinations </t>
  </si>
  <si>
    <t xml:space="preserve"> b1. Emergency shelter </t>
  </si>
  <si>
    <t xml:space="preserve"> b2. Moved from HOPWA project to HOPWA TH  </t>
  </si>
  <si>
    <t xml:space="preserve"> b3. TH for homeless persons </t>
  </si>
  <si>
    <t xml:space="preserve"> b4. Staying with family, temporary tenure </t>
  </si>
  <si>
    <t xml:space="preserve"> b5. Staying with friends, temporary tenure </t>
  </si>
  <si>
    <t xml:space="preserve"> b6. Place not meant for human habitation </t>
  </si>
  <si>
    <t xml:space="preserve"> b7. Safe Haven </t>
  </si>
  <si>
    <t xml:space="preserve"> b8. Hotel or motel paid by client </t>
  </si>
  <si>
    <t xml:space="preserve"> c. Institutional settings </t>
  </si>
  <si>
    <t xml:space="preserve"> c1. Foster care home or group foster care home </t>
  </si>
  <si>
    <t xml:space="preserve"> c2. Psychiatric hospital or other psychiatric facility </t>
  </si>
  <si>
    <t xml:space="preserve"> c3. Substance abuse treatment facility or detox center </t>
  </si>
  <si>
    <t xml:space="preserve"> c4. Hospital or other residential non-psychiatric medical facility </t>
  </si>
  <si>
    <t xml:space="preserve"> c5. Jail, prison or juvenile detention facility </t>
  </si>
  <si>
    <t xml:space="preserve"> c6. Long term care facility or nursing home </t>
  </si>
  <si>
    <t xml:space="preserve"> d. Other destinations </t>
  </si>
  <si>
    <t xml:space="preserve"> d1. Residential project or halfway house with no homeless criteria </t>
  </si>
  <si>
    <t xml:space="preserve"> d2. Deceased </t>
  </si>
  <si>
    <t xml:space="preserve"> d3. Other </t>
  </si>
  <si>
    <t xml:space="preserve"> d4. Don't know / refused </t>
  </si>
  <si>
    <t xml:space="preserve"> d5. Information missing </t>
  </si>
  <si>
    <t xml:space="preserve"> dz. Total </t>
  </si>
  <si>
    <t xml:space="preserve"> a. Able to maintain the housing they had at project entry--Without a subsidy </t>
  </si>
  <si>
    <t xml:space="preserve"> b. Able to maintain the housing they had at project entry--With the subsidy they had at project entry </t>
  </si>
  <si>
    <t xml:space="preserve"> c. Able to maintain the housing they had at project entry--With an on-going subsidy acquired since project entry </t>
  </si>
  <si>
    <t xml:space="preserve"> d. Able to maintain the housing they had at project entry--Only with financial assistance other than a subsidy </t>
  </si>
  <si>
    <t xml:space="preserve"> e. Moved to new housing unit--With on-going subsidy </t>
  </si>
  <si>
    <t xml:space="preserve"> f. Moved to new housing unit--Without an on-going subsidy </t>
  </si>
  <si>
    <t xml:space="preserve"> g. Moved in with family/friends on a temporary basis </t>
  </si>
  <si>
    <t xml:space="preserve"> h. Moved in with family/friends on a permanent basis </t>
  </si>
  <si>
    <t xml:space="preserve"> i. Moved to a transitional or temporary housing facility or program </t>
  </si>
  <si>
    <t xml:space="preserve"> j. Client became homeless-moving to a shelter or other place unfit for human habitation </t>
  </si>
  <si>
    <t xml:space="preserve"> k. Client went to jail/prison </t>
  </si>
  <si>
    <t xml:space="preserve"> l. Client died </t>
  </si>
  <si>
    <t xml:space="preserve"> m. Client doesn't know/Client refused </t>
  </si>
  <si>
    <t xml:space="preserve"> n. Data not collected (no exit interview completed) </t>
  </si>
  <si>
    <t xml:space="preserve">e. Total </t>
  </si>
  <si>
    <t xml:space="preserve"> a. Chronically homeless veteran </t>
  </si>
  <si>
    <t xml:space="preserve"> b. Non-chronically homeless veteran </t>
  </si>
  <si>
    <t xml:space="preserve"> c. Not a veteran </t>
  </si>
  <si>
    <t xml:space="preserve"> d. Client Doesn't Know/Client Refused </t>
  </si>
  <si>
    <t xml:space="preserve"> e. Data Not Collected </t>
  </si>
  <si>
    <t xml:space="preserve"> f. Total </t>
  </si>
  <si>
    <t xml:space="preserve"> a. Chronically homeless </t>
  </si>
  <si>
    <t xml:space="preserve"> b. Not chronically homeless </t>
  </si>
  <si>
    <t xml:space="preserve"> c. Client Doesn't Know/Client Refused </t>
  </si>
  <si>
    <t xml:space="preserve"> d. Data Not Collected </t>
  </si>
  <si>
    <t>Don't know / refused</t>
  </si>
  <si>
    <t>Missing</t>
  </si>
  <si>
    <t xml:space="preserve"> Total</t>
  </si>
  <si>
    <t xml:space="preserve"> a. Without children</t>
  </si>
  <si>
    <t xml:space="preserve"> b. With children and adults</t>
  </si>
  <si>
    <t xml:space="preserve"> c. With only children</t>
  </si>
  <si>
    <t xml:space="preserve"> d. Unknown household type</t>
  </si>
  <si>
    <t xml:space="preserve"> a. 1st - Streets</t>
  </si>
  <si>
    <t xml:space="preserve"> b. 1st - non-residential</t>
  </si>
  <si>
    <t xml:space="preserve"> c. 1st - residential</t>
  </si>
  <si>
    <t xml:space="preserve"> d. 1st - place  missing</t>
  </si>
  <si>
    <t xml:space="preserve"> a. Under age 18</t>
  </si>
  <si>
    <t xml:space="preserve"> b. Age 18-24</t>
  </si>
  <si>
    <t xml:space="preserve"> c. Age 25-61</t>
  </si>
  <si>
    <t xml:space="preserve"> d. Age 62 &amp; over</t>
  </si>
  <si>
    <t xml:space="preserve"> e. Doesn't Know/Refused</t>
  </si>
  <si>
    <t xml:space="preserve"> f. Data not collected</t>
  </si>
  <si>
    <t xml:space="preserve"> Leavers</t>
  </si>
  <si>
    <t xml:space="preserve"> Stayers</t>
  </si>
  <si>
    <t>Submission Information Form - Enter information about the ESG recipient:</t>
  </si>
  <si>
    <t>Q12b. Ethinicity</t>
  </si>
  <si>
    <t>Q6b. Number of Persons Served</t>
  </si>
  <si>
    <t>Q7a. Number of Households Served</t>
  </si>
  <si>
    <t>Q10a. Gender of Adults</t>
  </si>
  <si>
    <t>Q10b. Gender of Children</t>
  </si>
  <si>
    <t>Q10c. Gender of Persons Missing Age Information</t>
  </si>
  <si>
    <t>Q10d. Gender by Age Ranges</t>
  </si>
  <si>
    <t>Q11. Age</t>
  </si>
  <si>
    <t>Q12a. Race</t>
  </si>
  <si>
    <t>Q14a. Persons with Domestic Violence History</t>
  </si>
  <si>
    <t>Q22a2. Length of Participation – ESG Projects</t>
  </si>
  <si>
    <t>Q23a. Exit Destination - All Persons</t>
  </si>
  <si>
    <t>Q22d. Length of Participation by Household Type</t>
  </si>
  <si>
    <t xml:space="preserve">Q23b. Homelessness Prevention Housing Assessment at Exit </t>
  </si>
  <si>
    <t>Q25a. Number of Veterans</t>
  </si>
  <si>
    <t>Q26b.  Number of Chronically Homeless Persons by Household</t>
  </si>
  <si>
    <t>15. Residence Prior to Project Entry</t>
  </si>
  <si>
    <t>Latest Annual Assessment Stayers</t>
  </si>
  <si>
    <t xml:space="preserve"> b. MEDICARE health insurance </t>
  </si>
  <si>
    <t xml:space="preserve"> a04. Rental by client, no subsidy </t>
  </si>
  <si>
    <t xml:space="preserve"> a06. Rental by client, GPD TIP subsidy </t>
  </si>
  <si>
    <t xml:space="preserve"> a07. Rental by client, other subsidy </t>
  </si>
  <si>
    <t xml:space="preserve"> b. With children &amp; adults</t>
  </si>
  <si>
    <t xml:space="preserve"> c. Unknown Household type</t>
  </si>
  <si>
    <t xml:space="preserve"> a. With children &amp; adults</t>
  </si>
  <si>
    <t xml:space="preserve"> b. With only children</t>
  </si>
  <si>
    <t xml:space="preserve"> d. Unknown Household type</t>
  </si>
  <si>
    <t>notgreaterthan</t>
  </si>
  <si>
    <t xml:space="preserve"> c01. PH for homeless persons </t>
  </si>
  <si>
    <t>Q15 | c01. PH for homeless persons | Total</t>
  </si>
  <si>
    <t>Q15 | c01. PH for homeless persons | a. Without children</t>
  </si>
  <si>
    <t>Q15 | c01. PH for homeless persons | b. With children and adults</t>
  </si>
  <si>
    <t>Q15 | c01. PH for homeless persons | c. With only children</t>
  </si>
  <si>
    <t>Q15 | c01. PH for homeless persons | d. Unknown household type</t>
  </si>
  <si>
    <t>c01. PH for homeless persons</t>
  </si>
  <si>
    <t>P:\HUD NATIONAL TA WORK\FEDERAL PARTNERS &amp; PGMS - HMIS\HUD - ESG\ESG -- eCART\Test kit for Abt\eCART test folders\HUD - ESG CAPER Agency CC-Men's Safe Shelter</t>
  </si>
  <si>
    <t>P:\HUD NATIONAL TA WORK\FEDERAL PARTNERS &amp; PGMS - HMIS\HUD - ESG\ESG -- eCART\Test kit for Abt\eCART test folders\HUD - ESG CAPER Agency CC-Men's Safe Shelter\Q10a.csv</t>
  </si>
  <si>
    <t>P:\HUD NATIONAL TA WORK\FEDERAL PARTNERS &amp; PGMS - HMIS\HUD - ESG\ESG -- eCART\Test kit for Abt\eCART test folders\HUD - ESG CAPER Agency CC-Men's Safe Shelter\Q10b.csv</t>
  </si>
  <si>
    <t>P:\HUD NATIONAL TA WORK\FEDERAL PARTNERS &amp; PGMS - HMIS\HUD - ESG\ESG -- eCART\Test kit for Abt\eCART test folders\HUD - ESG CAPER Agency CC-Men's Safe Shelter\Q10c.csv</t>
  </si>
  <si>
    <t>P:\HUD NATIONAL TA WORK\FEDERAL PARTNERS &amp; PGMS - HMIS\HUD - ESG\ESG -- eCART\Test kit for Abt\eCART test folders\HUD - ESG CAPER Agency CC-Men's Safe Shelter\Q10d.csv</t>
  </si>
  <si>
    <t>P:\HUD NATIONAL TA WORK\FEDERAL PARTNERS &amp; PGMS - HMIS\HUD - ESG\ESG -- eCART\Test kit for Abt\eCART test folders\HUD - ESG CAPER Agency CC-Men's Safe Shelter\Q11.csv</t>
  </si>
  <si>
    <t>P:\HUD NATIONAL TA WORK\FEDERAL PARTNERS &amp; PGMS - HMIS\HUD - ESG\ESG -- eCART\Test kit for Abt\eCART test folders\HUD - ESG CAPER Agency CC-Men's Safe Shelter\Q12a.csv</t>
  </si>
  <si>
    <t>P:\HUD NATIONAL TA WORK\FEDERAL PARTNERS &amp; PGMS - HMIS\HUD - ESG\ESG -- eCART\Test kit for Abt\eCART test folders\HUD - ESG CAPER Agency CC-Men's Safe Shelter\Q12b.csv</t>
  </si>
  <si>
    <t>P:\HUD NATIONAL TA WORK\FEDERAL PARTNERS &amp; PGMS - HMIS\HUD - ESG\ESG -- eCART\Test kit for Abt\eCART test folders\HUD - ESG CAPER Agency CC-Men's Safe Shelter\Q13a1.csv</t>
  </si>
  <si>
    <t>P:\HUD NATIONAL TA WORK\FEDERAL PARTNERS &amp; PGMS - HMIS\HUD - ESG\ESG -- eCART\Test kit for Abt\eCART test folders\HUD - ESG CAPER Agency CC-Men's Safe Shelter\Q13b1.csv</t>
  </si>
  <si>
    <t>P:\HUD NATIONAL TA WORK\FEDERAL PARTNERS &amp; PGMS - HMIS\HUD - ESG\ESG -- eCART\Test kit for Abt\eCART test folders\HUD - ESG CAPER Agency CC-Men's Safe Shelter\Q13c1.csv</t>
  </si>
  <si>
    <t>P:\HUD NATIONAL TA WORK\FEDERAL PARTNERS &amp; PGMS - HMIS\HUD - ESG\ESG -- eCART\Test kit for Abt\eCART test folders\HUD - ESG CAPER Agency CC-Men's Safe Shelter\Q14a.csv</t>
  </si>
  <si>
    <t>P:\HUD NATIONAL TA WORK\FEDERAL PARTNERS &amp; PGMS - HMIS\HUD - ESG\ESG -- eCART\Test kit for Abt\eCART test folders\HUD - ESG CAPER Agency CC-Men's Safe Shelter\Q14b.csv</t>
  </si>
  <si>
    <t>P:\HUD NATIONAL TA WORK\FEDERAL PARTNERS &amp; PGMS - HMIS\HUD - ESG\ESG -- eCART\Test kit for Abt\eCART test folders\HUD - ESG CAPER Agency CC-Men's Safe Shelter\Q15.csv</t>
  </si>
  <si>
    <t>P:\HUD NATIONAL TA WORK\FEDERAL PARTNERS &amp; PGMS - HMIS\HUD - ESG\ESG -- eCART\Test kit for Abt\eCART test folders\HUD - ESG CAPER Agency CC-Men's Safe Shelter\Q20a.csv</t>
  </si>
  <si>
    <t>P:\HUD NATIONAL TA WORK\FEDERAL PARTNERS &amp; PGMS - HMIS\HUD - ESG\ESG -- eCART\Test kit for Abt\eCART test folders\HUD - ESG CAPER Agency CC-Men's Safe Shelter\Q21.csv</t>
  </si>
  <si>
    <t>P:\HUD NATIONAL TA WORK\FEDERAL PARTNERS &amp; PGMS - HMIS\HUD - ESG\ESG -- eCART\Test kit for Abt\eCART test folders\HUD - ESG CAPER Agency CC-Men's Safe Shelter\Q22a2.csv</t>
  </si>
  <si>
    <t>P:\HUD NATIONAL TA WORK\FEDERAL PARTNERS &amp; PGMS - HMIS\HUD - ESG\ESG -- eCART\Test kit for Abt\eCART test folders\HUD - ESG CAPER Agency CC-Men's Safe Shelter\Q22c.csv</t>
  </si>
  <si>
    <t>P:\HUD NATIONAL TA WORK\FEDERAL PARTNERS &amp; PGMS - HMIS\HUD - ESG\ESG -- eCART\Test kit for Abt\eCART test folders\HUD - ESG CAPER Agency CC-Men's Safe Shelter\Q22d.csv</t>
  </si>
  <si>
    <t>P:\HUD NATIONAL TA WORK\FEDERAL PARTNERS &amp; PGMS - HMIS\HUD - ESG\ESG -- eCART\Test kit for Abt\eCART test folders\HUD - ESG CAPER Agency CC-Men's Safe Shelter\Q23.csv</t>
  </si>
  <si>
    <t>P:\HUD NATIONAL TA WORK\FEDERAL PARTNERS &amp; PGMS - HMIS\HUD - ESG\ESG -- eCART\Test kit for Abt\eCART test folders\HUD - ESG CAPER Agency CC-Men's Safe Shelter\Q23a.csv</t>
  </si>
  <si>
    <t>P:\HUD NATIONAL TA WORK\FEDERAL PARTNERS &amp; PGMS - HMIS\HUD - ESG\ESG -- eCART\Test kit for Abt\eCART test folders\HUD - ESG CAPER Agency CC-Men's Safe Shelter\Q23b.csv</t>
  </si>
  <si>
    <t>P:\HUD NATIONAL TA WORK\FEDERAL PARTNERS &amp; PGMS - HMIS\HUD - ESG\ESG -- eCART\Test kit for Abt\eCART test folders\HUD - ESG CAPER Agency CC-Men's Safe Shelter\Q24.csv</t>
  </si>
  <si>
    <t>P:\HUD NATIONAL TA WORK\FEDERAL PARTNERS &amp; PGMS - HMIS\HUD - ESG\ESG -- eCART\Test kit for Abt\eCART test folders\HUD - ESG CAPER Agency CC-Men's Safe Shelter\Q25a.csv</t>
  </si>
  <si>
    <t>P:\HUD NATIONAL TA WORK\FEDERAL PARTNERS &amp; PGMS - HMIS\HUD - ESG\ESG -- eCART\Test kit for Abt\eCART test folders\HUD - ESG CAPER Agency CC-Men's Safe Shelter\Q26b.csv</t>
  </si>
  <si>
    <t>P:\HUD NATIONAL TA WORK\FEDERAL PARTNERS &amp; PGMS - HMIS\HUD - ESG\ESG -- eCART\Test kit for Abt\eCART test folders\HUD - ESG CAPER Agency CC-Men's Safe Shelter\Q4a.csv</t>
  </si>
  <si>
    <t>P:\HUD NATIONAL TA WORK\FEDERAL PARTNERS &amp; PGMS - HMIS\HUD - ESG\ESG -- eCART\Test kit for Abt\eCART test folders\HUD - ESG CAPER Agency CC-Men's Safe Shelter\Q5a.csv</t>
  </si>
  <si>
    <t>P:\HUD NATIONAL TA WORK\FEDERAL PARTNERS &amp; PGMS - HMIS\HUD - ESG\ESG -- eCART\Test kit for Abt\eCART test folders\HUD - ESG CAPER Agency CC-Men's Safe Shelter\Q6a.csv</t>
  </si>
  <si>
    <t>P:\HUD NATIONAL TA WORK\FEDERAL PARTNERS &amp; PGMS - HMIS\HUD - ESG\ESG -- eCART\Test kit for Abt\eCART test folders\HUD - ESG CAPER Agency CC-Men's Safe Shelter\Q6b.csv</t>
  </si>
  <si>
    <t>P:\HUD NATIONAL TA WORK\FEDERAL PARTNERS &amp; PGMS - HMIS\HUD - ESG\ESG -- eCART\Test kit for Abt\eCART test folders\HUD - ESG CAPER Agency CC-Men's Safe Shelter\Q7a.csv</t>
  </si>
  <si>
    <t>P:\HUD NATIONAL TA WORK\FEDERAL PARTNERS &amp; PGMS - HMIS\HUD - ESG\ESG -- eCART\Test kit for Abt\eCART test folders\HUD - ESG CAPER Agency CC-Men's Safe Shelter\Q7b.csv</t>
  </si>
  <si>
    <t>P:\HUD NATIONAL TA WORK\FEDERAL PARTNERS &amp; PGMS - HMIS\HUD - ESG\ESG -- eCART\Test kit for Abt\eCART test folders\HUD - ESG CAPER Agency CC-Men's Safe Shelter\Q9a.csv</t>
  </si>
  <si>
    <t>P:\HUD NATIONAL TA WORK\FEDERAL PARTNERS &amp; PGMS - HMIS\HUD - ESG\ESG -- eCART\Test kit for Abt\eCART test folders\HUD - ESG CAPER Agency CC-Men's Safe Shelter\Q9b.csv</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</si>
</sst>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0"/>
    <numFmt numFmtId="165" formatCode="[&lt;=9999999]###\-####;###\-###\-####"/>
    <numFmt numFmtId="166" formatCode="0.0"/>
    <numFmt numFmtId="167" formatCode="[&lt;=9999999]###\-####;\(###\)\ ###\-####"/>
  </numFmts>
  <fonts count="33" x14ac:knownFonts="1">
    <font>
      <sz val="11"/>
      <color theme="1"/>
      <name val="Calibri"/>
      <family val="2"/>
      <scheme val="minor"/>
    </font>
    <font>
      <b/>
      <sz val="11"/>
      <color theme="1"/>
      <name val="Calibri"/>
      <family val="2"/>
      <scheme val="minor"/>
    </font>
    <font>
      <sz val="11"/>
      <color rgb="FF3F3F76"/>
      <name val="Calibri"/>
      <family val="2"/>
      <scheme val="minor"/>
    </font>
    <font>
      <b/>
      <sz val="10"/>
      <color theme="1"/>
      <name val="Calibri"/>
      <family val="2"/>
      <scheme val="minor"/>
    </font>
    <font>
      <sz val="10"/>
      <color theme="1"/>
      <name val="Calibri"/>
      <family val="2"/>
      <scheme val="minor"/>
    </font>
    <font>
      <sz val="11"/>
      <color theme="1"/>
      <name val="Segoe UI Light"/>
      <family val="2"/>
    </font>
    <font>
      <b/>
      <sz val="9"/>
      <color theme="1"/>
      <name val="Calibri"/>
      <family val="2"/>
      <scheme val="minor"/>
    </font>
    <font>
      <sz val="11"/>
      <color rgb="FFFF0000"/>
      <name val="Calibri"/>
      <family val="2"/>
      <scheme val="minor"/>
    </font>
    <font>
      <b/>
      <sz val="10"/>
      <color rgb="FF000000"/>
      <name val="Calibri"/>
      <family val="2"/>
      <scheme val="minor"/>
    </font>
    <font>
      <b/>
      <sz val="10"/>
      <color rgb="FFFF0000"/>
      <name val="Calibri"/>
      <family val="2"/>
      <scheme val="minor"/>
    </font>
    <font>
      <sz val="10"/>
      <color rgb="FF000000"/>
      <name val="Calibri"/>
      <family val="2"/>
      <scheme val="minor"/>
    </font>
    <font>
      <sz val="8"/>
      <color rgb="FFFF0000"/>
      <name val="Wingdings 2"/>
      <family val="1"/>
      <charset val="2"/>
    </font>
    <font>
      <b/>
      <sz val="8"/>
      <color rgb="FFFF0000"/>
      <name val="Calibri"/>
      <family val="2"/>
      <scheme val="minor"/>
    </font>
    <font>
      <sz val="11"/>
      <color theme="1"/>
      <name val="Wingdings 2"/>
      <family val="1"/>
      <charset val="2"/>
    </font>
    <font>
      <sz val="11"/>
      <color theme="1"/>
      <name val="Times New Roman"/>
      <family val="1"/>
    </font>
    <font>
      <b/>
      <sz val="14"/>
      <color theme="9" tint="-0.249977111117893"/>
      <name val="Wingdings 2"/>
      <family val="1"/>
      <charset val="2"/>
    </font>
    <font>
      <b/>
      <sz val="14"/>
      <color theme="1"/>
      <name val="Calibri"/>
      <family val="2"/>
      <scheme val="minor"/>
    </font>
    <font>
      <b/>
      <sz val="11"/>
      <color theme="0"/>
      <name val="Calibri"/>
      <family val="2"/>
      <scheme val="minor"/>
    </font>
    <font>
      <sz val="11"/>
      <color theme="0"/>
      <name val="Calibri"/>
      <family val="2"/>
      <scheme val="minor"/>
    </font>
    <font>
      <b/>
      <sz val="14"/>
      <color theme="0"/>
      <name val="Calibri"/>
      <family val="2"/>
      <scheme val="minor"/>
    </font>
    <font>
      <sz val="11"/>
      <name val="Calibri"/>
      <family val="2"/>
      <scheme val="minor"/>
    </font>
    <font>
      <sz val="18"/>
      <color theme="3"/>
      <name val="Calibri Light"/>
      <family val="2"/>
      <scheme val="major"/>
    </font>
    <font>
      <b/>
      <sz val="13"/>
      <color theme="3"/>
      <name val="Calibri"/>
      <family val="2"/>
      <scheme val="minor"/>
    </font>
    <font>
      <b/>
      <sz val="11"/>
      <color theme="0" tint="-0.34998626667073579"/>
      <name val="Calibri"/>
      <family val="2"/>
      <scheme val="minor"/>
    </font>
    <font>
      <sz val="11"/>
      <color rgb="FF00B050"/>
      <name val="Calibri"/>
      <family val="2"/>
      <scheme val="minor"/>
    </font>
    <font>
      <b/>
      <sz val="14"/>
      <color rgb="FF00B050"/>
      <name val="Wingdings 2"/>
      <family val="1"/>
      <charset val="2"/>
    </font>
    <font>
      <b/>
      <sz val="15"/>
      <color theme="3"/>
      <name val="Calibri"/>
      <family val="2"/>
      <scheme val="minor"/>
    </font>
    <font>
      <sz val="9"/>
      <color indexed="81"/>
      <name val="Tahoma"/>
      <family val="2"/>
    </font>
    <font>
      <u/>
      <sz val="11"/>
      <color theme="10"/>
      <name val="Calibri"/>
      <family val="2"/>
      <scheme val="minor"/>
    </font>
    <font>
      <b/>
      <sz val="10"/>
      <name val="Calibri"/>
      <family val="2"/>
      <scheme val="minor"/>
    </font>
    <font>
      <b/>
      <sz val="13"/>
      <color theme="0" tint="-0.249977111117893"/>
      <name val="Calibri"/>
      <family val="2"/>
      <scheme val="minor"/>
    </font>
    <font>
      <sz val="11"/>
      <color theme="0" tint="-0.249977111117893"/>
      <name val="Calibri"/>
      <family val="2"/>
      <scheme val="minor"/>
    </font>
    <font>
      <b/>
      <sz val="5.5"/>
      <color theme="1"/>
      <name val="Calibri"/>
      <family val="2"/>
      <scheme val="minor"/>
    </font>
  </fonts>
  <fills count="19">
    <fill>
      <patternFill patternType="none"/>
    </fill>
    <fill>
      <patternFill patternType="gray125"/>
    </fill>
    <fill>
      <patternFill patternType="solid">
        <fgColor rgb="FFFFCC99"/>
      </patternFill>
    </fill>
    <fill>
      <patternFill patternType="solid">
        <fgColor rgb="FFD9D9D9"/>
        <bgColor indexed="64"/>
      </patternFill>
    </fill>
    <fill>
      <patternFill patternType="solid">
        <fgColor rgb="FFFFFFFF"/>
        <bgColor indexed="64"/>
      </patternFill>
    </fill>
    <fill>
      <patternFill patternType="solid">
        <fgColor theme="0"/>
        <bgColor indexed="64"/>
      </patternFill>
    </fill>
    <fill>
      <patternFill patternType="solid">
        <fgColor theme="0" tint="-4.9989318521683403E-2"/>
        <bgColor indexed="64"/>
      </patternFill>
    </fill>
    <fill>
      <patternFill patternType="solid">
        <fgColor rgb="FFFFC000"/>
        <bgColor indexed="64"/>
      </patternFill>
    </fill>
    <fill>
      <patternFill patternType="solid">
        <fgColor rgb="FFFFFF00"/>
        <bgColor indexed="64"/>
      </patternFill>
    </fill>
    <fill>
      <patternFill patternType="solid">
        <fgColor theme="0" tint="-0.14996795556505021"/>
        <bgColor indexed="64"/>
      </patternFill>
    </fill>
    <fill>
      <patternFill patternType="solid">
        <fgColor theme="7"/>
      </patternFill>
    </fill>
    <fill>
      <patternFill patternType="solid">
        <fgColor theme="7" tint="0.79998168889431442"/>
        <bgColor indexed="64"/>
      </patternFill>
    </fill>
    <fill>
      <patternFill patternType="solid">
        <fgColor theme="0" tint="-0.14999847407452621"/>
        <bgColor indexed="64"/>
      </patternFill>
    </fill>
    <fill>
      <patternFill patternType="solid">
        <fgColor theme="5"/>
      </patternFill>
    </fill>
    <fill>
      <patternFill patternType="solid">
        <fgColor theme="6"/>
      </patternFill>
    </fill>
    <fill>
      <patternFill patternType="solid">
        <fgColor theme="8"/>
      </patternFill>
    </fill>
    <fill>
      <patternFill patternType="solid">
        <fgColor theme="9"/>
      </patternFill>
    </fill>
    <fill>
      <patternFill patternType="solid">
        <fgColor theme="8"/>
        <bgColor indexed="64"/>
      </patternFill>
    </fill>
    <fill>
      <patternFill patternType="solid">
        <fgColor theme="9"/>
        <bgColor indexed="64"/>
      </patternFill>
    </fill>
  </fills>
  <borders count="34">
    <border>
      <left/>
      <right/>
      <top/>
      <bottom/>
      <diagonal/>
    </border>
    <border>
      <left style="thin">
        <color rgb="FF7F7F7F"/>
      </left>
      <right style="thin">
        <color rgb="FF7F7F7F"/>
      </right>
      <top style="thin">
        <color rgb="FF7F7F7F"/>
      </top>
      <bottom style="thin">
        <color rgb="FF7F7F7F"/>
      </bottom>
      <diagonal/>
    </border>
    <border>
      <left style="medium">
        <color rgb="FF000000"/>
      </left>
      <right style="medium">
        <color rgb="FF000000"/>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right style="medium">
        <color rgb="FF000000"/>
      </right>
      <top/>
      <bottom style="medium">
        <color rgb="FF000000"/>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rgb="FF000000"/>
      </left>
      <right style="medium">
        <color rgb="FF000000"/>
      </right>
      <top style="medium">
        <color rgb="FF000000"/>
      </top>
      <bottom/>
      <diagonal/>
    </border>
    <border>
      <left style="thin">
        <color theme="0" tint="-0.249977111117893"/>
      </left>
      <right/>
      <top style="thin">
        <color theme="0" tint="-0.249977111117893"/>
      </top>
      <bottom/>
      <diagonal/>
    </border>
    <border>
      <left/>
      <right style="medium">
        <color rgb="FF000000"/>
      </right>
      <top style="medium">
        <color rgb="FF000000"/>
      </top>
      <bottom/>
      <diagonal/>
    </border>
    <border>
      <left style="medium">
        <color rgb="FF000000"/>
      </left>
      <right style="medium">
        <color rgb="FF000000"/>
      </right>
      <top/>
      <bottom style="medium">
        <color indexed="64"/>
      </bottom>
      <diagonal/>
    </border>
    <border>
      <left style="medium">
        <color rgb="FF000000"/>
      </left>
      <right/>
      <top/>
      <bottom style="medium">
        <color rgb="FF000000"/>
      </bottom>
      <diagonal/>
    </border>
    <border>
      <left style="medium">
        <color indexed="64"/>
      </left>
      <right/>
      <top/>
      <bottom/>
      <diagonal/>
    </border>
    <border>
      <left/>
      <right/>
      <top/>
      <bottom style="medium">
        <color indexed="64"/>
      </bottom>
      <diagonal/>
    </border>
    <border>
      <left style="medium">
        <color rgb="FF000000"/>
      </left>
      <right style="medium">
        <color rgb="FF000000"/>
      </right>
      <top style="medium">
        <color rgb="FF000000"/>
      </top>
      <bottom style="medium">
        <color indexed="64"/>
      </bottom>
      <diagonal/>
    </border>
    <border>
      <left/>
      <right style="medium">
        <color rgb="FF000000"/>
      </right>
      <top style="medium">
        <color rgb="FF000000"/>
      </top>
      <bottom style="medium">
        <color indexed="64"/>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rgb="FF000000"/>
      </left>
      <right style="thin">
        <color indexed="64"/>
      </right>
      <top style="thin">
        <color indexed="64"/>
      </top>
      <bottom/>
      <diagonal/>
    </border>
    <border>
      <left style="medium">
        <color rgb="FF000000"/>
      </left>
      <right style="thin">
        <color indexed="64"/>
      </right>
      <top style="thin">
        <color indexed="64"/>
      </top>
      <bottom style="thin">
        <color indexed="64"/>
      </bottom>
      <diagonal/>
    </border>
    <border>
      <left/>
      <right/>
      <top/>
      <bottom style="thin">
        <color theme="0" tint="-0.24994659260841701"/>
      </bottom>
      <diagonal/>
    </border>
    <border>
      <left/>
      <right/>
      <top/>
      <bottom style="thin">
        <color indexed="64"/>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s>
  <cellStyleXfs count="11">
    <xf numFmtId="0" fontId="0" fillId="0" borderId="0"/>
    <xf numFmtId="0" fontId="2" fillId="2" borderId="1" applyNumberFormat="0" applyAlignment="0" applyProtection="0"/>
    <xf numFmtId="0" fontId="21" fillId="0" borderId="0" applyNumberFormat="0" applyFill="0" applyBorder="0" applyAlignment="0" applyProtection="0"/>
    <xf numFmtId="0" fontId="22" fillId="0" borderId="19" applyNumberFormat="0" applyFill="0" applyAlignment="0" applyProtection="0"/>
    <xf numFmtId="0" fontId="26" fillId="0" borderId="21" applyNumberFormat="0" applyFill="0" applyAlignment="0" applyProtection="0"/>
    <xf numFmtId="0" fontId="18" fillId="10" borderId="0" applyNumberFormat="0" applyBorder="0" applyAlignment="0" applyProtection="0"/>
    <xf numFmtId="0" fontId="28" fillId="0" borderId="0" applyNumberFormat="0" applyFill="0" applyBorder="0" applyAlignment="0" applyProtection="0"/>
    <xf numFmtId="0" fontId="18" fillId="13" borderId="0" applyNumberFormat="0" applyBorder="0" applyAlignment="0" applyProtection="0"/>
    <xf numFmtId="0" fontId="18" fillId="14" borderId="0" applyNumberFormat="0" applyBorder="0" applyAlignment="0" applyProtection="0"/>
    <xf numFmtId="0" fontId="18" fillId="15" borderId="0" applyNumberFormat="0" applyBorder="0" applyAlignment="0" applyProtection="0"/>
    <xf numFmtId="0" fontId="18" fillId="16" borderId="0" applyNumberFormat="0" applyBorder="0" applyAlignment="0" applyProtection="0"/>
  </cellStyleXfs>
  <cellXfs count="248">
    <xf numFmtId="0" fontId="0" fillId="0" borderId="0" xfId="0"/>
    <xf numFmtId="0" fontId="3" fillId="0" borderId="2" xfId="0" applyFont="1" applyBorder="1" applyAlignment="1">
      <alignment vertical="center" wrapText="1"/>
    </xf>
    <xf numFmtId="0" fontId="3" fillId="0" borderId="4" xfId="0" applyFont="1" applyBorder="1" applyAlignment="1">
      <alignment vertical="center" wrapText="1"/>
    </xf>
    <xf numFmtId="0" fontId="3" fillId="0" borderId="2" xfId="0" applyFont="1" applyBorder="1" applyAlignment="1">
      <alignment horizontal="center" vertical="center" wrapText="1"/>
    </xf>
    <xf numFmtId="0" fontId="3" fillId="0" borderId="3" xfId="0" applyFont="1" applyBorder="1" applyAlignment="1">
      <alignment horizontal="center" vertical="center" wrapText="1"/>
    </xf>
    <xf numFmtId="0" fontId="3" fillId="0" borderId="7" xfId="0" applyFont="1" applyBorder="1" applyAlignment="1">
      <alignment vertical="center" wrapText="1"/>
    </xf>
    <xf numFmtId="0" fontId="0" fillId="0" borderId="0" xfId="0" applyAlignment="1">
      <alignment wrapText="1"/>
    </xf>
    <xf numFmtId="0" fontId="0" fillId="0" borderId="0" xfId="0" applyBorder="1"/>
    <xf numFmtId="0" fontId="0" fillId="0" borderId="0" xfId="0" applyBorder="1" applyAlignment="1">
      <alignment wrapText="1"/>
    </xf>
    <xf numFmtId="0" fontId="2" fillId="0" borderId="0" xfId="1" applyFill="1" applyBorder="1" applyAlignment="1">
      <alignment wrapText="1"/>
    </xf>
    <xf numFmtId="0" fontId="5" fillId="6" borderId="11" xfId="0" applyFont="1" applyFill="1" applyBorder="1" applyAlignment="1">
      <alignment vertical="center" wrapText="1"/>
    </xf>
    <xf numFmtId="0" fontId="5" fillId="0" borderId="0" xfId="0" applyFont="1" applyFill="1" applyBorder="1" applyAlignment="1">
      <alignment vertical="center" wrapText="1"/>
    </xf>
    <xf numFmtId="0" fontId="0" fillId="0" borderId="0" xfId="0" applyFill="1" applyBorder="1"/>
    <xf numFmtId="0" fontId="1" fillId="0" borderId="0" xfId="0" applyFont="1"/>
    <xf numFmtId="9" fontId="0" fillId="0" borderId="0" xfId="0" applyNumberFormat="1"/>
    <xf numFmtId="0" fontId="1" fillId="0" borderId="0" xfId="0" applyFont="1" applyAlignment="1">
      <alignment wrapText="1"/>
    </xf>
    <xf numFmtId="0" fontId="7" fillId="0" borderId="0" xfId="0" applyFont="1"/>
    <xf numFmtId="0" fontId="4" fillId="0" borderId="4" xfId="0" applyFont="1" applyBorder="1" applyAlignment="1">
      <alignment horizontal="center" vertical="center" wrapText="1"/>
    </xf>
    <xf numFmtId="0" fontId="3" fillId="0" borderId="12" xfId="0" applyFont="1" applyBorder="1" applyAlignment="1">
      <alignment horizontal="center" vertical="center" wrapText="1"/>
    </xf>
    <xf numFmtId="0" fontId="4" fillId="0" borderId="13" xfId="0" applyFont="1" applyBorder="1" applyAlignment="1">
      <alignment vertical="center" wrapText="1"/>
    </xf>
    <xf numFmtId="0" fontId="4" fillId="0" borderId="7" xfId="0" applyFont="1" applyBorder="1" applyAlignment="1">
      <alignment vertical="center" wrapText="1"/>
    </xf>
    <xf numFmtId="0" fontId="4" fillId="3" borderId="8" xfId="0" applyFont="1" applyFill="1" applyBorder="1" applyAlignment="1">
      <alignment vertical="center" wrapText="1"/>
    </xf>
    <xf numFmtId="49" fontId="4" fillId="0" borderId="4" xfId="0" applyNumberFormat="1" applyFont="1" applyBorder="1" applyAlignment="1">
      <alignment vertical="center" wrapText="1"/>
    </xf>
    <xf numFmtId="0" fontId="4" fillId="0" borderId="2" xfId="0" applyFont="1" applyBorder="1" applyAlignment="1">
      <alignment vertical="center" wrapText="1"/>
    </xf>
    <xf numFmtId="0" fontId="3" fillId="0" borderId="14" xfId="0" applyFont="1" applyBorder="1" applyAlignment="1">
      <alignment vertical="center" wrapText="1"/>
    </xf>
    <xf numFmtId="0" fontId="3" fillId="0" borderId="6" xfId="0" applyFont="1" applyBorder="1" applyAlignment="1">
      <alignment horizontal="center" vertical="center" wrapText="1"/>
    </xf>
    <xf numFmtId="0" fontId="8" fillId="0" borderId="6" xfId="0" applyFont="1" applyBorder="1" applyAlignment="1">
      <alignment horizontal="center" vertical="center" wrapText="1"/>
    </xf>
    <xf numFmtId="0" fontId="10" fillId="0" borderId="7" xfId="0" applyFont="1" applyBorder="1" applyAlignment="1">
      <alignment vertical="center" wrapText="1"/>
    </xf>
    <xf numFmtId="0" fontId="8" fillId="3" borderId="8" xfId="0" applyFont="1" applyFill="1" applyBorder="1" applyAlignment="1">
      <alignment vertical="center" wrapText="1"/>
    </xf>
    <xf numFmtId="0" fontId="10" fillId="0" borderId="7" xfId="0" applyFont="1" applyBorder="1" applyAlignment="1">
      <alignment horizontal="justify" vertical="center" wrapText="1"/>
    </xf>
    <xf numFmtId="0" fontId="8" fillId="0" borderId="9" xfId="0" applyFont="1" applyBorder="1" applyAlignment="1">
      <alignment vertical="center" wrapText="1"/>
    </xf>
    <xf numFmtId="0" fontId="10" fillId="3" borderId="8" xfId="0" applyFont="1" applyFill="1" applyBorder="1" applyAlignment="1">
      <alignment vertical="center" wrapText="1"/>
    </xf>
    <xf numFmtId="0" fontId="8" fillId="0" borderId="7" xfId="0" applyFont="1" applyBorder="1" applyAlignment="1">
      <alignment vertical="center" wrapText="1"/>
    </xf>
    <xf numFmtId="0" fontId="11" fillId="0" borderId="0" xfId="0" applyFont="1" applyAlignment="1">
      <alignment horizontal="center" vertical="top"/>
    </xf>
    <xf numFmtId="0" fontId="12" fillId="0" borderId="0" xfId="0" applyFont="1" applyAlignment="1">
      <alignment horizontal="center" vertical="top"/>
    </xf>
    <xf numFmtId="0" fontId="13" fillId="0" borderId="0" xfId="0" applyFont="1" applyBorder="1"/>
    <xf numFmtId="0" fontId="14" fillId="0" borderId="0" xfId="0" applyFont="1" applyBorder="1"/>
    <xf numFmtId="0" fontId="15" fillId="0" borderId="0" xfId="1" applyFont="1" applyFill="1" applyBorder="1" applyAlignment="1">
      <alignment horizontal="center" vertical="center" wrapText="1"/>
    </xf>
    <xf numFmtId="0" fontId="3" fillId="0" borderId="0" xfId="0" applyFont="1" applyBorder="1" applyAlignment="1">
      <alignment vertical="center" wrapText="1"/>
    </xf>
    <xf numFmtId="0" fontId="1" fillId="0" borderId="0" xfId="0" applyFont="1" applyBorder="1" applyAlignment="1">
      <alignment vertical="center" wrapText="1"/>
    </xf>
    <xf numFmtId="0" fontId="6" fillId="0" borderId="0" xfId="0" applyFont="1" applyBorder="1" applyAlignment="1">
      <alignment vertical="center" wrapText="1"/>
    </xf>
    <xf numFmtId="14" fontId="1" fillId="0" borderId="0" xfId="0" applyNumberFormat="1" applyFont="1"/>
    <xf numFmtId="165" fontId="1" fillId="0" borderId="0" xfId="0" applyNumberFormat="1" applyFont="1"/>
    <xf numFmtId="166" fontId="0" fillId="0" borderId="0" xfId="0" applyNumberFormat="1"/>
    <xf numFmtId="14" fontId="3" fillId="0" borderId="0" xfId="0" applyNumberFormat="1" applyFont="1" applyBorder="1" applyAlignment="1">
      <alignment vertical="center" wrapText="1"/>
    </xf>
    <xf numFmtId="14" fontId="0" fillId="0" borderId="0" xfId="0" applyNumberFormat="1" applyBorder="1"/>
    <xf numFmtId="167" fontId="0" fillId="0" borderId="0" xfId="0" applyNumberFormat="1" applyBorder="1"/>
    <xf numFmtId="0" fontId="1" fillId="0" borderId="0" xfId="0" applyFont="1" applyBorder="1"/>
    <xf numFmtId="164" fontId="0" fillId="0" borderId="0" xfId="0" applyNumberFormat="1" applyBorder="1"/>
    <xf numFmtId="164" fontId="1" fillId="0" borderId="0" xfId="0" applyNumberFormat="1" applyFont="1" applyBorder="1" applyAlignment="1">
      <alignment vertical="center" wrapText="1"/>
    </xf>
    <xf numFmtId="0" fontId="16" fillId="7" borderId="0" xfId="0" applyFont="1" applyFill="1" applyAlignment="1">
      <alignment horizontal="center"/>
    </xf>
    <xf numFmtId="0" fontId="4" fillId="0" borderId="10" xfId="0" applyFont="1" applyBorder="1" applyAlignment="1">
      <alignment vertical="center" wrapText="1"/>
    </xf>
    <xf numFmtId="0" fontId="4" fillId="0" borderId="4" xfId="0" applyFont="1" applyBorder="1" applyAlignment="1">
      <alignment vertical="center" wrapText="1"/>
    </xf>
    <xf numFmtId="0" fontId="3" fillId="0" borderId="10" xfId="0" applyFont="1" applyBorder="1" applyAlignment="1">
      <alignment horizontal="center" vertical="center" wrapText="1"/>
    </xf>
    <xf numFmtId="0" fontId="4" fillId="0" borderId="4" xfId="0" applyFont="1" applyBorder="1" applyAlignment="1">
      <alignment horizontal="left" vertical="center" wrapText="1"/>
    </xf>
    <xf numFmtId="0" fontId="4" fillId="0" borderId="0" xfId="0" applyFont="1" applyBorder="1" applyAlignment="1">
      <alignment horizontal="center" vertical="center" wrapText="1"/>
    </xf>
    <xf numFmtId="0" fontId="4" fillId="0" borderId="0" xfId="0" applyFont="1" applyBorder="1" applyAlignment="1">
      <alignment vertical="center" wrapText="1"/>
    </xf>
    <xf numFmtId="0" fontId="4" fillId="0" borderId="0" xfId="0" applyFont="1" applyFill="1" applyBorder="1" applyAlignment="1">
      <alignment horizontal="center" vertical="center" wrapText="1"/>
    </xf>
    <xf numFmtId="0" fontId="4" fillId="0" borderId="0" xfId="0" applyFont="1" applyFill="1" applyBorder="1" applyAlignment="1">
      <alignment horizontal="left" vertical="center" wrapText="1"/>
    </xf>
    <xf numFmtId="0" fontId="4" fillId="0" borderId="0" xfId="0" applyFont="1" applyFill="1" applyBorder="1" applyAlignment="1">
      <alignment vertical="center" wrapText="1"/>
    </xf>
    <xf numFmtId="0" fontId="3" fillId="0" borderId="0" xfId="0" applyFont="1" applyFill="1" applyBorder="1" applyAlignment="1">
      <alignment vertical="center" wrapText="1"/>
    </xf>
    <xf numFmtId="0" fontId="0" fillId="0" borderId="0" xfId="0" applyFont="1"/>
    <xf numFmtId="0" fontId="0" fillId="0" borderId="0" xfId="0" applyFont="1" applyFill="1"/>
    <xf numFmtId="0" fontId="0" fillId="0" borderId="0" xfId="0" applyFont="1" applyAlignment="1">
      <alignment wrapText="1"/>
    </xf>
    <xf numFmtId="0" fontId="0" fillId="0" borderId="0" xfId="0" applyFont="1" applyBorder="1"/>
    <xf numFmtId="0" fontId="0" fillId="0" borderId="0" xfId="0" applyFont="1" applyFill="1" applyBorder="1"/>
    <xf numFmtId="0" fontId="4" fillId="4" borderId="0" xfId="0" applyFont="1" applyFill="1" applyBorder="1" applyAlignment="1">
      <alignment vertical="center" wrapText="1"/>
    </xf>
    <xf numFmtId="0" fontId="8" fillId="0" borderId="0" xfId="0" applyFont="1" applyFill="1" applyBorder="1" applyAlignment="1">
      <alignment horizontal="justify" vertical="center" wrapText="1"/>
    </xf>
    <xf numFmtId="0" fontId="10" fillId="0" borderId="0" xfId="0" applyFont="1" applyFill="1" applyBorder="1" applyAlignment="1">
      <alignment horizontal="center" vertical="center" wrapText="1"/>
    </xf>
    <xf numFmtId="0" fontId="8" fillId="0" borderId="0" xfId="0" applyFont="1" applyFill="1" applyBorder="1" applyAlignment="1">
      <alignment vertical="center" wrapText="1"/>
    </xf>
    <xf numFmtId="0" fontId="10" fillId="0" borderId="0" xfId="0" applyFont="1" applyFill="1" applyBorder="1" applyAlignment="1">
      <alignment vertical="center" wrapText="1"/>
    </xf>
    <xf numFmtId="0" fontId="4" fillId="0" borderId="5" xfId="0" applyFont="1" applyFill="1" applyBorder="1" applyAlignment="1">
      <alignment vertical="center" wrapText="1"/>
    </xf>
    <xf numFmtId="0" fontId="9" fillId="0" borderId="0" xfId="0" applyFont="1" applyFill="1" applyBorder="1" applyAlignment="1">
      <alignment vertical="center" wrapText="1"/>
    </xf>
    <xf numFmtId="0" fontId="8" fillId="0" borderId="8" xfId="0" applyFont="1" applyFill="1" applyBorder="1" applyAlignment="1">
      <alignment vertical="center" wrapText="1"/>
    </xf>
    <xf numFmtId="0" fontId="10" fillId="0" borderId="0" xfId="0" applyFont="1" applyBorder="1" applyAlignment="1">
      <alignment horizontal="center" vertical="center" wrapText="1"/>
    </xf>
    <xf numFmtId="0" fontId="0" fillId="0" borderId="0" xfId="0" pivotButton="1"/>
    <xf numFmtId="0" fontId="0" fillId="0" borderId="0" xfId="0" applyAlignment="1">
      <alignment horizontal="left"/>
    </xf>
    <xf numFmtId="49" fontId="0" fillId="0" borderId="0" xfId="0" applyNumberFormat="1"/>
    <xf numFmtId="0" fontId="0" fillId="8" borderId="0" xfId="0" applyFill="1"/>
    <xf numFmtId="0" fontId="0" fillId="0" borderId="0" xfId="0" applyFont="1" applyProtection="1">
      <protection locked="0"/>
    </xf>
    <xf numFmtId="0" fontId="19" fillId="0" borderId="0" xfId="0" applyFont="1" applyBorder="1"/>
    <xf numFmtId="14" fontId="18" fillId="0" borderId="0" xfId="0" applyNumberFormat="1" applyFont="1" applyBorder="1"/>
    <xf numFmtId="0" fontId="18" fillId="0" borderId="0" xfId="0" applyFont="1" applyBorder="1"/>
    <xf numFmtId="164" fontId="18" fillId="0" borderId="0" xfId="0" applyNumberFormat="1" applyFont="1" applyBorder="1"/>
    <xf numFmtId="167" fontId="18" fillId="0" borderId="0" xfId="0" applyNumberFormat="1" applyFont="1" applyBorder="1"/>
    <xf numFmtId="0" fontId="18" fillId="0" borderId="0" xfId="0" applyFont="1" applyBorder="1" applyAlignment="1"/>
    <xf numFmtId="14" fontId="17" fillId="0" borderId="0" xfId="0" applyNumberFormat="1" applyFont="1" applyBorder="1"/>
    <xf numFmtId="0" fontId="17" fillId="0" borderId="0" xfId="0" applyFont="1" applyBorder="1"/>
    <xf numFmtId="14" fontId="18" fillId="0" borderId="0" xfId="0" applyNumberFormat="1" applyFont="1" applyFill="1"/>
    <xf numFmtId="164" fontId="17" fillId="0" borderId="0" xfId="0" applyNumberFormat="1" applyFont="1" applyBorder="1"/>
    <xf numFmtId="167" fontId="17" fillId="0" borderId="0" xfId="0" applyNumberFormat="1" applyFont="1" applyBorder="1"/>
    <xf numFmtId="0" fontId="18" fillId="0" borderId="0" xfId="0" applyFont="1" applyFill="1"/>
    <xf numFmtId="14" fontId="18" fillId="0" borderId="0" xfId="0" applyNumberFormat="1" applyFont="1"/>
    <xf numFmtId="0" fontId="18" fillId="0" borderId="0" xfId="0" applyFont="1"/>
    <xf numFmtId="164" fontId="18" fillId="0" borderId="0" xfId="0" applyNumberFormat="1" applyFont="1"/>
    <xf numFmtId="167" fontId="18" fillId="0" borderId="0" xfId="0" applyNumberFormat="1" applyFont="1"/>
    <xf numFmtId="0" fontId="18" fillId="0" borderId="0" xfId="0" applyNumberFormat="1" applyFont="1"/>
    <xf numFmtId="0" fontId="18" fillId="0" borderId="0" xfId="0" applyFont="1" applyFill="1" applyBorder="1"/>
    <xf numFmtId="0" fontId="0" fillId="0" borderId="0" xfId="0" applyFill="1"/>
    <xf numFmtId="0" fontId="20" fillId="0" borderId="0" xfId="0" applyFont="1"/>
    <xf numFmtId="0" fontId="1" fillId="0" borderId="0" xfId="0" applyFont="1" applyFill="1" applyBorder="1"/>
    <xf numFmtId="0" fontId="4" fillId="0" borderId="2" xfId="0" applyFont="1" applyBorder="1" applyAlignment="1">
      <alignment horizontal="center" vertical="center" wrapText="1"/>
    </xf>
    <xf numFmtId="0" fontId="4" fillId="9" borderId="5" xfId="0" applyFont="1" applyFill="1" applyBorder="1" applyAlignment="1">
      <alignment vertical="center" wrapText="1"/>
    </xf>
    <xf numFmtId="0" fontId="8" fillId="0" borderId="2" xfId="0" applyFont="1" applyBorder="1" applyAlignment="1">
      <alignment horizontal="center" vertical="center" wrapText="1"/>
    </xf>
    <xf numFmtId="0" fontId="4" fillId="0" borderId="2" xfId="0" applyFont="1" applyBorder="1" applyAlignment="1">
      <alignment horizontal="left" vertical="center" wrapText="1"/>
    </xf>
    <xf numFmtId="0" fontId="4" fillId="9" borderId="2" xfId="0" applyFont="1" applyFill="1" applyBorder="1" applyAlignment="1">
      <alignment vertical="center" wrapText="1"/>
    </xf>
    <xf numFmtId="0" fontId="4" fillId="0" borderId="2" xfId="0" applyFont="1" applyFill="1" applyBorder="1" applyAlignment="1">
      <alignment vertical="center" wrapText="1"/>
    </xf>
    <xf numFmtId="0" fontId="4" fillId="3" borderId="5" xfId="0" applyFont="1" applyFill="1" applyBorder="1" applyAlignment="1">
      <alignment vertical="center" wrapText="1"/>
    </xf>
    <xf numFmtId="0" fontId="4" fillId="3" borderId="2" xfId="0" applyFont="1" applyFill="1" applyBorder="1" applyAlignment="1">
      <alignment vertical="center" wrapText="1"/>
    </xf>
    <xf numFmtId="0" fontId="3" fillId="0" borderId="2" xfId="0" applyFont="1" applyFill="1" applyBorder="1" applyAlignment="1">
      <alignment vertical="center" wrapText="1"/>
    </xf>
    <xf numFmtId="0" fontId="10" fillId="0" borderId="8" xfId="0" applyFont="1" applyFill="1" applyBorder="1" applyAlignment="1">
      <alignment vertical="center" wrapText="1"/>
    </xf>
    <xf numFmtId="49" fontId="4" fillId="0" borderId="2" xfId="0" applyNumberFormat="1" applyFont="1" applyBorder="1" applyAlignment="1">
      <alignment vertical="center" wrapText="1"/>
    </xf>
    <xf numFmtId="0" fontId="8" fillId="0" borderId="9" xfId="0" applyFont="1" applyBorder="1" applyAlignment="1">
      <alignment horizontal="center" vertical="center" wrapText="1"/>
    </xf>
    <xf numFmtId="0" fontId="3" fillId="0" borderId="9" xfId="0" applyFont="1" applyFill="1" applyBorder="1" applyAlignment="1">
      <alignment horizontal="center" vertical="center" wrapText="1"/>
    </xf>
    <xf numFmtId="0" fontId="4" fillId="0" borderId="8" xfId="0" applyFont="1" applyFill="1" applyBorder="1" applyAlignment="1">
      <alignment vertical="center" wrapText="1"/>
    </xf>
    <xf numFmtId="0" fontId="10" fillId="0" borderId="9" xfId="0" applyFont="1" applyFill="1" applyBorder="1" applyAlignment="1">
      <alignment vertical="center" wrapText="1"/>
    </xf>
    <xf numFmtId="0" fontId="10" fillId="0" borderId="6" xfId="0" applyFont="1" applyFill="1" applyBorder="1" applyAlignment="1">
      <alignment vertical="center" wrapText="1"/>
    </xf>
    <xf numFmtId="0" fontId="10" fillId="0" borderId="7" xfId="0" applyFont="1" applyFill="1" applyBorder="1" applyAlignment="1">
      <alignment vertical="center" wrapText="1"/>
    </xf>
    <xf numFmtId="0" fontId="4" fillId="0" borderId="17" xfId="0" applyFont="1" applyBorder="1" applyAlignment="1">
      <alignment vertical="center" wrapText="1"/>
    </xf>
    <xf numFmtId="0" fontId="3" fillId="0" borderId="17" xfId="0" applyFont="1" applyBorder="1" applyAlignment="1">
      <alignment horizontal="center" vertical="center" wrapText="1"/>
    </xf>
    <xf numFmtId="0" fontId="3" fillId="0" borderId="18" xfId="0" applyFont="1" applyBorder="1" applyAlignment="1">
      <alignment horizontal="center" vertical="center" wrapText="1"/>
    </xf>
    <xf numFmtId="0" fontId="4" fillId="6" borderId="8" xfId="0" applyFont="1" applyFill="1" applyBorder="1" applyAlignment="1">
      <alignment vertical="center" wrapText="1"/>
    </xf>
    <xf numFmtId="0" fontId="10" fillId="9" borderId="8" xfId="0" applyFont="1" applyFill="1" applyBorder="1" applyAlignment="1">
      <alignment vertical="center" wrapText="1"/>
    </xf>
    <xf numFmtId="0" fontId="0" fillId="0" borderId="0" xfId="0" applyFont="1" applyAlignment="1">
      <alignment horizontal="left"/>
    </xf>
    <xf numFmtId="0" fontId="22" fillId="0" borderId="19" xfId="3"/>
    <xf numFmtId="0" fontId="22" fillId="0" borderId="19" xfId="3" applyAlignment="1">
      <alignment horizontal="left"/>
    </xf>
    <xf numFmtId="0" fontId="0" fillId="0" borderId="0" xfId="0" applyFont="1" applyBorder="1" applyAlignment="1">
      <alignment horizontal="left"/>
    </xf>
    <xf numFmtId="0" fontId="21" fillId="0" borderId="0" xfId="2" applyBorder="1" applyAlignment="1">
      <alignment vertical="center"/>
    </xf>
    <xf numFmtId="0" fontId="0" fillId="0" borderId="0" xfId="0"/>
    <xf numFmtId="0" fontId="1" fillId="0" borderId="20" xfId="0" applyFont="1" applyBorder="1" applyAlignment="1">
      <alignment vertical="center" wrapText="1"/>
    </xf>
    <xf numFmtId="0" fontId="1" fillId="0" borderId="20" xfId="0" applyFont="1" applyBorder="1"/>
    <xf numFmtId="0" fontId="24" fillId="0" borderId="0" xfId="0" applyFont="1" applyBorder="1"/>
    <xf numFmtId="0" fontId="25" fillId="0" borderId="0" xfId="1" applyFont="1" applyFill="1" applyBorder="1" applyAlignment="1">
      <alignment horizontal="center" vertical="center" wrapText="1"/>
    </xf>
    <xf numFmtId="0" fontId="26" fillId="0" borderId="21" xfId="4" applyFill="1"/>
    <xf numFmtId="14" fontId="26" fillId="0" borderId="21" xfId="4" applyNumberFormat="1"/>
    <xf numFmtId="0" fontId="26" fillId="0" borderId="21" xfId="4"/>
    <xf numFmtId="0" fontId="22" fillId="0" borderId="19" xfId="3" applyAlignment="1">
      <alignment wrapText="1"/>
    </xf>
    <xf numFmtId="0" fontId="20" fillId="0" borderId="0" xfId="0" applyFont="1" applyBorder="1"/>
    <xf numFmtId="0" fontId="20" fillId="0" borderId="0" xfId="0" applyFont="1" applyFill="1" applyBorder="1"/>
    <xf numFmtId="0" fontId="20" fillId="0" borderId="0" xfId="1" applyFont="1" applyFill="1" applyBorder="1" applyAlignment="1">
      <alignment wrapText="1"/>
    </xf>
    <xf numFmtId="0" fontId="22" fillId="0" borderId="19" xfId="3" applyFill="1" applyAlignment="1">
      <alignment wrapText="1"/>
    </xf>
    <xf numFmtId="0" fontId="22" fillId="0" borderId="19" xfId="3" applyFill="1" applyAlignment="1">
      <alignment horizontal="left" wrapText="1"/>
    </xf>
    <xf numFmtId="0" fontId="0" fillId="0" borderId="0" xfId="0" applyFill="1" applyAlignment="1">
      <alignment horizontal="left"/>
    </xf>
    <xf numFmtId="0" fontId="20" fillId="0" borderId="0" xfId="0" applyFont="1" applyAlignment="1">
      <alignment wrapText="1"/>
    </xf>
    <xf numFmtId="0" fontId="20" fillId="10" borderId="22" xfId="5" applyFont="1" applyBorder="1"/>
    <xf numFmtId="14" fontId="20" fillId="10" borderId="23" xfId="5" applyNumberFormat="1" applyFont="1" applyBorder="1"/>
    <xf numFmtId="0" fontId="20" fillId="10" borderId="23" xfId="5" applyFont="1" applyBorder="1"/>
    <xf numFmtId="164" fontId="20" fillId="10" borderId="23" xfId="5" applyNumberFormat="1" applyFont="1" applyBorder="1"/>
    <xf numFmtId="167" fontId="20" fillId="10" borderId="23" xfId="5" applyNumberFormat="1" applyFont="1" applyBorder="1"/>
    <xf numFmtId="0" fontId="20" fillId="10" borderId="24" xfId="5" applyFont="1" applyBorder="1"/>
    <xf numFmtId="0" fontId="20" fillId="10" borderId="0" xfId="5" applyFont="1" applyBorder="1"/>
    <xf numFmtId="0" fontId="4" fillId="0" borderId="0" xfId="0" applyFont="1"/>
    <xf numFmtId="0" fontId="3" fillId="0" borderId="9" xfId="0" applyFont="1" applyBorder="1" applyAlignment="1">
      <alignment vertical="center" wrapText="1"/>
    </xf>
    <xf numFmtId="0" fontId="4" fillId="0" borderId="0" xfId="0" applyFont="1" applyAlignment="1">
      <alignment wrapText="1"/>
    </xf>
    <xf numFmtId="0" fontId="4" fillId="0" borderId="9" xfId="0" applyFont="1" applyBorder="1" applyAlignment="1">
      <alignment vertical="center" wrapText="1"/>
    </xf>
    <xf numFmtId="0" fontId="4" fillId="5" borderId="0" xfId="0" applyFont="1" applyFill="1" applyBorder="1" applyAlignment="1">
      <alignment horizontal="center" vertical="center" wrapText="1"/>
    </xf>
    <xf numFmtId="0" fontId="29" fillId="0" borderId="7" xfId="0" applyFont="1" applyBorder="1" applyAlignment="1">
      <alignment vertical="center" wrapText="1"/>
    </xf>
    <xf numFmtId="0" fontId="8" fillId="0" borderId="9" xfId="0" applyFont="1" applyFill="1" applyBorder="1" applyAlignment="1">
      <alignment horizontal="justify" vertical="center" wrapText="1"/>
    </xf>
    <xf numFmtId="0" fontId="3" fillId="4" borderId="6" xfId="0" applyFont="1" applyFill="1" applyBorder="1" applyAlignment="1">
      <alignment horizontal="center" vertical="center" wrapText="1"/>
    </xf>
    <xf numFmtId="0" fontId="0" fillId="11" borderId="20" xfId="0" applyFont="1" applyFill="1" applyBorder="1" applyAlignment="1" applyProtection="1">
      <alignment horizontal="left" vertical="center" wrapText="1"/>
      <protection locked="0"/>
    </xf>
    <xf numFmtId="14" fontId="0" fillId="11" borderId="20" xfId="0" applyNumberFormat="1" applyFont="1" applyFill="1" applyBorder="1" applyAlignment="1" applyProtection="1">
      <alignment horizontal="left" vertical="center" wrapText="1"/>
      <protection locked="0"/>
    </xf>
    <xf numFmtId="164" fontId="0" fillId="11" borderId="20" xfId="0" applyNumberFormat="1" applyFont="1" applyFill="1" applyBorder="1" applyAlignment="1" applyProtection="1">
      <alignment horizontal="left" vertical="center" wrapText="1"/>
      <protection locked="0"/>
    </xf>
    <xf numFmtId="165" fontId="0" fillId="11" borderId="20" xfId="0" applyNumberFormat="1" applyFont="1" applyFill="1" applyBorder="1" applyAlignment="1" applyProtection="1">
      <alignment horizontal="left" vertical="center" wrapText="1"/>
      <protection locked="0"/>
    </xf>
    <xf numFmtId="0" fontId="0" fillId="0" borderId="26" xfId="0" applyFont="1" applyBorder="1"/>
    <xf numFmtId="0" fontId="0" fillId="0" borderId="25" xfId="0" applyFont="1" applyBorder="1" applyAlignment="1">
      <alignment horizontal="left"/>
    </xf>
    <xf numFmtId="0" fontId="26" fillId="0" borderId="21" xfId="4" applyAlignment="1">
      <alignment vertical="top"/>
    </xf>
    <xf numFmtId="0" fontId="26" fillId="0" borderId="21" xfId="4" applyFill="1" applyAlignment="1">
      <alignment horizontal="left"/>
    </xf>
    <xf numFmtId="0" fontId="26" fillId="0" borderId="21" xfId="4" applyAlignment="1">
      <alignment horizontal="left"/>
    </xf>
    <xf numFmtId="0" fontId="0" fillId="0" borderId="0" xfId="0"/>
    <xf numFmtId="0" fontId="30" fillId="0" borderId="19" xfId="3" applyFont="1"/>
    <xf numFmtId="0" fontId="30" fillId="0" borderId="19" xfId="3" applyFont="1" applyFill="1" applyAlignment="1">
      <alignment wrapText="1"/>
    </xf>
    <xf numFmtId="0" fontId="31" fillId="0" borderId="0" xfId="0" applyFont="1" applyFill="1"/>
    <xf numFmtId="0" fontId="31" fillId="0" borderId="0" xfId="0" applyFont="1"/>
    <xf numFmtId="164" fontId="28" fillId="11" borderId="20" xfId="6" applyNumberFormat="1" applyFill="1" applyBorder="1" applyAlignment="1" applyProtection="1">
      <alignment horizontal="left" vertical="center" wrapText="1"/>
      <protection locked="0"/>
    </xf>
    <xf numFmtId="0" fontId="4" fillId="12" borderId="2" xfId="0" applyFont="1" applyFill="1" applyBorder="1" applyAlignment="1">
      <alignment vertical="center" wrapText="1"/>
    </xf>
    <xf numFmtId="0" fontId="29" fillId="0" borderId="2" xfId="0" applyFont="1" applyBorder="1" applyAlignment="1">
      <alignment vertical="center" wrapText="1"/>
    </xf>
    <xf numFmtId="9" fontId="4" fillId="9" borderId="2" xfId="0" applyNumberFormat="1" applyFont="1" applyFill="1" applyBorder="1" applyAlignment="1">
      <alignment vertical="center" wrapText="1"/>
    </xf>
    <xf numFmtId="9" fontId="0" fillId="0" borderId="0" xfId="0" applyNumberFormat="1" applyFont="1"/>
    <xf numFmtId="9" fontId="4" fillId="9" borderId="5" xfId="0" applyNumberFormat="1" applyFont="1" applyFill="1" applyBorder="1" applyAlignment="1">
      <alignment vertical="center" wrapText="1"/>
    </xf>
    <xf numFmtId="0" fontId="4" fillId="0" borderId="5" xfId="0" applyFont="1" applyBorder="1" applyAlignment="1">
      <alignment vertical="center" wrapText="1"/>
    </xf>
    <xf numFmtId="0" fontId="4" fillId="9" borderId="2" xfId="0" applyFont="1" applyFill="1" applyBorder="1" applyAlignment="1">
      <alignment horizontal="right" vertical="center" wrapText="1"/>
    </xf>
    <xf numFmtId="0" fontId="4" fillId="0" borderId="2" xfId="0" applyFont="1" applyFill="1" applyBorder="1" applyAlignment="1">
      <alignment horizontal="right" vertical="center" wrapText="1"/>
    </xf>
    <xf numFmtId="0" fontId="4" fillId="9" borderId="5" xfId="0" applyFont="1" applyFill="1" applyBorder="1" applyAlignment="1">
      <alignment horizontal="right" vertical="center" wrapText="1"/>
    </xf>
    <xf numFmtId="0" fontId="4" fillId="0" borderId="5" xfId="0" applyFont="1" applyFill="1" applyBorder="1" applyAlignment="1">
      <alignment horizontal="right" vertical="center" wrapText="1"/>
    </xf>
    <xf numFmtId="0" fontId="4" fillId="3" borderId="2" xfId="0" applyFont="1" applyFill="1" applyBorder="1" applyAlignment="1">
      <alignment horizontal="right" vertical="center" wrapText="1"/>
    </xf>
    <xf numFmtId="0" fontId="4" fillId="3" borderId="5" xfId="0" applyFont="1" applyFill="1" applyBorder="1" applyAlignment="1">
      <alignment horizontal="right" vertical="center" wrapText="1"/>
    </xf>
    <xf numFmtId="0" fontId="8" fillId="0" borderId="0" xfId="0" applyFont="1" applyAlignment="1">
      <alignment vertical="center" wrapText="1"/>
    </xf>
    <xf numFmtId="0" fontId="4" fillId="0" borderId="9" xfId="0" applyFont="1" applyBorder="1" applyAlignment="1">
      <alignment wrapText="1"/>
    </xf>
    <xf numFmtId="0" fontId="4" fillId="4" borderId="9" xfId="0" applyFont="1" applyFill="1" applyBorder="1" applyAlignment="1">
      <alignment vertical="center" wrapText="1"/>
    </xf>
    <xf numFmtId="0" fontId="3" fillId="0" borderId="0" xfId="0" applyFont="1" applyAlignment="1">
      <alignment vertical="center" wrapText="1"/>
    </xf>
    <xf numFmtId="0" fontId="26" fillId="0" borderId="21" xfId="4" applyAlignment="1">
      <alignment wrapText="1"/>
    </xf>
    <xf numFmtId="0" fontId="0" fillId="0" borderId="0" xfId="0" applyFont="1" applyBorder="1" applyAlignment="1">
      <alignment wrapText="1"/>
    </xf>
    <xf numFmtId="0" fontId="8" fillId="0" borderId="16" xfId="0" applyFont="1" applyBorder="1" applyAlignment="1">
      <alignment vertical="center" wrapText="1"/>
    </xf>
    <xf numFmtId="0" fontId="4" fillId="0" borderId="16" xfId="0" applyFont="1" applyBorder="1" applyAlignment="1">
      <alignment wrapText="1"/>
    </xf>
    <xf numFmtId="0" fontId="4" fillId="0" borderId="0" xfId="0" applyFont="1" applyFill="1" applyAlignment="1">
      <alignment wrapText="1"/>
    </xf>
    <xf numFmtId="0" fontId="4" fillId="0" borderId="0" xfId="0" applyFont="1" applyBorder="1" applyAlignment="1">
      <alignment wrapText="1"/>
    </xf>
    <xf numFmtId="0" fontId="4" fillId="0" borderId="0" xfId="0" applyFont="1" applyFill="1" applyBorder="1" applyAlignment="1">
      <alignment wrapText="1"/>
    </xf>
    <xf numFmtId="0" fontId="4" fillId="5" borderId="9" xfId="0" applyFont="1" applyFill="1" applyBorder="1" applyAlignment="1">
      <alignment vertical="center" wrapText="1"/>
    </xf>
    <xf numFmtId="0" fontId="1" fillId="0" borderId="27" xfId="0" applyFont="1" applyFill="1" applyBorder="1" applyAlignment="1">
      <alignment wrapText="1"/>
    </xf>
    <xf numFmtId="0" fontId="1" fillId="0" borderId="28" xfId="0" applyFont="1" applyBorder="1" applyAlignment="1">
      <alignment wrapText="1"/>
    </xf>
    <xf numFmtId="0" fontId="16" fillId="0" borderId="0" xfId="0" applyFont="1" applyFill="1" applyAlignment="1">
      <alignment horizontal="center" wrapText="1"/>
    </xf>
    <xf numFmtId="0" fontId="0" fillId="0" borderId="0" xfId="0" applyFont="1" applyFill="1" applyAlignment="1">
      <alignment wrapText="1"/>
    </xf>
    <xf numFmtId="0" fontId="4" fillId="0" borderId="15" xfId="0" applyFont="1" applyBorder="1" applyAlignment="1">
      <alignment wrapText="1"/>
    </xf>
    <xf numFmtId="0" fontId="4" fillId="4" borderId="7" xfId="0" applyFont="1" applyFill="1" applyBorder="1" applyAlignment="1">
      <alignment vertical="center" wrapText="1"/>
    </xf>
    <xf numFmtId="0" fontId="4" fillId="4" borderId="8" xfId="0" applyFont="1" applyFill="1" applyBorder="1" applyAlignment="1">
      <alignment vertical="center" wrapText="1"/>
    </xf>
    <xf numFmtId="0" fontId="4" fillId="0" borderId="0" xfId="0" applyFont="1" applyFill="1" applyBorder="1" applyAlignment="1">
      <alignment horizontal="right" vertical="center" wrapText="1"/>
    </xf>
    <xf numFmtId="0" fontId="18" fillId="13" borderId="0" xfId="7" applyAlignment="1">
      <alignment vertical="center"/>
    </xf>
    <xf numFmtId="0" fontId="18" fillId="13" borderId="0" xfId="7" applyAlignment="1">
      <alignment wrapText="1"/>
    </xf>
    <xf numFmtId="0" fontId="18" fillId="14" borderId="0" xfId="8" applyAlignment="1">
      <alignment vertical="center"/>
    </xf>
    <xf numFmtId="0" fontId="18" fillId="14" borderId="0" xfId="8" applyAlignment="1">
      <alignment wrapText="1"/>
    </xf>
    <xf numFmtId="0" fontId="18" fillId="14" borderId="0" xfId="8" applyAlignment="1">
      <alignment horizontal="left" wrapText="1"/>
    </xf>
    <xf numFmtId="0" fontId="18" fillId="13" borderId="0" xfId="7" applyAlignment="1">
      <alignment horizontal="left" wrapText="1"/>
    </xf>
    <xf numFmtId="0" fontId="18" fillId="15" borderId="0" xfId="9" applyAlignment="1">
      <alignment wrapText="1"/>
    </xf>
    <xf numFmtId="0" fontId="18" fillId="16" borderId="0" xfId="10" applyAlignment="1">
      <alignment wrapText="1"/>
    </xf>
    <xf numFmtId="0" fontId="18" fillId="16" borderId="29" xfId="10" applyBorder="1" applyAlignment="1">
      <alignment wrapText="1"/>
    </xf>
    <xf numFmtId="0" fontId="18" fillId="15" borderId="0" xfId="9"/>
    <xf numFmtId="0" fontId="18" fillId="16" borderId="0" xfId="10"/>
    <xf numFmtId="0" fontId="18" fillId="16" borderId="0" xfId="10" applyBorder="1" applyAlignment="1">
      <alignment wrapText="1"/>
    </xf>
    <xf numFmtId="0" fontId="18" fillId="15" borderId="0" xfId="9" applyBorder="1" applyAlignment="1">
      <alignment wrapText="1"/>
    </xf>
    <xf numFmtId="0" fontId="18" fillId="16" borderId="0" xfId="10" applyBorder="1" applyAlignment="1">
      <alignment horizontal="left" wrapText="1"/>
    </xf>
    <xf numFmtId="0" fontId="0" fillId="0" borderId="20" xfId="0" applyBorder="1" applyAlignment="1">
      <alignment wrapText="1"/>
    </xf>
    <xf numFmtId="0" fontId="0" fillId="0" borderId="31" xfId="0" applyBorder="1" applyAlignment="1">
      <alignment wrapText="1"/>
    </xf>
    <xf numFmtId="0" fontId="0" fillId="0" borderId="32" xfId="0" applyBorder="1" applyAlignment="1">
      <alignment wrapText="1"/>
    </xf>
    <xf numFmtId="0" fontId="0" fillId="0" borderId="33" xfId="0" applyBorder="1" applyAlignment="1">
      <alignment wrapText="1"/>
    </xf>
    <xf numFmtId="0" fontId="17" fillId="0" borderId="0" xfId="0" applyFont="1"/>
    <xf numFmtId="0" fontId="32" fillId="0" borderId="0" xfId="0" applyFont="1" applyAlignment="1">
      <alignment wrapText="1"/>
    </xf>
    <xf numFmtId="0" fontId="4" fillId="5" borderId="0" xfId="0" applyFont="1" applyFill="1" applyBorder="1" applyAlignment="1">
      <alignment vertical="center" wrapText="1"/>
    </xf>
    <xf numFmtId="0" fontId="3" fillId="0" borderId="0" xfId="0" applyFont="1" applyAlignment="1">
      <alignment vertical="center"/>
    </xf>
    <xf numFmtId="9" fontId="20" fillId="10" borderId="23" xfId="5" applyNumberFormat="1" applyFont="1" applyBorder="1"/>
    <xf numFmtId="0" fontId="18" fillId="0" borderId="0" xfId="0" applyFont="1"/>
    <xf numFmtId="0" fontId="18" fillId="13" borderId="0" xfId="7" applyAlignment="1">
      <alignment horizontal="left" wrapText="1"/>
    </xf>
    <xf numFmtId="0" fontId="18" fillId="14" borderId="0" xfId="8" applyAlignment="1">
      <alignment horizontal="left" wrapText="1"/>
    </xf>
    <xf numFmtId="0" fontId="18" fillId="13" borderId="0" xfId="7" applyAlignment="1">
      <alignment wrapText="1"/>
    </xf>
    <xf numFmtId="0" fontId="18" fillId="14" borderId="0" xfId="8" applyAlignment="1">
      <alignment wrapText="1"/>
    </xf>
    <xf numFmtId="0" fontId="18" fillId="15" borderId="0" xfId="9" applyBorder="1" applyAlignment="1">
      <alignment horizontal="left" wrapText="1"/>
    </xf>
    <xf numFmtId="0" fontId="18" fillId="16" borderId="0" xfId="10" applyBorder="1" applyAlignment="1">
      <alignment horizontal="left" wrapText="1"/>
    </xf>
    <xf numFmtId="0" fontId="18" fillId="15" borderId="0" xfId="9" applyBorder="1" applyAlignment="1">
      <alignment horizontal="left"/>
    </xf>
    <xf numFmtId="0" fontId="18" fillId="16" borderId="30" xfId="10" applyBorder="1" applyAlignment="1">
      <alignment horizontal="left" wrapText="1"/>
    </xf>
    <xf numFmtId="0" fontId="18" fillId="15" borderId="30" xfId="9" applyBorder="1" applyAlignment="1">
      <alignment horizontal="left" wrapText="1"/>
    </xf>
    <xf numFmtId="0" fontId="18" fillId="17" borderId="30" xfId="10" applyFill="1" applyBorder="1" applyAlignment="1">
      <alignment horizontal="left" wrapText="1"/>
    </xf>
    <xf numFmtId="0" fontId="18" fillId="18" borderId="30" xfId="9" applyFill="1" applyBorder="1" applyAlignment="1">
      <alignment horizontal="left" wrapText="1"/>
    </xf>
    <xf numFmtId="0" fontId="18" fillId="15" borderId="30" xfId="9" applyBorder="1" applyAlignment="1">
      <alignment wrapText="1"/>
    </xf>
    <xf numFmtId="0" fontId="18" fillId="18" borderId="30" xfId="9" applyFill="1" applyBorder="1" applyAlignment="1">
      <alignment wrapText="1"/>
    </xf>
    <xf numFmtId="0" fontId="0" fillId="0" borderId="20" xfId="0" applyFont="1" applyBorder="1" applyAlignment="1">
      <alignment horizontal="left" wrapText="1"/>
    </xf>
    <xf numFmtId="0" fontId="0" fillId="0" borderId="20" xfId="0" applyFont="1" applyBorder="1" applyAlignment="1">
      <alignment vertical="top" wrapText="1"/>
    </xf>
    <xf numFmtId="0" fontId="0" fillId="0" borderId="20" xfId="0" applyFont="1" applyBorder="1" applyAlignment="1">
      <alignment horizontal="left" vertical="top" wrapText="1"/>
    </xf>
    <xf numFmtId="0" fontId="28" fillId="0" borderId="21" xfId="6" applyBorder="1" applyAlignment="1">
      <alignment wrapText="1"/>
    </xf>
    <xf numFmtId="0" fontId="3" fillId="0" borderId="0" xfId="0" applyFont="1" applyAlignment="1">
      <alignment vertical="center" wrapText="1"/>
    </xf>
  </cellXfs>
  <cellStyles count="11">
    <cellStyle name="Accent2" xfId="7" builtinId="33"/>
    <cellStyle name="Accent3" xfId="8" builtinId="37"/>
    <cellStyle name="Accent4" xfId="5" builtinId="41"/>
    <cellStyle name="Accent5" xfId="9" builtinId="45"/>
    <cellStyle name="Accent6" xfId="10" builtinId="49"/>
    <cellStyle name="Heading 1" xfId="4" builtinId="16"/>
    <cellStyle name="Heading 2" xfId="3" builtinId="17"/>
    <cellStyle name="Hyperlink" xfId="6" builtinId="8"/>
    <cellStyle name="Input" xfId="1" builtinId="20"/>
    <cellStyle name="Normal" xfId="0" builtinId="0"/>
    <cellStyle name="Title" xfId="2" builtinId="15"/>
  </cellStyles>
  <dxfs count="21">
    <dxf>
      <font>
        <i val="0"/>
        <strike val="0"/>
        <outline val="0"/>
        <shadow val="0"/>
        <u val="none"/>
        <vertAlign val="baseline"/>
        <name val="Calibri"/>
        <scheme val="minor"/>
      </font>
    </dxf>
    <dxf>
      <font>
        <i val="0"/>
        <strike val="0"/>
        <outline val="0"/>
        <shadow val="0"/>
        <u val="none"/>
        <vertAlign val="baseline"/>
        <name val="Calibri"/>
        <scheme val="none"/>
      </font>
    </dxf>
    <dxf>
      <font>
        <i val="0"/>
        <strike val="0"/>
        <outline val="0"/>
        <shadow val="0"/>
        <u val="none"/>
        <vertAlign val="baseline"/>
        <name val="Calibri"/>
        <scheme val="minor"/>
      </font>
    </dxf>
    <dxf>
      <font>
        <i val="0"/>
        <strike val="0"/>
        <outline val="0"/>
        <shadow val="0"/>
        <u val="none"/>
        <vertAlign val="baseline"/>
        <name val="Calibri"/>
        <scheme val="minor"/>
      </font>
    </dxf>
    <dxf>
      <font>
        <i val="0"/>
        <strike val="0"/>
        <outline val="0"/>
        <shadow val="0"/>
        <u val="none"/>
        <vertAlign val="baseline"/>
        <name val="Calibri"/>
        <scheme val="minor"/>
      </font>
    </dxf>
    <dxf>
      <font>
        <i val="0"/>
        <strike val="0"/>
        <outline val="0"/>
        <shadow val="0"/>
        <u val="none"/>
        <vertAlign val="baseline"/>
        <name val="Calibri"/>
        <scheme val="minor"/>
      </font>
    </dxf>
    <dxf>
      <font>
        <b/>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4472C4"/>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7/relationships/slicerCache" Target="slicerCaches/slicerCache3.xml"/><Relationship Id="rId2" Type="http://schemas.openxmlformats.org/officeDocument/2006/relationships/worksheet" Target="worksheets/sheet2.xml"/><Relationship Id="rId16" Type="http://schemas.microsoft.com/office/2007/relationships/slicerCache" Target="slicerCaches/slicerCache2.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microsoft.com/office/2007/relationships/slicerCache" Target="slicerCaches/slicerCach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2</xdr:col>
      <xdr:colOff>0</xdr:colOff>
      <xdr:row>23</xdr:row>
      <xdr:rowOff>334963</xdr:rowOff>
    </xdr:from>
    <xdr:to>
      <xdr:col>3</xdr:col>
      <xdr:colOff>7620</xdr:colOff>
      <xdr:row>24</xdr:row>
      <xdr:rowOff>171450</xdr:rowOff>
    </xdr:to>
    <xdr:sp macro="[0]!NavigateToFolder" textlink="">
      <xdr:nvSpPr>
        <xdr:cNvPr id="3" name="Rectangle 2"/>
        <xdr:cNvSpPr/>
      </xdr:nvSpPr>
      <xdr:spPr>
        <a:xfrm>
          <a:off x="975360" y="5103813"/>
          <a:ext cx="4381500" cy="306387"/>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400"/>
            <a:t>Click here to choose a folder and import data</a:t>
          </a:r>
        </a:p>
      </xdr:txBody>
    </xdr:sp>
    <xdr:clientData fLocksWithSheet="0"/>
  </xdr:twoCellAnchor>
  <xdr:twoCellAnchor editAs="oneCell">
    <xdr:from>
      <xdr:col>0</xdr:col>
      <xdr:colOff>0</xdr:colOff>
      <xdr:row>0</xdr:row>
      <xdr:rowOff>0</xdr:rowOff>
    </xdr:from>
    <xdr:to>
      <xdr:col>1</xdr:col>
      <xdr:colOff>154554</xdr:colOff>
      <xdr:row>5</xdr:row>
      <xdr:rowOff>19050</xdr:rowOff>
    </xdr:to>
    <xdr:pic>
      <xdr:nvPicPr>
        <xdr:cNvPr id="5" name="Picture 4"/>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91154" cy="11684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140017</xdr:colOff>
      <xdr:row>3</xdr:row>
      <xdr:rowOff>72867</xdr:rowOff>
    </xdr:from>
    <xdr:to>
      <xdr:col>8</xdr:col>
      <xdr:colOff>31433</xdr:colOff>
      <xdr:row>5</xdr:row>
      <xdr:rowOff>201454</xdr:rowOff>
    </xdr:to>
    <mc:AlternateContent xmlns:mc="http://schemas.openxmlformats.org/markup-compatibility/2006" xmlns:a14="http://schemas.microsoft.com/office/drawing/2010/main">
      <mc:Choice Requires="a14">
        <xdr:graphicFrame macro="">
          <xdr:nvGraphicFramePr>
            <xdr:cNvPr id="2" name="Project name"/>
            <xdr:cNvGraphicFramePr/>
          </xdr:nvGraphicFramePr>
          <xdr:xfrm>
            <a:off x="0" y="0"/>
            <a:ext cx="0" cy="0"/>
          </xdr:xfrm>
          <a:graphic>
            <a:graphicData uri="http://schemas.microsoft.com/office/drawing/2010/slicer">
              <sle:slicer xmlns:sle="http://schemas.microsoft.com/office/drawing/2010/slicer" name="Project name"/>
            </a:graphicData>
          </a:graphic>
        </xdr:graphicFrame>
      </mc:Choice>
      <mc:Fallback xmlns="">
        <xdr:sp macro="" textlink="">
          <xdr:nvSpPr>
            <xdr:cNvPr id="0" name=""/>
            <xdr:cNvSpPr>
              <a:spLocks noTextEdit="1"/>
            </xdr:cNvSpPr>
          </xdr:nvSpPr>
          <xdr:spPr>
            <a:xfrm>
              <a:off x="7083742" y="330042"/>
              <a:ext cx="3139441" cy="1404937"/>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xdr:col>
      <xdr:colOff>1018222</xdr:colOff>
      <xdr:row>3</xdr:row>
      <xdr:rowOff>72867</xdr:rowOff>
    </xdr:from>
    <xdr:to>
      <xdr:col>5</xdr:col>
      <xdr:colOff>85248</xdr:colOff>
      <xdr:row>4</xdr:row>
      <xdr:rowOff>563406</xdr:rowOff>
    </xdr:to>
    <mc:AlternateContent xmlns:mc="http://schemas.openxmlformats.org/markup-compatibility/2006" xmlns:a14="http://schemas.microsoft.com/office/drawing/2010/main">
      <mc:Choice Requires="a14">
        <xdr:graphicFrame macro="">
          <xdr:nvGraphicFramePr>
            <xdr:cNvPr id="3" name="Project Type"/>
            <xdr:cNvGraphicFramePr/>
          </xdr:nvGraphicFramePr>
          <xdr:xfrm>
            <a:off x="0" y="0"/>
            <a:ext cx="0" cy="0"/>
          </xdr:xfrm>
          <a:graphic>
            <a:graphicData uri="http://schemas.microsoft.com/office/drawing/2010/slicer">
              <sle:slicer xmlns:sle="http://schemas.microsoft.com/office/drawing/2010/slicer" name="Project Type"/>
            </a:graphicData>
          </a:graphic>
        </xdr:graphicFrame>
      </mc:Choice>
      <mc:Fallback xmlns="">
        <xdr:sp macro="" textlink="">
          <xdr:nvSpPr>
            <xdr:cNvPr id="0" name=""/>
            <xdr:cNvSpPr>
              <a:spLocks noTextEdit="1"/>
            </xdr:cNvSpPr>
          </xdr:nvSpPr>
          <xdr:spPr>
            <a:xfrm>
              <a:off x="4378642" y="331947"/>
              <a:ext cx="2648426" cy="87153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0</xdr:col>
      <xdr:colOff>82393</xdr:colOff>
      <xdr:row>3</xdr:row>
      <xdr:rowOff>72867</xdr:rowOff>
    </xdr:from>
    <xdr:to>
      <xdr:col>2</xdr:col>
      <xdr:colOff>962502</xdr:colOff>
      <xdr:row>5</xdr:row>
      <xdr:rowOff>144303</xdr:rowOff>
    </xdr:to>
    <mc:AlternateContent xmlns:mc="http://schemas.openxmlformats.org/markup-compatibility/2006" xmlns:a14="http://schemas.microsoft.com/office/drawing/2010/main">
      <mc:Choice Requires="a14">
        <xdr:graphicFrame macro="">
          <xdr:nvGraphicFramePr>
            <xdr:cNvPr id="4" name="Organization"/>
            <xdr:cNvGraphicFramePr/>
          </xdr:nvGraphicFramePr>
          <xdr:xfrm>
            <a:off x="0" y="0"/>
            <a:ext cx="0" cy="0"/>
          </xdr:xfrm>
          <a:graphic>
            <a:graphicData uri="http://schemas.microsoft.com/office/drawing/2010/slicer">
              <sle:slicer xmlns:sle="http://schemas.microsoft.com/office/drawing/2010/slicer" name="Organization"/>
            </a:graphicData>
          </a:graphic>
        </xdr:graphicFrame>
      </mc:Choice>
      <mc:Fallback xmlns="">
        <xdr:sp macro="" textlink="">
          <xdr:nvSpPr>
            <xdr:cNvPr id="0" name=""/>
            <xdr:cNvSpPr>
              <a:spLocks noTextEdit="1"/>
            </xdr:cNvSpPr>
          </xdr:nvSpPr>
          <xdr:spPr>
            <a:xfrm>
              <a:off x="82393" y="331947"/>
              <a:ext cx="4240529" cy="135159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0</xdr:col>
      <xdr:colOff>100647</xdr:colOff>
      <xdr:row>5</xdr:row>
      <xdr:rowOff>199073</xdr:rowOff>
    </xdr:from>
    <xdr:to>
      <xdr:col>0</xdr:col>
      <xdr:colOff>1929447</xdr:colOff>
      <xdr:row>5</xdr:row>
      <xdr:rowOff>656273</xdr:rowOff>
    </xdr:to>
    <xdr:sp macro="[0]!PrepareToSelectItems" textlink="">
      <xdr:nvSpPr>
        <xdr:cNvPr id="5" name="btnPrepareDelete"/>
        <xdr:cNvSpPr txBox="1"/>
      </xdr:nvSpPr>
      <xdr:spPr>
        <a:xfrm>
          <a:off x="100647" y="1738948"/>
          <a:ext cx="1828800" cy="457200"/>
        </a:xfrm>
        <a:prstGeom prst="rect">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1100"/>
            <a:t>Click</a:t>
          </a:r>
          <a:r>
            <a:rPr lang="en-US" sz="1100" baseline="0"/>
            <a:t> here to delete one or more rows of data</a:t>
          </a:r>
          <a:endParaRPr lang="en-US" sz="1100"/>
        </a:p>
      </xdr:txBody>
    </xdr:sp>
    <xdr:clientData/>
  </xdr:twoCellAnchor>
  <xdr:twoCellAnchor>
    <xdr:from>
      <xdr:col>1</xdr:col>
      <xdr:colOff>7620</xdr:colOff>
      <xdr:row>5</xdr:row>
      <xdr:rowOff>365760</xdr:rowOff>
    </xdr:from>
    <xdr:to>
      <xdr:col>2</xdr:col>
      <xdr:colOff>434340</xdr:colOff>
      <xdr:row>5</xdr:row>
      <xdr:rowOff>822960</xdr:rowOff>
    </xdr:to>
    <xdr:sp macro="[0]!Cancel" textlink="">
      <xdr:nvSpPr>
        <xdr:cNvPr id="15" name="btnCancelDelete" hidden="1"/>
        <xdr:cNvSpPr txBox="1"/>
      </xdr:nvSpPr>
      <xdr:spPr>
        <a:xfrm>
          <a:off x="1965960" y="1493520"/>
          <a:ext cx="1828800" cy="457200"/>
        </a:xfrm>
        <a:prstGeom prst="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wrap="square" rtlCol="0" anchor="ctr"/>
        <a:lstStyle/>
        <a:p>
          <a:pPr algn="ctr"/>
          <a:r>
            <a:rPr lang="en-US" sz="1100"/>
            <a:t>Cancel</a:t>
          </a:r>
        </a:p>
      </xdr:txBody>
    </xdr:sp>
    <xdr:clientData/>
  </xdr:twoCellAnchor>
  <xdr:twoCellAnchor>
    <xdr:from>
      <xdr:col>2</xdr:col>
      <xdr:colOff>510540</xdr:colOff>
      <xdr:row>5</xdr:row>
      <xdr:rowOff>365760</xdr:rowOff>
    </xdr:from>
    <xdr:to>
      <xdr:col>4</xdr:col>
      <xdr:colOff>45720</xdr:colOff>
      <xdr:row>5</xdr:row>
      <xdr:rowOff>822960</xdr:rowOff>
    </xdr:to>
    <xdr:sp macro="[0]!DeleteSelectedRows" textlink="">
      <xdr:nvSpPr>
        <xdr:cNvPr id="16" name="btnDeleteNow" hidden="1"/>
        <xdr:cNvSpPr txBox="1"/>
      </xdr:nvSpPr>
      <xdr:spPr>
        <a:xfrm>
          <a:off x="3870960" y="1493520"/>
          <a:ext cx="1828800" cy="457200"/>
        </a:xfrm>
        <a:prstGeom prst="rect">
          <a:avLst/>
        </a:prstGeom>
        <a:gradFill>
          <a:gsLst>
            <a:gs pos="0">
              <a:srgbClr val="FF0000"/>
            </a:gs>
            <a:gs pos="50000">
              <a:srgbClr val="FF0000"/>
            </a:gs>
            <a:gs pos="100000">
              <a:srgbClr val="C00000"/>
            </a:gs>
          </a:gsLst>
        </a:gra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n-US" sz="1100"/>
            <a:t>Delete</a:t>
          </a:r>
          <a:r>
            <a:rPr lang="en-US" sz="1100" baseline="0"/>
            <a:t> selected rows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OzData\Documents\HUD%20WORKING%20DOCUMENTS\Import%20Workbook%20TESTING%20-%2012MA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Oz%20du%20Soleil\ESG%20Project\HIRAN%20-%20Import%20Tool\IMPORTTOOL2-8JUL%20-%20Hiran%20TEST%2020150715_1758.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Master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
      <sheetName val="Sheet1"/>
      <sheetName val="MasterCSV"/>
      <sheetName val="Calc"/>
      <sheetName val="Working Layout"/>
      <sheetName val="Temp Output"/>
      <sheetName val="ES-nbn"/>
      <sheetName val="ES-ie"/>
      <sheetName val="St Out"/>
      <sheetName val="TH"/>
      <sheetName val="HP"/>
      <sheetName val="RRH"/>
      <sheetName val="ES-ie report"/>
      <sheetName val="HP report"/>
      <sheetName val="RRH report"/>
      <sheetName val="St Out report"/>
      <sheetName val="TH report"/>
      <sheetName val="Combined report"/>
    </sheetNames>
    <sheetDataSet>
      <sheetData sheetId="0">
        <row r="10">
          <cell r="D10" t="str">
            <v>Portland</v>
          </cell>
        </row>
        <row r="11">
          <cell r="D11">
            <v>41618</v>
          </cell>
        </row>
        <row r="12">
          <cell r="D12">
            <v>41983</v>
          </cell>
        </row>
        <row r="14">
          <cell r="D14" t="str">
            <v>Alphonse Gray</v>
          </cell>
        </row>
        <row r="15">
          <cell r="D15" t="str">
            <v>Administrator</v>
          </cell>
        </row>
        <row r="16">
          <cell r="D16" t="str">
            <v>12 Hanrahan Circle</v>
          </cell>
        </row>
        <row r="18">
          <cell r="D18" t="str">
            <v>Portland</v>
          </cell>
        </row>
        <row r="19">
          <cell r="D19" t="str">
            <v>OR</v>
          </cell>
        </row>
        <row r="20">
          <cell r="D20">
            <v>99999</v>
          </cell>
        </row>
        <row r="22">
          <cell r="D22" t="str">
            <v>alphonse@fake.email.org</v>
          </cell>
        </row>
        <row r="23">
          <cell r="D23" t="str">
            <v>alphonse@fake.email.org</v>
          </cell>
        </row>
        <row r="25">
          <cell r="D25" t="str">
            <v>503-313-0000</v>
          </cell>
        </row>
        <row r="26">
          <cell r="D26" t="str">
            <v>none</v>
          </cell>
        </row>
        <row r="27">
          <cell r="D27" t="str">
            <v>none</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mport"/>
      <sheetName val="Sheet1"/>
      <sheetName val="MasterCSV"/>
      <sheetName val="ProjPivot"/>
      <sheetName val="Data"/>
      <sheetName val="Report by Project Type"/>
      <sheetName val="Combined Report"/>
      <sheetName val="ValidationTable"/>
      <sheetName val="ErrorPage"/>
      <sheetName val="IMPORTTOOL2-8JUL - Hiran TEST 2"/>
    </sheetNames>
    <sheetDataSet>
      <sheetData sheetId="0"/>
      <sheetData sheetId="1"/>
      <sheetData sheetId="2"/>
      <sheetData sheetId="3">
        <row r="3">
          <cell r="A3" t="str">
            <v>Row Labels</v>
          </cell>
        </row>
        <row r="4">
          <cell r="A4">
            <v>11</v>
          </cell>
        </row>
        <row r="5">
          <cell r="A5">
            <v>14</v>
          </cell>
        </row>
        <row r="6">
          <cell r="A6">
            <v>15</v>
          </cell>
        </row>
        <row r="7">
          <cell r="A7">
            <v>16</v>
          </cell>
        </row>
        <row r="8">
          <cell r="A8">
            <v>17</v>
          </cell>
        </row>
        <row r="9">
          <cell r="A9">
            <v>18</v>
          </cell>
        </row>
        <row r="10">
          <cell r="A10">
            <v>19</v>
          </cell>
        </row>
        <row r="11">
          <cell r="A11">
            <v>20</v>
          </cell>
        </row>
        <row r="12">
          <cell r="A12" t="str">
            <v>Grand Total</v>
          </cell>
        </row>
      </sheetData>
      <sheetData sheetId="4"/>
      <sheetData sheetId="5"/>
      <sheetData sheetId="6"/>
      <sheetData sheetId="7"/>
      <sheetData sheetId="8"/>
      <sheetData sheetId="9"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sterCSV)"/>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PCL" refreshedDate="42255.620016898145" createdVersion="6" refreshedVersion="5" minRefreshableVersion="3" recordCount="1">
  <cacheSource type="worksheet">
    <worksheetSource name="detail_table"/>
  </cacheSource>
  <cacheFields count="1712">
    <cacheField name="Reporting Jurisdiction" numFmtId="0">
      <sharedItems containsNonDate="0" containsString="0" containsBlank="1"/>
    </cacheField>
    <cacheField name="Program Year Start Date" numFmtId="0">
      <sharedItems containsNonDate="0" containsString="0" containsBlank="1"/>
    </cacheField>
    <cacheField name="Program Year End Date" numFmtId="0">
      <sharedItems containsNonDate="0" containsString="0" containsBlank="1"/>
    </cacheField>
    <cacheField name="ContactName" numFmtId="0">
      <sharedItems containsNonDate="0" containsString="0" containsBlank="1"/>
    </cacheField>
    <cacheField name="Title:" numFmtId="0">
      <sharedItems containsNonDate="0" containsString="0" containsBlank="1"/>
    </cacheField>
    <cacheField name="Street Address 1:" numFmtId="0">
      <sharedItems containsNonDate="0" containsString="0" containsBlank="1"/>
    </cacheField>
    <cacheField name="Street Address 2:" numFmtId="0">
      <sharedItems containsNonDate="0" containsString="0" containsBlank="1"/>
    </cacheField>
    <cacheField name="City:" numFmtId="0">
      <sharedItems containsNonDate="0" containsString="0" containsBlank="1"/>
    </cacheField>
    <cacheField name="State:" numFmtId="0">
      <sharedItems containsNonDate="0" containsString="0" containsBlank="1"/>
    </cacheField>
    <cacheField name="Zip Code:" numFmtId="0">
      <sharedItems containsNonDate="0" containsString="0" containsBlank="1"/>
    </cacheField>
    <cacheField name="E-mail address:" numFmtId="0">
      <sharedItems containsNonDate="0" containsString="0" containsBlank="1"/>
    </cacheField>
    <cacheField name="Phone Number:" numFmtId="0">
      <sharedItems containsNonDate="0" containsString="0" containsBlank="1"/>
    </cacheField>
    <cacheField name="Ext" numFmtId="0">
      <sharedItems containsNonDate="0" containsString="0" containsBlank="1"/>
    </cacheField>
    <cacheField name="Fax Number:" numFmtId="0">
      <sharedItems containsNonDate="0" containsString="0" containsBlank="1"/>
    </cacheField>
    <cacheField name="Organization" numFmtId="0">
      <sharedItems containsNonDate="0" containsBlank="1" count="16">
        <m/>
        <s v="Drop Inn Center" u="1"/>
        <s v="Jewish Family Service" u="1"/>
        <s v="The Salvation Army" u="1"/>
        <s v="All Practical Reporting, Inc." u="1"/>
        <s v="4LY" u="1"/>
        <s v="Mercy - St. John" u="1"/>
        <s v="Client Doesn't Know or Client Refused" u="1"/>
        <s v="Interfaith Hospitality Network of Greater Cincinnati" u="1"/>
        <s v="Downtown Shelter" u="1"/>
        <s v="Seattle Intake" u="1"/>
        <s v="Lighthouse Youth Services" u="1"/>
        <s v="4th Lyon" u="1"/>
        <s v="Bethany House Services, Inc." u="1"/>
        <s v="a. Without children" u="1"/>
        <s v="Center for Respite Care" u="1"/>
      </sharedItems>
    </cacheField>
    <cacheField name="Q4a | Organization ID | " numFmtId="0">
      <sharedItems containsNonDate="0" containsString="0" containsBlank="1"/>
    </cacheField>
    <cacheField name="Q4a | Project name | " numFmtId="0">
      <sharedItems containsNonDate="0" containsString="0" containsBlank="1" containsNumber="1" containsInteger="1" minValue="0" maxValue="0" count="2">
        <m/>
        <n v="0" u="1"/>
      </sharedItems>
    </cacheField>
    <cacheField name="Q4a | Project ID | " numFmtId="0">
      <sharedItems containsNonDate="0" containsString="0" containsBlank="1"/>
    </cacheField>
    <cacheField name="Q4a | HMIS Project Type | " numFmtId="0">
      <sharedItems containsNonDate="0" containsString="0" containsBlank="1"/>
    </cacheField>
    <cacheField name="Q4a | Method of tracking ES | " numFmtId="0">
      <sharedItems containsNonDate="0" containsString="0" containsBlank="1"/>
    </cacheField>
    <cacheField name="Project Type" numFmtId="0">
      <sharedItems containsNonDate="0" containsString="0" containsBlank="1" containsNumber="1" containsInteger="1" minValue="0" maxValue="0" count="2">
        <m/>
        <n v="0" u="1"/>
      </sharedItems>
    </cacheField>
    <cacheField name="Q4a | If HMIS Project ID = 6 (S Only), is the Services Only (HMIS Project Type 6) affiliated with a residential project? | " numFmtId="0">
      <sharedItems containsNonDate="0" containsString="0" containsBlank="1"/>
    </cacheField>
    <cacheField name="Q4a | Identify the Project ID's of the housing projects this project is affiliated with | " numFmtId="0">
      <sharedItems containsNonDate="0" containsString="0" containsBlank="1"/>
    </cacheField>
    <cacheField name="Q5a | First name | Client Doesn't Know or Client Refused" numFmtId="0">
      <sharedItems containsNonDate="0" containsString="0" containsBlank="1"/>
    </cacheField>
    <cacheField name="Q5a | First name | Data not collected" numFmtId="0">
      <sharedItems containsNonDate="0" containsString="0" containsBlank="1"/>
    </cacheField>
    <cacheField name="Q5a | Last name | Client Doesn't Know or Client Refused" numFmtId="0">
      <sharedItems containsNonDate="0" containsString="0" containsBlank="1"/>
    </cacheField>
    <cacheField name="Q5a | Last name | Data not collected" numFmtId="0">
      <sharedItems containsNonDate="0" containsString="0" containsBlank="1"/>
    </cacheField>
    <cacheField name="Q5a | SSN | Client Doesn't Know or Client Refused" numFmtId="0">
      <sharedItems containsNonDate="0" containsString="0" containsBlank="1"/>
    </cacheField>
    <cacheField name="Q5a | SSN | Data not collected" numFmtId="0">
      <sharedItems containsNonDate="0" containsString="0" containsBlank="1"/>
    </cacheField>
    <cacheField name="Q5a | Date of Birth | Client Doesn't Know or Client Refused" numFmtId="0">
      <sharedItems containsNonDate="0" containsString="0" containsBlank="1"/>
    </cacheField>
    <cacheField name="Q5a | Date of Birth | Data not collected" numFmtId="0">
      <sharedItems containsNonDate="0" containsString="0" containsBlank="1"/>
    </cacheField>
    <cacheField name="Q5a | Race | Client Doesn't Know or Client Refused" numFmtId="0">
      <sharedItems containsNonDate="0" containsString="0" containsBlank="1"/>
    </cacheField>
    <cacheField name="Q5a | Race | Data not collected" numFmtId="0">
      <sharedItems containsNonDate="0" containsString="0" containsBlank="1"/>
    </cacheField>
    <cacheField name="Q5a | Ethnicity | Client Doesn't Know or Client Refused" numFmtId="0">
      <sharedItems containsNonDate="0" containsString="0" containsBlank="1"/>
    </cacheField>
    <cacheField name="Q5a | Ethnicity | Data not collected" numFmtId="0">
      <sharedItems containsNonDate="0" containsString="0" containsBlank="1"/>
    </cacheField>
    <cacheField name="Q5a | Gender | Client Doesn't Know or Client Refused" numFmtId="0">
      <sharedItems containsNonDate="0" containsString="0" containsBlank="1"/>
    </cacheField>
    <cacheField name="Q5a | Gender | Data not collected" numFmtId="0">
      <sharedItems containsNonDate="0" containsString="0" containsBlank="1"/>
    </cacheField>
    <cacheField name="Q5a | Veteran Status | Client Doesn't Know or Client Refused" numFmtId="0">
      <sharedItems containsNonDate="0" containsString="0" containsBlank="1"/>
    </cacheField>
    <cacheField name="Q5a | Veteran Status | Data not collected" numFmtId="0">
      <sharedItems containsNonDate="0" containsString="0" containsBlank="1"/>
    </cacheField>
    <cacheField name="Q5a | Disabling condition | Client Doesn't Know or Client Refused" numFmtId="0">
      <sharedItems containsNonDate="0" containsString="0" containsBlank="1"/>
    </cacheField>
    <cacheField name="Q5a | Disabling condition | Data not collected" numFmtId="0">
      <sharedItems containsNonDate="0" containsString="0" containsBlank="1"/>
    </cacheField>
    <cacheField name="Q5a | Residence Prior to Entry | Client Doesn't Know or Client Refused" numFmtId="0">
      <sharedItems containsNonDate="0" containsString="0" containsBlank="1"/>
    </cacheField>
    <cacheField name="Q5a | Residence Prior to Entry | Data not collected" numFmtId="0">
      <sharedItems containsNonDate="0" containsString="0" containsBlank="1"/>
    </cacheField>
    <cacheField name="Q5a | Relationship to Head of Household | Client Doesn't Know or Client Refused" numFmtId="0">
      <sharedItems containsNonDate="0" containsString="0" containsBlank="1"/>
    </cacheField>
    <cacheField name="Q5a | Relationship to Head of Household | Data not collected" numFmtId="0">
      <sharedItems containsNonDate="0" containsString="0" containsBlank="1"/>
    </cacheField>
    <cacheField name="Q5a | Destination | Client Doesn't Know or Client Refused" numFmtId="0">
      <sharedItems containsNonDate="0" containsString="0" containsBlank="1"/>
    </cacheField>
    <cacheField name="Q5a | Destination | Data not collected" numFmtId="0">
      <sharedItems containsNonDate="0" containsString="0" containsBlank="1"/>
    </cacheField>
    <cacheField name="Q5a | Client location for project entry | Client Doesn't Know or Client Refused" numFmtId="0">
      <sharedItems containsNonDate="0" containsString="0" containsBlank="1"/>
    </cacheField>
    <cacheField name="Q5a | Client location for project entry | Data not collected" numFmtId="0">
      <sharedItems containsNonDate="0" containsString="0" containsBlank="1"/>
    </cacheField>
    <cacheField name="Q5a | Length of Time on Street, in ES or SH | Client Doesn't Know or Client Refused" numFmtId="0">
      <sharedItems containsNonDate="0" containsString="0" containsBlank="1"/>
    </cacheField>
    <cacheField name="Q5a | Length of Time on Street, in ES or SH | Data not collected" numFmtId="0">
      <sharedItems containsNonDate="0" containsString="0" containsBlank="1"/>
    </cacheField>
    <cacheField name="Q6a | a. Total number of persons served" numFmtId="0">
      <sharedItems containsNonDate="0" containsString="0" containsBlank="1"/>
    </cacheField>
    <cacheField name="Q6a | b. Number of adults (age 18 or over)" numFmtId="0">
      <sharedItems containsNonDate="0" containsString="0" containsBlank="1"/>
    </cacheField>
    <cacheField name="Q6a | c. Number of children (under age 18)" numFmtId="0">
      <sharedItems containsNonDate="0" containsString="0" containsBlank="1"/>
    </cacheField>
    <cacheField name="Q6a | d. Number of persons with unknown age" numFmtId="0">
      <sharedItems containsNonDate="0" containsString="0" containsBlank="1"/>
    </cacheField>
    <cacheField name="Q6a | e. Total number of leavers" numFmtId="0">
      <sharedItems containsNonDate="0" containsString="0" containsBlank="1"/>
    </cacheField>
    <cacheField name="Q6a | f. Total number of adult leavers" numFmtId="0">
      <sharedItems containsNonDate="0" containsString="0" containsBlank="1"/>
    </cacheField>
    <cacheField name="Q6a | g. Total number of stayers" numFmtId="0">
      <sharedItems containsNonDate="0" containsString="0" containsBlank="1"/>
    </cacheField>
    <cacheField name="Q6a | h. Total number of adult stayers" numFmtId="0">
      <sharedItems containsNonDate="0" containsString="0" containsBlank="1"/>
    </cacheField>
    <cacheField name="Q6a | i. Number of veterans" numFmtId="0">
      <sharedItems containsNonDate="0" containsString="0" containsBlank="1"/>
    </cacheField>
    <cacheField name="Q6a | j. Number of chronically homeless persons" numFmtId="0">
      <sharedItems containsNonDate="0" containsString="0" containsBlank="1"/>
    </cacheField>
    <cacheField name="Q6a | k. Number of adult heads of household" numFmtId="0">
      <sharedItems containsNonDate="0" containsString="0" containsBlank="1"/>
    </cacheField>
    <cacheField name="Q6a | l. Number of child heads of household" numFmtId="0">
      <sharedItems containsNonDate="0" containsString="0" containsBlank="1"/>
    </cacheField>
    <cacheField name="Q6a | m. Number of unaccompanied youth under age 25" numFmtId="0">
      <sharedItems containsNonDate="0" containsString="0" containsBlank="1"/>
    </cacheField>
    <cacheField name="Q6a | n. Number of parenting youth under age 25 with children" numFmtId="0">
      <sharedItems containsNonDate="0" containsString="0" containsBlank="1"/>
    </cacheField>
    <cacheField name="Q6b | a. Adults | Total" numFmtId="0">
      <sharedItems containsNonDate="0" containsString="0" containsBlank="1"/>
    </cacheField>
    <cacheField name="Q6b | a. Adults | a. Without children" numFmtId="0">
      <sharedItems containsNonDate="0" containsString="0" containsBlank="1"/>
    </cacheField>
    <cacheField name="Q6b | a. Adults | b. With children and adults" numFmtId="0">
      <sharedItems containsNonDate="0" containsString="0" containsBlank="1"/>
    </cacheField>
    <cacheField name="Q6b | a. Adults | c. With only children" numFmtId="0">
      <sharedItems containsNonDate="0" containsString="0" containsBlank="1"/>
    </cacheField>
    <cacheField name="Q6b | a. Adults | d. Unknown household type" numFmtId="0">
      <sharedItems containsNonDate="0" containsString="0" containsBlank="1"/>
    </cacheField>
    <cacheField name="Q6b | b. Children | Total" numFmtId="0">
      <sharedItems containsNonDate="0" containsString="0" containsBlank="1"/>
    </cacheField>
    <cacheField name="Q6b | b. Children | a. Without children" numFmtId="0">
      <sharedItems containsNonDate="0" containsString="0" containsBlank="1"/>
    </cacheField>
    <cacheField name="Q6b | b. Children | b. With children and adults" numFmtId="0">
      <sharedItems containsNonDate="0" containsString="0" containsBlank="1"/>
    </cacheField>
    <cacheField name="Q6b | b. Children | c. With only children" numFmtId="0">
      <sharedItems containsNonDate="0" containsString="0" containsBlank="1"/>
    </cacheField>
    <cacheField name="Q6b | b. Children | d. Unknown household type" numFmtId="0">
      <sharedItems containsNonDate="0" containsString="0" containsBlank="1"/>
    </cacheField>
    <cacheField name="Q6b | c. Don't know / refused | Total" numFmtId="0">
      <sharedItems containsNonDate="0" containsString="0" containsBlank="1"/>
    </cacheField>
    <cacheField name="Q6b | c. Don't know / refused | a. Without children" numFmtId="0">
      <sharedItems containsNonDate="0" containsString="0" containsBlank="1"/>
    </cacheField>
    <cacheField name="Q6b | c. Don't know / refused | b. With children and adults" numFmtId="0">
      <sharedItems containsNonDate="0" containsString="0" containsBlank="1"/>
    </cacheField>
    <cacheField name="Q6b | c. Don't know / refused | c. With only children" numFmtId="0">
      <sharedItems containsNonDate="0" containsString="0" containsBlank="1"/>
    </cacheField>
    <cacheField name="Q6b | c. Don't know / refused | d. Unknown household type" numFmtId="0">
      <sharedItems containsNonDate="0" containsString="0" containsBlank="1"/>
    </cacheField>
    <cacheField name="Q6b | d. Information missing | Total" numFmtId="0">
      <sharedItems containsNonDate="0" containsString="0" containsBlank="1"/>
    </cacheField>
    <cacheField name="Q6b | d. Information missing | a. Without children" numFmtId="0">
      <sharedItems containsNonDate="0" containsString="0" containsBlank="1"/>
    </cacheField>
    <cacheField name="Q6b | d. Information missing | b. With children and adults" numFmtId="0">
      <sharedItems containsNonDate="0" containsString="0" containsBlank="1"/>
    </cacheField>
    <cacheField name="Q6b | d. Information missing | c. With only children" numFmtId="0">
      <sharedItems containsNonDate="0" containsString="0" containsBlank="1"/>
    </cacheField>
    <cacheField name="Q6b | d. Information missing | d. Unknown household type" numFmtId="0">
      <sharedItems containsNonDate="0" containsString="0" containsBlank="1"/>
    </cacheField>
    <cacheField name="Q6b | e. Total | Total" numFmtId="0">
      <sharedItems containsNonDate="0" containsString="0" containsBlank="1"/>
    </cacheField>
    <cacheField name="Q6b | e. Total | a. Without children" numFmtId="0">
      <sharedItems containsNonDate="0" containsString="0" containsBlank="1"/>
    </cacheField>
    <cacheField name="Q6b | e. Total | b. With children and adults" numFmtId="0">
      <sharedItems containsNonDate="0" containsString="0" containsBlank="1"/>
    </cacheField>
    <cacheField name="Q6b | e. Total | c. With only children" numFmtId="0">
      <sharedItems containsNonDate="0" containsString="0" containsBlank="1"/>
    </cacheField>
    <cacheField name="Q6b | e. Total | d. Unknown household type" numFmtId="0">
      <sharedItems containsNonDate="0" containsString="0" containsBlank="1"/>
    </cacheField>
    <cacheField name="Q7a | Total households | Total" numFmtId="0">
      <sharedItems containsNonDate="0" containsString="0" containsBlank="1"/>
    </cacheField>
    <cacheField name="Q7a | Total households | a. Without children" numFmtId="0">
      <sharedItems containsNonDate="0" containsString="0" containsBlank="1"/>
    </cacheField>
    <cacheField name="Q7a | Total households | b. With children and adults" numFmtId="0">
      <sharedItems containsNonDate="0" containsString="0" containsBlank="1"/>
    </cacheField>
    <cacheField name="Q7a | Total households | c. With only children" numFmtId="0">
      <sharedItems containsNonDate="0" containsString="0" containsBlank="1"/>
    </cacheField>
    <cacheField name="Q7a | Total households | d. Unknown household type" numFmtId="0">
      <sharedItems containsNonDate="0" containsString="0" containsBlank="1"/>
    </cacheField>
    <cacheField name="Q7b | January | Total" numFmtId="0">
      <sharedItems containsNonDate="0" containsString="0" containsBlank="1"/>
    </cacheField>
    <cacheField name="Q7b | January | a. Without children" numFmtId="0">
      <sharedItems containsNonDate="0" containsString="0" containsBlank="1"/>
    </cacheField>
    <cacheField name="Q7b | January | b. With children and adults" numFmtId="0">
      <sharedItems containsNonDate="0" containsString="0" containsBlank="1"/>
    </cacheField>
    <cacheField name="Q7b | January | c. With only children" numFmtId="0">
      <sharedItems containsNonDate="0" containsString="0" containsBlank="1"/>
    </cacheField>
    <cacheField name="Q7b | January | d. Unknown household type" numFmtId="0">
      <sharedItems containsNonDate="0" containsString="0" containsBlank="1"/>
    </cacheField>
    <cacheField name="Q7b | April | Total" numFmtId="0">
      <sharedItems containsNonDate="0" containsString="0" containsBlank="1"/>
    </cacheField>
    <cacheField name="Q7b | April | a. Without children" numFmtId="0">
      <sharedItems containsNonDate="0" containsString="0" containsBlank="1"/>
    </cacheField>
    <cacheField name="Q7b | April | b. With children and adults" numFmtId="0">
      <sharedItems containsNonDate="0" containsString="0" containsBlank="1"/>
    </cacheField>
    <cacheField name="Q7b | April | c. With only children" numFmtId="0">
      <sharedItems containsNonDate="0" containsString="0" containsBlank="1"/>
    </cacheField>
    <cacheField name="Q7b | April | d. Unknown household type" numFmtId="0">
      <sharedItems containsNonDate="0" containsString="0" containsBlank="1"/>
    </cacheField>
    <cacheField name="Q7b | July | Total" numFmtId="0">
      <sharedItems containsNonDate="0" containsString="0" containsBlank="1"/>
    </cacheField>
    <cacheField name="Q7b | July | a. Without children" numFmtId="0">
      <sharedItems containsNonDate="0" containsString="0" containsBlank="1"/>
    </cacheField>
    <cacheField name="Q7b | July | b. With children and adults" numFmtId="0">
      <sharedItems containsNonDate="0" containsString="0" containsBlank="1"/>
    </cacheField>
    <cacheField name="Q7b | July | c. With only children" numFmtId="0">
      <sharedItems containsNonDate="0" containsString="0" containsBlank="1"/>
    </cacheField>
    <cacheField name="Q7b | July | d. Unknown household type" numFmtId="0">
      <sharedItems containsNonDate="0" containsString="0" containsBlank="1"/>
    </cacheField>
    <cacheField name="Q7b | October | Total" numFmtId="0">
      <sharedItems containsNonDate="0" containsString="0" containsBlank="1"/>
    </cacheField>
    <cacheField name="Q7b | October | a. Without children" numFmtId="0">
      <sharedItems containsNonDate="0" containsString="0" containsBlank="1"/>
    </cacheField>
    <cacheField name="Q7b | October | b. With children and adults" numFmtId="0">
      <sharedItems containsNonDate="0" containsString="0" containsBlank="1"/>
    </cacheField>
    <cacheField name="Q7b | October | c. With only children" numFmtId="0">
      <sharedItems containsNonDate="0" containsString="0" containsBlank="1"/>
    </cacheField>
    <cacheField name="Q7b | October | d. Unknown household type" numFmtId="0">
      <sharedItems containsNonDate="0" containsString="0" containsBlank="1"/>
    </cacheField>
    <cacheField name="Q9a | a1. Contacted once? | Total" numFmtId="0">
      <sharedItems containsNonDate="0" containsString="0" containsBlank="1"/>
    </cacheField>
    <cacheField name="Q9a | a1. Contacted once? | a. First contact was at a place not meant for human habitation" numFmtId="0">
      <sharedItems containsNonDate="0" containsString="0" containsBlank="1"/>
    </cacheField>
    <cacheField name="Q9a | a1. Contacted once? | b. First contact was at a non-residential service setting" numFmtId="0">
      <sharedItems containsNonDate="0" containsString="0" containsBlank="1"/>
    </cacheField>
    <cacheField name="Q9a | a1. Contacted once? | c. First contact was at a residential service setting" numFmtId="0">
      <sharedItems containsNonDate="0" containsString="0" containsBlank="1"/>
    </cacheField>
    <cacheField name="Q9a | a1. Contacted once? | d. First contact place was missing" numFmtId="0">
      <sharedItems containsNonDate="0" containsString="0" containsBlank="1"/>
    </cacheField>
    <cacheField name="Q9a | a2. Contacted 2-5 times? | Total" numFmtId="0">
      <sharedItems containsNonDate="0" containsString="0" containsBlank="1"/>
    </cacheField>
    <cacheField name="Q9a | a2. Contacted 2-5 times? | a. First contact was at a place not meant for human habitation" numFmtId="0">
      <sharedItems containsNonDate="0" containsString="0" containsBlank="1"/>
    </cacheField>
    <cacheField name="Q9a | a2. Contacted 2-5 times? | b. First contact was at a non-residential service setting" numFmtId="0">
      <sharedItems containsNonDate="0" containsString="0" containsBlank="1"/>
    </cacheField>
    <cacheField name="Q9a | a2. Contacted 2-5 times? | c. First contact was at a residential service setting" numFmtId="0">
      <sharedItems containsNonDate="0" containsString="0" containsBlank="1"/>
    </cacheField>
    <cacheField name="Q9a | a2. Contacted 2-5 times? | d. First contact place was missing" numFmtId="0">
      <sharedItems containsNonDate="0" containsString="0" containsBlank="1"/>
    </cacheField>
    <cacheField name="Q9a | a3. Contacted 6-9 times? | Total" numFmtId="0">
      <sharedItems containsNonDate="0" containsString="0" containsBlank="1"/>
    </cacheField>
    <cacheField name="Q9a | a3. Contacted 6-9 times? | a. First contact was at a place not meant for human habitation" numFmtId="0">
      <sharedItems containsNonDate="0" containsString="0" containsBlank="1"/>
    </cacheField>
    <cacheField name="Q9a | a3. Contacted 6-9 times? | b. First contact was at a non-residential service setting" numFmtId="0">
      <sharedItems containsNonDate="0" containsString="0" containsBlank="1"/>
    </cacheField>
    <cacheField name="Q9a | a3. Contacted 6-9 times? | c. First contact was at a residential service setting" numFmtId="0">
      <sharedItems containsNonDate="0" containsString="0" containsBlank="1"/>
    </cacheField>
    <cacheField name="Q9a | a3. Contacted 6-9 times? | d. First contact place was missing" numFmtId="0">
      <sharedItems containsNonDate="0" containsString="0" containsBlank="1"/>
    </cacheField>
    <cacheField name="Q9a | a4. Contacted 10 or more times? | Total" numFmtId="0">
      <sharedItems containsNonDate="0" containsString="0" containsBlank="1"/>
    </cacheField>
    <cacheField name="Q9a | a4. Contacted 10 or more times? | a. First contact was at a place not meant for human habitation" numFmtId="0">
      <sharedItems containsNonDate="0" containsString="0" containsBlank="1"/>
    </cacheField>
    <cacheField name="Q9a | a4. Contacted 10 or more times? | b. First contact was at a non-residential service setting" numFmtId="0">
      <sharedItems containsNonDate="0" containsString="0" containsBlank="1"/>
    </cacheField>
    <cacheField name="Q9a | a4. Contacted 10 or more times? | c. First contact was at a residential service setting" numFmtId="0">
      <sharedItems containsNonDate="0" containsString="0" containsBlank="1"/>
    </cacheField>
    <cacheField name="Q9a | a4. Contacted 10 or more times? | d. First contact place was missing" numFmtId="0">
      <sharedItems containsNonDate="0" containsString="0" containsBlank="1"/>
    </cacheField>
    <cacheField name="Q9a | az. Total persons contacted | Total" numFmtId="0">
      <sharedItems containsNonDate="0" containsString="0" containsBlank="1"/>
    </cacheField>
    <cacheField name="Q9a | az. Total persons contacted | a. First contact was at a place not meant for human habitation" numFmtId="0">
      <sharedItems containsNonDate="0" containsString="0" containsBlank="1"/>
    </cacheField>
    <cacheField name="Q9a | az. Total persons contacted | b. First contact was at a non-residential service setting" numFmtId="0">
      <sharedItems containsNonDate="0" containsString="0" containsBlank="1"/>
    </cacheField>
    <cacheField name="Q9a | az. Total persons contacted | c. First contact was at a residential service setting" numFmtId="0">
      <sharedItems containsNonDate="0" containsString="0" containsBlank="1"/>
    </cacheField>
    <cacheField name="Q9a | az. Total persons contacted | d. First contact place was missing" numFmtId="0">
      <sharedItems containsNonDate="0" containsString="0" containsBlank="1"/>
    </cacheField>
    <cacheField name="Q9b | b1. Engaged after 1 contact? | Total" numFmtId="0">
      <sharedItems containsNonDate="0" containsString="0" containsBlank="1"/>
    </cacheField>
    <cacheField name="Q9b | b1. Engaged after 1 contact? | a. First contact was at a place not meant for human habitation" numFmtId="0">
      <sharedItems containsNonDate="0" containsString="0" containsBlank="1"/>
    </cacheField>
    <cacheField name="Q9b | b1. Engaged after 1 contact? | b. First contact was at a non-residential service setting" numFmtId="0">
      <sharedItems containsNonDate="0" containsString="0" containsBlank="1"/>
    </cacheField>
    <cacheField name="Q9b | b1. Engaged after 1 contact? | c. First contact was at a residential service setting" numFmtId="0">
      <sharedItems containsNonDate="0" containsString="0" containsBlank="1"/>
    </cacheField>
    <cacheField name="Q9b | b1. Engaged after 1 contact? | d. First contact place was missing" numFmtId="0">
      <sharedItems containsNonDate="0" containsString="0" containsBlank="1"/>
    </cacheField>
    <cacheField name="Q9b | b2. Engaged after 2-5 contacts? | Total" numFmtId="0">
      <sharedItems containsNonDate="0" containsString="0" containsBlank="1"/>
    </cacheField>
    <cacheField name="Q9b | b2. Engaged after 2-5 contacts? | a. First contact was at a place not meant for human habitation" numFmtId="0">
      <sharedItems containsNonDate="0" containsString="0" containsBlank="1"/>
    </cacheField>
    <cacheField name="Q9b | b2. Engaged after 2-5 contacts? | b. First contact was at a non-residential service setting" numFmtId="0">
      <sharedItems containsNonDate="0" containsString="0" containsBlank="1"/>
    </cacheField>
    <cacheField name="Q9b | b2. Engaged after 2-5 contacts? | c. First contact was at a residential service setting" numFmtId="0">
      <sharedItems containsNonDate="0" containsString="0" containsBlank="1"/>
    </cacheField>
    <cacheField name="Q9b | b2. Engaged after 2-5 contacts? | d. First contact place was missing" numFmtId="0">
      <sharedItems containsNonDate="0" containsString="0" containsBlank="1"/>
    </cacheField>
    <cacheField name="Q9b | b3. Engaged after 6-9 contacts? | Total" numFmtId="0">
      <sharedItems containsNonDate="0" containsString="0" containsBlank="1"/>
    </cacheField>
    <cacheField name="Q9b | b3. Engaged after 6-9 contacts? | a. First contact was at a place not meant for human habitation" numFmtId="0">
      <sharedItems containsNonDate="0" containsString="0" containsBlank="1"/>
    </cacheField>
    <cacheField name="Q9b | b3. Engaged after 6-9 contacts? | b. First contact was at a non-residential service setting" numFmtId="0">
      <sharedItems containsNonDate="0" containsString="0" containsBlank="1"/>
    </cacheField>
    <cacheField name="Q9b | b3. Engaged after 6-9 contacts? | c. First contact was at a residential service setting" numFmtId="0">
      <sharedItems containsNonDate="0" containsString="0" containsBlank="1"/>
    </cacheField>
    <cacheField name="Q9b | b3. Engaged after 6-9 contacts? | d. First contact place was missing" numFmtId="0">
      <sharedItems containsNonDate="0" containsString="0" containsBlank="1"/>
    </cacheField>
    <cacheField name="Q9b | b4. Engaged after 10 or more contacts? | Total" numFmtId="0">
      <sharedItems containsNonDate="0" containsString="0" containsBlank="1"/>
    </cacheField>
    <cacheField name="Q9b | b4. Engaged after 10 or more contacts? | a. First contact was at a place not meant for human habitation" numFmtId="0">
      <sharedItems containsNonDate="0" containsString="0" containsBlank="1"/>
    </cacheField>
    <cacheField name="Q9b | b4. Engaged after 10 or more contacts? | b. First contact was at a non-residential service setting" numFmtId="0">
      <sharedItems containsNonDate="0" containsString="0" containsBlank="1"/>
    </cacheField>
    <cacheField name="Q9b | b4. Engaged after 10 or more contacts? | c. First contact was at a residential service setting" numFmtId="0">
      <sharedItems containsNonDate="0" containsString="0" containsBlank="1"/>
    </cacheField>
    <cacheField name="Q9b | b4. Engaged after 10 or more contacts? | d. First contact place was missing" numFmtId="0">
      <sharedItems containsNonDate="0" containsString="0" containsBlank="1"/>
    </cacheField>
    <cacheField name="Q9b | bz. Total persons engaged | Total" numFmtId="0">
      <sharedItems containsNonDate="0" containsString="0" containsBlank="1"/>
    </cacheField>
    <cacheField name="Q9b | bz. Total persons engaged | a. First contact was at a place not meant for human habitation" numFmtId="0">
      <sharedItems containsNonDate="0" containsString="0" containsBlank="1"/>
    </cacheField>
    <cacheField name="Q9b | bz. Total persons engaged | b. First contact was at a non-residential service setting" numFmtId="0">
      <sharedItems containsNonDate="0" containsString="0" containsBlank="1"/>
    </cacheField>
    <cacheField name="Q9b | bz. Total persons engaged | c. First contact was at a residential service setting" numFmtId="0">
      <sharedItems containsNonDate="0" containsString="0" containsBlank="1"/>
    </cacheField>
    <cacheField name="Q9b | bz. Total persons engaged | d. First contact place was missing" numFmtId="0">
      <sharedItems containsNonDate="0" containsString="0" containsBlank="1"/>
    </cacheField>
    <cacheField name="Q9b | c. Rate of engagement (%) | Total" numFmtId="0">
      <sharedItems containsNonDate="0" containsString="0" containsBlank="1"/>
    </cacheField>
    <cacheField name="Q9b | c. Rate of engagement (%) | a. First contact was at a place not meant for human habitation" numFmtId="0">
      <sharedItems containsNonDate="0" containsString="0" containsBlank="1"/>
    </cacheField>
    <cacheField name="Q9b | c. Rate of engagement (%) | b. First contact was at a non-residential service setting" numFmtId="0">
      <sharedItems containsNonDate="0" containsString="0" containsBlank="1"/>
    </cacheField>
    <cacheField name="Q9b | c. Rate of engagement (%) | c. First contact was at a residential service setting" numFmtId="0">
      <sharedItems containsNonDate="0" containsString="0" containsBlank="1"/>
    </cacheField>
    <cacheField name="Q9b | c. Rate of engagement (%) | d. First contact place was missing" numFmtId="0">
      <sharedItems containsNonDate="0" containsString="0" containsBlank="1"/>
    </cacheField>
    <cacheField name="Q10a | a. Male | Total" numFmtId="0">
      <sharedItems containsNonDate="0" containsString="0" containsBlank="1"/>
    </cacheField>
    <cacheField name="Q10a | a. Male | a. Without children" numFmtId="0">
      <sharedItems containsNonDate="0" containsString="0" containsBlank="1"/>
    </cacheField>
    <cacheField name="Q10a | a. Male | b. With children and adults" numFmtId="0">
      <sharedItems containsNonDate="0" containsString="0" containsBlank="1"/>
    </cacheField>
    <cacheField name="Q10a | a. Male | c. Unknown household type" numFmtId="0">
      <sharedItems containsNonDate="0" containsString="0" containsBlank="1"/>
    </cacheField>
    <cacheField name="Q10a | b. Female | Total" numFmtId="0">
      <sharedItems containsNonDate="0" containsString="0" containsBlank="1"/>
    </cacheField>
    <cacheField name="Q10a | b. Female | a. Without children" numFmtId="0">
      <sharedItems containsNonDate="0" containsString="0" containsBlank="1"/>
    </cacheField>
    <cacheField name="Q10a | b. Female | b. With children and adults" numFmtId="0">
      <sharedItems containsNonDate="0" containsString="0" containsBlank="1"/>
    </cacheField>
    <cacheField name="Q10a | b. Female | c. Unknown household type" numFmtId="0">
      <sharedItems containsNonDate="0" containsString="0" containsBlank="1"/>
    </cacheField>
    <cacheField name="Q10a | c. Transgender male to female | Total" numFmtId="0">
      <sharedItems containsNonDate="0" containsString="0" containsBlank="1"/>
    </cacheField>
    <cacheField name="Q10a | c. Transgender male to female | a. Without children" numFmtId="0">
      <sharedItems containsNonDate="0" containsString="0" containsBlank="1"/>
    </cacheField>
    <cacheField name="Q10a | c. Transgender male to female | b. With children and adults" numFmtId="0">
      <sharedItems containsNonDate="0" containsString="0" containsBlank="1"/>
    </cacheField>
    <cacheField name="Q10a | c. Transgender male to female | c. Unknown household type" numFmtId="0">
      <sharedItems containsNonDate="0" containsString="0" containsBlank="1"/>
    </cacheField>
    <cacheField name="Q10a | d. Transgender female to male | Total" numFmtId="0">
      <sharedItems containsNonDate="0" containsString="0" containsBlank="1"/>
    </cacheField>
    <cacheField name="Q10a | d. Transgender female to male | a. Without children" numFmtId="0">
      <sharedItems containsNonDate="0" containsString="0" containsBlank="1"/>
    </cacheField>
    <cacheField name="Q10a | d. Transgender female to male | b. With children and adults" numFmtId="0">
      <sharedItems containsNonDate="0" containsString="0" containsBlank="1"/>
    </cacheField>
    <cacheField name="Q10a | d. Transgender female to male | c. Unknown household type" numFmtId="0">
      <sharedItems containsNonDate="0" containsString="0" containsBlank="1"/>
    </cacheField>
    <cacheField name="Q10a | e. Other | Total" numFmtId="0">
      <sharedItems containsNonDate="0" containsString="0" containsBlank="1"/>
    </cacheField>
    <cacheField name="Q10a | e. Other | a. Without children" numFmtId="0">
      <sharedItems containsNonDate="0" containsString="0" containsBlank="1"/>
    </cacheField>
    <cacheField name="Q10a | e. Other | b. With children and adults" numFmtId="0">
      <sharedItems containsNonDate="0" containsString="0" containsBlank="1"/>
    </cacheField>
    <cacheField name="Q10a | e. Other | c. Unknown household type" numFmtId="0">
      <sharedItems containsNonDate="0" containsString="0" containsBlank="1"/>
    </cacheField>
    <cacheField name="Q10a | f. Don't know / refused | Total" numFmtId="0">
      <sharedItems containsNonDate="0" containsString="0" containsBlank="1"/>
    </cacheField>
    <cacheField name="Q10a | f. Don't know / refused | a. Without children" numFmtId="0">
      <sharedItems containsNonDate="0" containsString="0" containsBlank="1"/>
    </cacheField>
    <cacheField name="Q10a | f. Don't know / refused | b. With children and adults" numFmtId="0">
      <sharedItems containsNonDate="0" containsString="0" containsBlank="1"/>
    </cacheField>
    <cacheField name="Q10a | f. Don't know / refused | c. Unknown household type" numFmtId="0">
      <sharedItems containsNonDate="0" containsString="0" containsBlank="1"/>
    </cacheField>
    <cacheField name="Q10a | g. Information missing | Total" numFmtId="0">
      <sharedItems containsNonDate="0" containsString="0" containsBlank="1"/>
    </cacheField>
    <cacheField name="Q10a | g. Information missing | a. Without children" numFmtId="0">
      <sharedItems containsNonDate="0" containsString="0" containsBlank="1"/>
    </cacheField>
    <cacheField name="Q10a | g. Information missing | b. With children and adults" numFmtId="0">
      <sharedItems containsNonDate="0" containsString="0" containsBlank="1"/>
    </cacheField>
    <cacheField name="Q10a | g. Information missing | c. Unknown household type" numFmtId="0">
      <sharedItems containsNonDate="0" containsString="0" containsBlank="1"/>
    </cacheField>
    <cacheField name="Q10a | h. Subtotal | Total" numFmtId="0">
      <sharedItems containsNonDate="0" containsString="0" containsBlank="1"/>
    </cacheField>
    <cacheField name="Q10a | h. Subtotal | a. Without children" numFmtId="0">
      <sharedItems containsNonDate="0" containsString="0" containsBlank="1"/>
    </cacheField>
    <cacheField name="Q10a | h. Subtotal | b. With children and adults" numFmtId="0">
      <sharedItems containsNonDate="0" containsString="0" containsBlank="1"/>
    </cacheField>
    <cacheField name="Q10a | h. Subtotal | c. Unknown household type" numFmtId="0">
      <sharedItems containsNonDate="0" containsString="0" containsBlank="1"/>
    </cacheField>
    <cacheField name="Q10b | a. Male | Total" numFmtId="0">
      <sharedItems containsNonDate="0" containsString="0" containsBlank="1"/>
    </cacheField>
    <cacheField name="Q10b | a. Male | a. With children and adults" numFmtId="0">
      <sharedItems containsNonDate="0" containsString="0" containsBlank="1"/>
    </cacheField>
    <cacheField name="Q10b | a. Male | b. With only children" numFmtId="0">
      <sharedItems containsNonDate="0" containsString="0" containsBlank="1"/>
    </cacheField>
    <cacheField name="Q10b | a. Male | c. Unknown household type" numFmtId="0">
      <sharedItems containsNonDate="0" containsString="0" containsBlank="1"/>
    </cacheField>
    <cacheField name="Q10b | b. Female | Total" numFmtId="0">
      <sharedItems containsNonDate="0" containsString="0" containsBlank="1"/>
    </cacheField>
    <cacheField name="Q10b | b. Female | a. With children and adults" numFmtId="0">
      <sharedItems containsNonDate="0" containsString="0" containsBlank="1"/>
    </cacheField>
    <cacheField name="Q10b | b. Female | b. With only children" numFmtId="0">
      <sharedItems containsNonDate="0" containsString="0" containsBlank="1"/>
    </cacheField>
    <cacheField name="Q10b | b. Female | c. Unknown household type" numFmtId="0">
      <sharedItems containsNonDate="0" containsString="0" containsBlank="1"/>
    </cacheField>
    <cacheField name="Q10b | c. Transgender male to female | Total" numFmtId="0">
      <sharedItems containsNonDate="0" containsString="0" containsBlank="1"/>
    </cacheField>
    <cacheField name="Q10b | c. Transgender male to female | a. With children and adults" numFmtId="0">
      <sharedItems containsNonDate="0" containsString="0" containsBlank="1"/>
    </cacheField>
    <cacheField name="Q10b | c. Transgender male to female | b. With only children" numFmtId="0">
      <sharedItems containsNonDate="0" containsString="0" containsBlank="1"/>
    </cacheField>
    <cacheField name="Q10b | c. Transgender male to female | c. Unknown household type" numFmtId="0">
      <sharedItems containsNonDate="0" containsString="0" containsBlank="1"/>
    </cacheField>
    <cacheField name="Q10b | d. Transgender female to male | Total" numFmtId="0">
      <sharedItems containsNonDate="0" containsString="0" containsBlank="1"/>
    </cacheField>
    <cacheField name="Q10b | d. Transgender female to male | a. With children and adults" numFmtId="0">
      <sharedItems containsNonDate="0" containsString="0" containsBlank="1"/>
    </cacheField>
    <cacheField name="Q10b | d. Transgender female to male | b. With only children" numFmtId="0">
      <sharedItems containsNonDate="0" containsString="0" containsBlank="1"/>
    </cacheField>
    <cacheField name="Q10b | d. Transgender female to male | c. Unknown household type" numFmtId="0">
      <sharedItems containsNonDate="0" containsString="0" containsBlank="1"/>
    </cacheField>
    <cacheField name="Q10b | e. Other | Total" numFmtId="0">
      <sharedItems containsNonDate="0" containsString="0" containsBlank="1"/>
    </cacheField>
    <cacheField name="Q10b | e. Other | a. With children and adults" numFmtId="0">
      <sharedItems containsNonDate="0" containsString="0" containsBlank="1"/>
    </cacheField>
    <cacheField name="Q10b | e. Other | b. With only children" numFmtId="0">
      <sharedItems containsNonDate="0" containsString="0" containsBlank="1"/>
    </cacheField>
    <cacheField name="Q10b | e. Other | c. Unknown household type" numFmtId="0">
      <sharedItems containsNonDate="0" containsString="0" containsBlank="1"/>
    </cacheField>
    <cacheField name="Q10b | f. Don't know / refused | Total" numFmtId="0">
      <sharedItems containsNonDate="0" containsString="0" containsBlank="1"/>
    </cacheField>
    <cacheField name="Q10b | f. Don't know / refused | a. With children and adults" numFmtId="0">
      <sharedItems containsNonDate="0" containsString="0" containsBlank="1"/>
    </cacheField>
    <cacheField name="Q10b | f. Don't know / refused | b. With only children" numFmtId="0">
      <sharedItems containsNonDate="0" containsString="0" containsBlank="1"/>
    </cacheField>
    <cacheField name="Q10b | f. Don't know / refused | c. Unknown household type" numFmtId="0">
      <sharedItems containsNonDate="0" containsString="0" containsBlank="1"/>
    </cacheField>
    <cacheField name="Q10b | g. Information missing | Total" numFmtId="0">
      <sharedItems containsNonDate="0" containsString="0" containsBlank="1"/>
    </cacheField>
    <cacheField name="Q10b | g. Information missing | a. With children and adults" numFmtId="0">
      <sharedItems containsNonDate="0" containsString="0" containsBlank="1"/>
    </cacheField>
    <cacheField name="Q10b | g. Information missing | b. With only children" numFmtId="0">
      <sharedItems containsNonDate="0" containsString="0" containsBlank="1"/>
    </cacheField>
    <cacheField name="Q10b | g. Information missing | c. Unknown household type" numFmtId="0">
      <sharedItems containsNonDate="0" containsString="0" containsBlank="1"/>
    </cacheField>
    <cacheField name="Q10b | h. Subtotal | Total" numFmtId="0">
      <sharedItems containsNonDate="0" containsString="0" containsBlank="1"/>
    </cacheField>
    <cacheField name="Q10b | h. Subtotal | a. With children and adults" numFmtId="0">
      <sharedItems containsNonDate="0" containsString="0" containsBlank="1"/>
    </cacheField>
    <cacheField name="Q10b | h. Subtotal | b. With only children" numFmtId="0">
      <sharedItems containsNonDate="0" containsString="0" containsBlank="1"/>
    </cacheField>
    <cacheField name="Q10b | h. Subtotal | c. Unknown household type" numFmtId="0">
      <sharedItems containsNonDate="0" containsString="0" containsBlank="1"/>
    </cacheField>
    <cacheField name="Q10c | a. Male | Total" numFmtId="0">
      <sharedItems containsNonDate="0" containsString="0" containsBlank="1"/>
    </cacheField>
    <cacheField name="Q10c | a. Male | a. Without children" numFmtId="0">
      <sharedItems containsNonDate="0" containsString="0" containsBlank="1"/>
    </cacheField>
    <cacheField name="Q10c | a. Male | b. With children and adults" numFmtId="0">
      <sharedItems containsNonDate="0" containsString="0" containsBlank="1"/>
    </cacheField>
    <cacheField name="Q10c | a. Male | c. With only children" numFmtId="0">
      <sharedItems containsNonDate="0" containsString="0" containsBlank="1"/>
    </cacheField>
    <cacheField name="Q10c | a. Male | d. Unknown household type" numFmtId="0">
      <sharedItems containsNonDate="0" containsString="0" containsBlank="1"/>
    </cacheField>
    <cacheField name="Q10c | b. Female | Total" numFmtId="0">
      <sharedItems containsNonDate="0" containsString="0" containsBlank="1"/>
    </cacheField>
    <cacheField name="Q10c | b. Female | a. Without children" numFmtId="0">
      <sharedItems containsNonDate="0" containsString="0" containsBlank="1"/>
    </cacheField>
    <cacheField name="Q10c | b. Female | b. With children and adults" numFmtId="0">
      <sharedItems containsNonDate="0" containsString="0" containsBlank="1"/>
    </cacheField>
    <cacheField name="Q10c | b. Female | c. With only children" numFmtId="0">
      <sharedItems containsNonDate="0" containsString="0" containsBlank="1"/>
    </cacheField>
    <cacheField name="Q10c | b. Female | d. Unknown household type" numFmtId="0">
      <sharedItems containsNonDate="0" containsString="0" containsBlank="1"/>
    </cacheField>
    <cacheField name="Q10c | c. Transgender male to female | Total" numFmtId="0">
      <sharedItems containsNonDate="0" containsString="0" containsBlank="1"/>
    </cacheField>
    <cacheField name="Q10c | c. Transgender male to female | a. Without children" numFmtId="0">
      <sharedItems containsNonDate="0" containsString="0" containsBlank="1"/>
    </cacheField>
    <cacheField name="Q10c | c. Transgender male to female | b. With children and adults" numFmtId="0">
      <sharedItems containsNonDate="0" containsString="0" containsBlank="1"/>
    </cacheField>
    <cacheField name="Q10c | c. Transgender male to female | c. With only children" numFmtId="0">
      <sharedItems containsNonDate="0" containsString="0" containsBlank="1"/>
    </cacheField>
    <cacheField name="Q10c | c. Transgender male to female | d. Unknown household type" numFmtId="0">
      <sharedItems containsNonDate="0" containsString="0" containsBlank="1"/>
    </cacheField>
    <cacheField name="Q10c | d. Transgender female to male | Total" numFmtId="0">
      <sharedItems containsNonDate="0" containsString="0" containsBlank="1"/>
    </cacheField>
    <cacheField name="Q10c | d. Transgender female to male | a. Without children" numFmtId="0">
      <sharedItems containsNonDate="0" containsString="0" containsBlank="1"/>
    </cacheField>
    <cacheField name="Q10c | d. Transgender female to male | b. With children and adults" numFmtId="0">
      <sharedItems containsNonDate="0" containsString="0" containsBlank="1"/>
    </cacheField>
    <cacheField name="Q10c | d. Transgender female to male | c. With only children" numFmtId="0">
      <sharedItems containsNonDate="0" containsString="0" containsBlank="1"/>
    </cacheField>
    <cacheField name="Q10c | d. Transgender female to male | d. Unknown household type" numFmtId="0">
      <sharedItems containsNonDate="0" containsString="0" containsBlank="1"/>
    </cacheField>
    <cacheField name="Q10c | e. Other | Total" numFmtId="0">
      <sharedItems containsNonDate="0" containsString="0" containsBlank="1"/>
    </cacheField>
    <cacheField name="Q10c | e. Other | a. Without children" numFmtId="0">
      <sharedItems containsNonDate="0" containsString="0" containsBlank="1"/>
    </cacheField>
    <cacheField name="Q10c | e. Other | b. With children and adults" numFmtId="0">
      <sharedItems containsNonDate="0" containsString="0" containsBlank="1"/>
    </cacheField>
    <cacheField name="Q10c | e. Other | c. With only children" numFmtId="0">
      <sharedItems containsNonDate="0" containsString="0" containsBlank="1"/>
    </cacheField>
    <cacheField name="Q10c | e. Other | d. Unknown household type" numFmtId="0">
      <sharedItems containsNonDate="0" containsString="0" containsBlank="1"/>
    </cacheField>
    <cacheField name="Q10c | f. Don't know / refused | Total" numFmtId="0">
      <sharedItems containsNonDate="0" containsString="0" containsBlank="1"/>
    </cacheField>
    <cacheField name="Q10c | f. Don't know / refused | a. Without children" numFmtId="0">
      <sharedItems containsNonDate="0" containsString="0" containsBlank="1"/>
    </cacheField>
    <cacheField name="Q10c | f. Don't know / refused | b. With children and adults" numFmtId="0">
      <sharedItems containsNonDate="0" containsString="0" containsBlank="1"/>
    </cacheField>
    <cacheField name="Q10c | f. Don't know / refused | c. With only children" numFmtId="0">
      <sharedItems containsNonDate="0" containsString="0" containsBlank="1"/>
    </cacheField>
    <cacheField name="Q10c | f. Don't know / refused | d. Unknown household type" numFmtId="0">
      <sharedItems containsNonDate="0" containsString="0" containsBlank="1"/>
    </cacheField>
    <cacheField name="Q10c | g. Information missing | Total" numFmtId="0">
      <sharedItems containsNonDate="0" containsString="0" containsBlank="1"/>
    </cacheField>
    <cacheField name="Q10c | g. Information missing | a. Without children" numFmtId="0">
      <sharedItems containsNonDate="0" containsString="0" containsBlank="1"/>
    </cacheField>
    <cacheField name="Q10c | g. Information missing | b. With children and adults" numFmtId="0">
      <sharedItems containsNonDate="0" containsString="0" containsBlank="1"/>
    </cacheField>
    <cacheField name="Q10c | g. Information missing | c. With only children" numFmtId="0">
      <sharedItems containsNonDate="0" containsString="0" containsBlank="1"/>
    </cacheField>
    <cacheField name="Q10c | g. Information missing | d. Unknown household type" numFmtId="0">
      <sharedItems containsNonDate="0" containsString="0" containsBlank="1"/>
    </cacheField>
    <cacheField name="Q10c | h. Subtotal | Total" numFmtId="0">
      <sharedItems containsNonDate="0" containsString="0" containsBlank="1"/>
    </cacheField>
    <cacheField name="Q10c | h. Subtotal | a. Without children" numFmtId="0">
      <sharedItems containsNonDate="0" containsString="0" containsBlank="1"/>
    </cacheField>
    <cacheField name="Q10c | h. Subtotal | b. With children and adults" numFmtId="0">
      <sharedItems containsNonDate="0" containsString="0" containsBlank="1"/>
    </cacheField>
    <cacheField name="Q10c | h. Subtotal | c. With only children" numFmtId="0">
      <sharedItems containsNonDate="0" containsString="0" containsBlank="1"/>
    </cacheField>
    <cacheField name="Q10c | h. Subtotal | d. Unknown household type" numFmtId="0">
      <sharedItems containsNonDate="0" containsString="0" containsBlank="1"/>
    </cacheField>
    <cacheField name="Q10d | a. Male | Total" numFmtId="0">
      <sharedItems containsNonDate="0" containsString="0" containsBlank="1"/>
    </cacheField>
    <cacheField name="Q10d | a. Male | a. Under age 18" numFmtId="0">
      <sharedItems containsNonDate="0" containsString="0" containsBlank="1"/>
    </cacheField>
    <cacheField name="Q10d | a. Male | b. Age 18-24" numFmtId="0">
      <sharedItems containsNonDate="0" containsString="0" containsBlank="1"/>
    </cacheField>
    <cacheField name="Q10d | a. Male | c. Age 25-61" numFmtId="0">
      <sharedItems containsNonDate="0" containsString="0" containsBlank="1"/>
    </cacheField>
    <cacheField name="Q10d | a. Male | d. Age 62 and over" numFmtId="0">
      <sharedItems containsNonDate="0" containsString="0" containsBlank="1"/>
    </cacheField>
    <cacheField name="Q10d | a. Male | e. Client Doesn't Know/Client Refused" numFmtId="0">
      <sharedItems containsNonDate="0" containsString="0" containsBlank="1"/>
    </cacheField>
    <cacheField name="Q10d | a. Male | f. Data not collected" numFmtId="0">
      <sharedItems containsNonDate="0" containsString="0" containsBlank="1"/>
    </cacheField>
    <cacheField name="Q10d | b. Female | Total" numFmtId="0">
      <sharedItems containsNonDate="0" containsString="0" containsBlank="1"/>
    </cacheField>
    <cacheField name="Q10d | b. Female | a. Under age 18" numFmtId="0">
      <sharedItems containsNonDate="0" containsString="0" containsBlank="1"/>
    </cacheField>
    <cacheField name="Q10d | b. Female | b. Age 18-24" numFmtId="0">
      <sharedItems containsNonDate="0" containsString="0" containsBlank="1"/>
    </cacheField>
    <cacheField name="Q10d | b. Female | c. Age 25-61" numFmtId="0">
      <sharedItems containsNonDate="0" containsString="0" containsBlank="1"/>
    </cacheField>
    <cacheField name="Q10d | b. Female | d. Age 62 and over" numFmtId="0">
      <sharedItems containsNonDate="0" containsString="0" containsBlank="1"/>
    </cacheField>
    <cacheField name="Q10d | b. Female | e. Client Doesn't Know/Client Refused" numFmtId="0">
      <sharedItems containsNonDate="0" containsString="0" containsBlank="1"/>
    </cacheField>
    <cacheField name="Q10d | b. Female | f. Data not collected" numFmtId="0">
      <sharedItems containsNonDate="0" containsString="0" containsBlank="1"/>
    </cacheField>
    <cacheField name="Q10d | c. Transgender Male to Female | Total" numFmtId="0">
      <sharedItems containsNonDate="0" containsString="0" containsBlank="1"/>
    </cacheField>
    <cacheField name="Q10d | c. Transgender Male to Female | a. Under age 18" numFmtId="0">
      <sharedItems containsNonDate="0" containsString="0" containsBlank="1"/>
    </cacheField>
    <cacheField name="Q10d | c. Transgender Male to Female | b. Age 18-24" numFmtId="0">
      <sharedItems containsNonDate="0" containsString="0" containsBlank="1"/>
    </cacheField>
    <cacheField name="Q10d | c. Transgender Male to Female | c. Age 25-61" numFmtId="0">
      <sharedItems containsNonDate="0" containsString="0" containsBlank="1"/>
    </cacheField>
    <cacheField name="Q10d | c. Transgender Male to Female | d. Age 62 and over" numFmtId="0">
      <sharedItems containsNonDate="0" containsString="0" containsBlank="1"/>
    </cacheField>
    <cacheField name="Q10d | c. Transgender Male to Female | e. Client Doesn't Know/Client Refused" numFmtId="0">
      <sharedItems containsNonDate="0" containsString="0" containsBlank="1"/>
    </cacheField>
    <cacheField name="Q10d | c. Transgender Male to Female | f. Data not collected" numFmtId="0">
      <sharedItems containsNonDate="0" containsString="0" containsBlank="1"/>
    </cacheField>
    <cacheField name="Q10d | d. Transgender female to male | Total" numFmtId="0">
      <sharedItems containsNonDate="0" containsString="0" containsBlank="1"/>
    </cacheField>
    <cacheField name="Q10d | d. Transgender female to male | a. Under age 18" numFmtId="0">
      <sharedItems containsNonDate="0" containsString="0" containsBlank="1"/>
    </cacheField>
    <cacheField name="Q10d | d. Transgender female to male | b. Age 18-24" numFmtId="0">
      <sharedItems containsNonDate="0" containsString="0" containsBlank="1"/>
    </cacheField>
    <cacheField name="Q10d | d. Transgender female to male | c. Age 25-61" numFmtId="0">
      <sharedItems containsNonDate="0" containsString="0" containsBlank="1"/>
    </cacheField>
    <cacheField name="Q10d | d. Transgender female to male | d. Age 62 and over" numFmtId="0">
      <sharedItems containsNonDate="0" containsString="0" containsBlank="1"/>
    </cacheField>
    <cacheField name="Q10d | d. Transgender female to male | e. Client Doesn't Know/Client Refused" numFmtId="0">
      <sharedItems containsNonDate="0" containsString="0" containsBlank="1"/>
    </cacheField>
    <cacheField name="Q10d | d. Transgender female to male | f. Data not collected" numFmtId="0">
      <sharedItems containsNonDate="0" containsString="0" containsBlank="1"/>
    </cacheField>
    <cacheField name="Q10d | e. Other | Total" numFmtId="0">
      <sharedItems containsNonDate="0" containsString="0" containsBlank="1"/>
    </cacheField>
    <cacheField name="Q10d | e. Other | a. Under age 18" numFmtId="0">
      <sharedItems containsNonDate="0" containsString="0" containsBlank="1"/>
    </cacheField>
    <cacheField name="Q10d | e. Other | b. Age 18-24" numFmtId="0">
      <sharedItems containsNonDate="0" containsString="0" containsBlank="1"/>
    </cacheField>
    <cacheField name="Q10d | e. Other | c. Age 25-61" numFmtId="0">
      <sharedItems containsNonDate="0" containsString="0" containsBlank="1"/>
    </cacheField>
    <cacheField name="Q10d | e. Other | d. Age 62 and over" numFmtId="0">
      <sharedItems containsNonDate="0" containsString="0" containsBlank="1"/>
    </cacheField>
    <cacheField name="Q10d | e. Other | e. Client Doesn't Know/Client Refused" numFmtId="0">
      <sharedItems containsNonDate="0" containsString="0" containsBlank="1"/>
    </cacheField>
    <cacheField name="Q10d | e. Other | f. Data not collected" numFmtId="0">
      <sharedItems containsNonDate="0" containsString="0" containsBlank="1"/>
    </cacheField>
    <cacheField name="Q10d | f. Don't know / refused | Total" numFmtId="0">
      <sharedItems containsNonDate="0" containsString="0" containsBlank="1"/>
    </cacheField>
    <cacheField name="Q10d | f. Don't know / refused | a. Under age 18" numFmtId="0">
      <sharedItems containsNonDate="0" containsString="0" containsBlank="1"/>
    </cacheField>
    <cacheField name="Q10d | f. Don't know / refused | b. Age 18-24" numFmtId="0">
      <sharedItems containsNonDate="0" containsString="0" containsBlank="1"/>
    </cacheField>
    <cacheField name="Q10d | f. Don't know / refused | c. Age 25-61" numFmtId="0">
      <sharedItems containsNonDate="0" containsString="0" containsBlank="1"/>
    </cacheField>
    <cacheField name="Q10d | f. Don't know / refused | d. Age 62 and over" numFmtId="0">
      <sharedItems containsNonDate="0" containsString="0" containsBlank="1"/>
    </cacheField>
    <cacheField name="Q10d | f. Don't know / refused | e. Client Doesn't Know/Client Refused" numFmtId="0">
      <sharedItems containsNonDate="0" containsString="0" containsBlank="1"/>
    </cacheField>
    <cacheField name="Q10d | f. Don't know / refused | f. Data not collected" numFmtId="0">
      <sharedItems containsNonDate="0" containsString="0" containsBlank="1"/>
    </cacheField>
    <cacheField name="Q10d | g. Information missing | Total" numFmtId="0">
      <sharedItems containsNonDate="0" containsString="0" containsBlank="1"/>
    </cacheField>
    <cacheField name="Q10d | g. Information missing | a. Under age 18" numFmtId="0">
      <sharedItems containsNonDate="0" containsString="0" containsBlank="1"/>
    </cacheField>
    <cacheField name="Q10d | g. Information missing | b. Age 18-24" numFmtId="0">
      <sharedItems containsNonDate="0" containsString="0" containsBlank="1"/>
    </cacheField>
    <cacheField name="Q10d | g. Information missing | c. Age 25-61" numFmtId="0">
      <sharedItems containsNonDate="0" containsString="0" containsBlank="1"/>
    </cacheField>
    <cacheField name="Q10d | g. Information missing | d. Age 62 and over" numFmtId="0">
      <sharedItems containsNonDate="0" containsString="0" containsBlank="1"/>
    </cacheField>
    <cacheField name="Q10d | g. Information missing | e. Client Doesn't Know/Client Refused" numFmtId="0">
      <sharedItems containsNonDate="0" containsString="0" containsBlank="1"/>
    </cacheField>
    <cacheField name="Q10d | g. Information missing | f. Data not collected" numFmtId="0">
      <sharedItems containsNonDate="0" containsString="0" containsBlank="1"/>
    </cacheField>
    <cacheField name="Q10d | h. Total | Total" numFmtId="0">
      <sharedItems containsNonDate="0" containsString="0" containsBlank="1"/>
    </cacheField>
    <cacheField name="Q10d | h. Total | a. Under age 18" numFmtId="0">
      <sharedItems containsNonDate="0" containsString="0" containsBlank="1"/>
    </cacheField>
    <cacheField name="Q10d | h. Total | b. Age 18-24" numFmtId="0">
      <sharedItems containsNonDate="0" containsString="0" containsBlank="1"/>
    </cacheField>
    <cacheField name="Q10d | h. Total | c. Age 25-61" numFmtId="0">
      <sharedItems containsNonDate="0" containsString="0" containsBlank="1"/>
    </cacheField>
    <cacheField name="Q10d | h. Total | d. Age 62 and over" numFmtId="0">
      <sharedItems containsNonDate="0" containsString="0" containsBlank="1"/>
    </cacheField>
    <cacheField name="Q10d | h. Total | e. Client Doesn't Know/Client Refused" numFmtId="0">
      <sharedItems containsNonDate="0" containsString="0" containsBlank="1"/>
    </cacheField>
    <cacheField name="Q10d | h. Total | f. Data not collected" numFmtId="0">
      <sharedItems containsNonDate="0" containsString="0" containsBlank="1"/>
    </cacheField>
    <cacheField name="Q11 | a. Under 5 | Total" numFmtId="0">
      <sharedItems containsNonDate="0" containsString="0" containsBlank="1"/>
    </cacheField>
    <cacheField name="Q11 | a. Under 5 | a. Without children" numFmtId="0">
      <sharedItems containsNonDate="0" containsString="0" containsBlank="1"/>
    </cacheField>
    <cacheField name="Q11 | a. Under 5 | b. With children and adults" numFmtId="0">
      <sharedItems containsNonDate="0" containsString="0" containsBlank="1"/>
    </cacheField>
    <cacheField name="Q11 | a. Under 5 | c. With only children" numFmtId="0">
      <sharedItems containsNonDate="0" containsString="0" containsBlank="1"/>
    </cacheField>
    <cacheField name="Q11 | a. Under 5 | d. Unknown household type" numFmtId="0">
      <sharedItems containsNonDate="0" containsString="0" containsBlank="1"/>
    </cacheField>
    <cacheField name="Q11 | b. 5 - 12 | Total" numFmtId="0">
      <sharedItems containsNonDate="0" containsString="0" containsBlank="1"/>
    </cacheField>
    <cacheField name="Q11 | b. 5 - 12 | a. Without children" numFmtId="0">
      <sharedItems containsNonDate="0" containsString="0" containsBlank="1"/>
    </cacheField>
    <cacheField name="Q11 | b. 5 - 12 | b. With children and adults" numFmtId="0">
      <sharedItems containsNonDate="0" containsString="0" containsBlank="1"/>
    </cacheField>
    <cacheField name="Q11 | b. 5 - 12 | c. With only children" numFmtId="0">
      <sharedItems containsNonDate="0" containsString="0" containsBlank="1"/>
    </cacheField>
    <cacheField name="Q11 | b. 5 - 12 | d. Unknown household type" numFmtId="0">
      <sharedItems containsNonDate="0" containsString="0" containsBlank="1"/>
    </cacheField>
    <cacheField name="Q11 | c. 13 - 17 | Total" numFmtId="0">
      <sharedItems containsNonDate="0" containsString="0" containsBlank="1"/>
    </cacheField>
    <cacheField name="Q11 | c. 13 - 17 | a. Without children" numFmtId="0">
      <sharedItems containsNonDate="0" containsString="0" containsBlank="1"/>
    </cacheField>
    <cacheField name="Q11 | c. 13 - 17 | b. With children and adults" numFmtId="0">
      <sharedItems containsNonDate="0" containsString="0" containsBlank="1"/>
    </cacheField>
    <cacheField name="Q11 | c. 13 - 17 | c. With only children" numFmtId="0">
      <sharedItems containsNonDate="0" containsString="0" containsBlank="1"/>
    </cacheField>
    <cacheField name="Q11 | c. 13 - 17 | d. Unknown household type" numFmtId="0">
      <sharedItems containsNonDate="0" containsString="0" containsBlank="1"/>
    </cacheField>
    <cacheField name="Q11 | d. 18 - 24 | Total" numFmtId="0">
      <sharedItems containsNonDate="0" containsString="0" containsBlank="1"/>
    </cacheField>
    <cacheField name="Q11 | d. 18 - 24 | a. Without children" numFmtId="0">
      <sharedItems containsNonDate="0" containsString="0" containsBlank="1"/>
    </cacheField>
    <cacheField name="Q11 | d. 18 - 24 | b. With children and adults" numFmtId="0">
      <sharedItems containsNonDate="0" containsString="0" containsBlank="1"/>
    </cacheField>
    <cacheField name="Q11 | d. 18 - 24 | c. With only children" numFmtId="0">
      <sharedItems containsNonDate="0" containsString="0" containsBlank="1"/>
    </cacheField>
    <cacheField name="Q11 | d. 18 - 24 | d. Unknown household type" numFmtId="0">
      <sharedItems containsNonDate="0" containsString="0" containsBlank="1"/>
    </cacheField>
    <cacheField name="Q11 | e. 25 - 34 | Total" numFmtId="0">
      <sharedItems containsNonDate="0" containsString="0" containsBlank="1"/>
    </cacheField>
    <cacheField name="Q11 | e. 25 - 34 | a. Without children" numFmtId="0">
      <sharedItems containsNonDate="0" containsString="0" containsBlank="1"/>
    </cacheField>
    <cacheField name="Q11 | e. 25 - 34 | b. With children and adults" numFmtId="0">
      <sharedItems containsNonDate="0" containsString="0" containsBlank="1"/>
    </cacheField>
    <cacheField name="Q11 | e. 25 - 34 | c. With only children" numFmtId="0">
      <sharedItems containsNonDate="0" containsString="0" containsBlank="1"/>
    </cacheField>
    <cacheField name="Q11 | e. 25 - 34 | d. Unknown household type" numFmtId="0">
      <sharedItems containsNonDate="0" containsString="0" containsBlank="1"/>
    </cacheField>
    <cacheField name="Q11 | f. 35 - 44 | Total" numFmtId="0">
      <sharedItems containsNonDate="0" containsString="0" containsBlank="1"/>
    </cacheField>
    <cacheField name="Q11 | f. 35 - 44 | a. Without children" numFmtId="0">
      <sharedItems containsNonDate="0" containsString="0" containsBlank="1"/>
    </cacheField>
    <cacheField name="Q11 | f. 35 - 44 | b. With children and adults" numFmtId="0">
      <sharedItems containsNonDate="0" containsString="0" containsBlank="1"/>
    </cacheField>
    <cacheField name="Q11 | f. 35 - 44 | c. With only children" numFmtId="0">
      <sharedItems containsNonDate="0" containsString="0" containsBlank="1"/>
    </cacheField>
    <cacheField name="Q11 | f. 35 - 44 | d. Unknown household type" numFmtId="0">
      <sharedItems containsNonDate="0" containsString="0" containsBlank="1"/>
    </cacheField>
    <cacheField name="Q11 | g. 45 - 54 | Total" numFmtId="0">
      <sharedItems containsNonDate="0" containsString="0" containsBlank="1"/>
    </cacheField>
    <cacheField name="Q11 | g. 45 - 54 | a. Without children" numFmtId="0">
      <sharedItems containsNonDate="0" containsString="0" containsBlank="1"/>
    </cacheField>
    <cacheField name="Q11 | g. 45 - 54 | b. With children and adults" numFmtId="0">
      <sharedItems containsNonDate="0" containsString="0" containsBlank="1"/>
    </cacheField>
    <cacheField name="Q11 | g. 45 - 54 | c. With only children" numFmtId="0">
      <sharedItems containsNonDate="0" containsString="0" containsBlank="1"/>
    </cacheField>
    <cacheField name="Q11 | g. 45 - 54 | d. Unknown household type" numFmtId="0">
      <sharedItems containsNonDate="0" containsString="0" containsBlank="1"/>
    </cacheField>
    <cacheField name="Q11 | h. 55 - 61 | Total" numFmtId="0">
      <sharedItems containsNonDate="0" containsString="0" containsBlank="1"/>
    </cacheField>
    <cacheField name="Q11 | h. 55 - 61 | a. Without children" numFmtId="0">
      <sharedItems containsNonDate="0" containsString="0" containsBlank="1"/>
    </cacheField>
    <cacheField name="Q11 | h. 55 - 61 | b. With children and adults" numFmtId="0">
      <sharedItems containsNonDate="0" containsString="0" containsBlank="1"/>
    </cacheField>
    <cacheField name="Q11 | h. 55 - 61 | c. With only children" numFmtId="0">
      <sharedItems containsNonDate="0" containsString="0" containsBlank="1"/>
    </cacheField>
    <cacheField name="Q11 | h. 55 - 61 | d. Unknown household type" numFmtId="0">
      <sharedItems containsNonDate="0" containsString="0" containsBlank="1"/>
    </cacheField>
    <cacheField name="Q11 | i. 62+ | Total" numFmtId="0">
      <sharedItems containsNonDate="0" containsString="0" containsBlank="1"/>
    </cacheField>
    <cacheField name="Q11 | i. 62+ | a. Without children" numFmtId="0">
      <sharedItems containsNonDate="0" containsString="0" containsBlank="1"/>
    </cacheField>
    <cacheField name="Q11 | i. 62+ | b. With children and adults" numFmtId="0">
      <sharedItems containsNonDate="0" containsString="0" containsBlank="1"/>
    </cacheField>
    <cacheField name="Q11 | i. 62+ | c. With only children" numFmtId="0">
      <sharedItems containsNonDate="0" containsString="0" containsBlank="1"/>
    </cacheField>
    <cacheField name="Q11 | i. 62+ | d. Unknown household type" numFmtId="0">
      <sharedItems containsNonDate="0" containsString="0" containsBlank="1"/>
    </cacheField>
    <cacheField name="Q11 | j. Don't know / refused | Total" numFmtId="0">
      <sharedItems containsNonDate="0" containsString="0" containsBlank="1"/>
    </cacheField>
    <cacheField name="Q11 | j. Don't know / refused | a. Without children" numFmtId="0">
      <sharedItems containsNonDate="0" containsString="0" containsBlank="1"/>
    </cacheField>
    <cacheField name="Q11 | j. Don't know / refused | b. With children and adults" numFmtId="0">
      <sharedItems containsNonDate="0" containsString="0" containsBlank="1"/>
    </cacheField>
    <cacheField name="Q11 | j. Don't know / refused | c. With only children" numFmtId="0">
      <sharedItems containsNonDate="0" containsString="0" containsBlank="1"/>
    </cacheField>
    <cacheField name="Q11 | j. Don't know / refused | d. Unknown household type" numFmtId="0">
      <sharedItems containsNonDate="0" containsString="0" containsBlank="1"/>
    </cacheField>
    <cacheField name="Q11 | k. Information missing | Total" numFmtId="0">
      <sharedItems containsNonDate="0" containsString="0" containsBlank="1"/>
    </cacheField>
    <cacheField name="Q11 | k. Information missing | a. Without children" numFmtId="0">
      <sharedItems containsNonDate="0" containsString="0" containsBlank="1"/>
    </cacheField>
    <cacheField name="Q11 | k. Information missing | b. With children and adults" numFmtId="0">
      <sharedItems containsNonDate="0" containsString="0" containsBlank="1"/>
    </cacheField>
    <cacheField name="Q11 | k. Information missing | c. With only children" numFmtId="0">
      <sharedItems containsNonDate="0" containsString="0" containsBlank="1"/>
    </cacheField>
    <cacheField name="Q11 | k. Information missing | d. Unknown household type" numFmtId="0">
      <sharedItems containsNonDate="0" containsString="0" containsBlank="1"/>
    </cacheField>
    <cacheField name="Q11 | l. Total | Total" numFmtId="0">
      <sharedItems containsNonDate="0" containsString="0" containsBlank="1"/>
    </cacheField>
    <cacheField name="Q11 | l. Total | a. Without children" numFmtId="0">
      <sharedItems containsNonDate="0" containsString="0" containsBlank="1"/>
    </cacheField>
    <cacheField name="Q11 | l. Total | b. With children and adults" numFmtId="0">
      <sharedItems containsNonDate="0" containsString="0" containsBlank="1"/>
    </cacheField>
    <cacheField name="Q11 | l. Total | c. With only children" numFmtId="0">
      <sharedItems containsNonDate="0" containsString="0" containsBlank="1"/>
    </cacheField>
    <cacheField name="Q11 | l. Total | d. Unknown household type" numFmtId="0">
      <sharedItems containsNonDate="0" containsString="0" containsBlank="1"/>
    </cacheField>
    <cacheField name="Q12a | a. White | Total" numFmtId="0">
      <sharedItems containsNonDate="0" containsString="0" containsBlank="1"/>
    </cacheField>
    <cacheField name="Q12a | a. White | a. Without children" numFmtId="0">
      <sharedItems containsNonDate="0" containsString="0" containsBlank="1"/>
    </cacheField>
    <cacheField name="Q12a | a. White | b. With children and adults" numFmtId="0">
      <sharedItems containsNonDate="0" containsString="0" containsBlank="1"/>
    </cacheField>
    <cacheField name="Q12a | a. White | c. With only children" numFmtId="0">
      <sharedItems containsNonDate="0" containsString="0" containsBlank="1"/>
    </cacheField>
    <cacheField name="Q12a | a. White | d. Unknown household type" numFmtId="0">
      <sharedItems containsNonDate="0" containsString="0" containsBlank="1"/>
    </cacheField>
    <cacheField name="Q12a | b. Black or African-American | Total" numFmtId="0">
      <sharedItems containsNonDate="0" containsString="0" containsBlank="1"/>
    </cacheField>
    <cacheField name="Q12a | b. Black or African-American | a. Without children" numFmtId="0">
      <sharedItems containsNonDate="0" containsString="0" containsBlank="1"/>
    </cacheField>
    <cacheField name="Q12a | b. Black or African-American | b. With children and adults" numFmtId="0">
      <sharedItems containsNonDate="0" containsString="0" containsBlank="1"/>
    </cacheField>
    <cacheField name="Q12a | b. Black or African-American | c. With only children" numFmtId="0">
      <sharedItems containsNonDate="0" containsString="0" containsBlank="1"/>
    </cacheField>
    <cacheField name="Q12a | b. Black or African-American | d. Unknown household type" numFmtId="0">
      <sharedItems containsNonDate="0" containsString="0" containsBlank="1"/>
    </cacheField>
    <cacheField name="Q12a | c. Asian | Total" numFmtId="0">
      <sharedItems containsNonDate="0" containsString="0" containsBlank="1"/>
    </cacheField>
    <cacheField name="Q12a | c. Asian | a. Without children" numFmtId="0">
      <sharedItems containsNonDate="0" containsString="0" containsBlank="1"/>
    </cacheField>
    <cacheField name="Q12a | c. Asian | b. With children and adults" numFmtId="0">
      <sharedItems containsNonDate="0" containsString="0" containsBlank="1"/>
    </cacheField>
    <cacheField name="Q12a | c. Asian | c. With only children" numFmtId="0">
      <sharedItems containsNonDate="0" containsString="0" containsBlank="1"/>
    </cacheField>
    <cacheField name="Q12a | c. Asian | d. Unknown household type" numFmtId="0">
      <sharedItems containsNonDate="0" containsString="0" containsBlank="1"/>
    </cacheField>
    <cacheField name="Q12a | d. American Indian or Alaska Native | Total" numFmtId="0">
      <sharedItems containsNonDate="0" containsString="0" containsBlank="1"/>
    </cacheField>
    <cacheField name="Q12a | d. American Indian or Alaska Native | a. Without children" numFmtId="0">
      <sharedItems containsNonDate="0" containsString="0" containsBlank="1"/>
    </cacheField>
    <cacheField name="Q12a | d. American Indian or Alaska Native | b. With children and adults" numFmtId="0">
      <sharedItems containsNonDate="0" containsString="0" containsBlank="1"/>
    </cacheField>
    <cacheField name="Q12a | d. American Indian or Alaska Native | c. With only children" numFmtId="0">
      <sharedItems containsNonDate="0" containsString="0" containsBlank="1"/>
    </cacheField>
    <cacheField name="Q12a | d. American Indian or Alaska Native | d. Unknown household type" numFmtId="0">
      <sharedItems containsNonDate="0" containsString="0" containsBlank="1"/>
    </cacheField>
    <cacheField name="Q12a | e. Native Hawaiian or Other Pacific Islander | Total" numFmtId="0">
      <sharedItems containsNonDate="0" containsString="0" containsBlank="1"/>
    </cacheField>
    <cacheField name="Q12a | e. Native Hawaiian or Other Pacific Islander | a. Without children" numFmtId="0">
      <sharedItems containsNonDate="0" containsString="0" containsBlank="1"/>
    </cacheField>
    <cacheField name="Q12a | e. Native Hawaiian or Other Pacific Islander | b. With children and adults" numFmtId="0">
      <sharedItems containsNonDate="0" containsString="0" containsBlank="1"/>
    </cacheField>
    <cacheField name="Q12a | e. Native Hawaiian or Other Pacific Islander | c. With only children" numFmtId="0">
      <sharedItems containsNonDate="0" containsString="0" containsBlank="1"/>
    </cacheField>
    <cacheField name="Q12a | e. Native Hawaiian or Other Pacific Islander | d. Unknown household type" numFmtId="0">
      <sharedItems containsNonDate="0" containsString="0" containsBlank="1"/>
    </cacheField>
    <cacheField name="Q12a | f. Multiple races | Total" numFmtId="0">
      <sharedItems containsNonDate="0" containsString="0" containsBlank="1"/>
    </cacheField>
    <cacheField name="Q12a | f. Multiple races | a. Without children" numFmtId="0">
      <sharedItems containsNonDate="0" containsString="0" containsBlank="1"/>
    </cacheField>
    <cacheField name="Q12a | f. Multiple races | b. With children and adults" numFmtId="0">
      <sharedItems containsNonDate="0" containsString="0" containsBlank="1"/>
    </cacheField>
    <cacheField name="Q12a | f. Multiple races | c. With only children" numFmtId="0">
      <sharedItems containsNonDate="0" containsString="0" containsBlank="1"/>
    </cacheField>
    <cacheField name="Q12a | f. Multiple races | d. Unknown household type" numFmtId="0">
      <sharedItems containsNonDate="0" containsString="0" containsBlank="1"/>
    </cacheField>
    <cacheField name="Q12a | g. Don't know / refused | Total" numFmtId="0">
      <sharedItems containsNonDate="0" containsString="0" containsBlank="1"/>
    </cacheField>
    <cacheField name="Q12a | g. Don't know / refused | a. Without children" numFmtId="0">
      <sharedItems containsNonDate="0" containsString="0" containsBlank="1"/>
    </cacheField>
    <cacheField name="Q12a | g. Don't know / refused | b. With children and adults" numFmtId="0">
      <sharedItems containsNonDate="0" containsString="0" containsBlank="1"/>
    </cacheField>
    <cacheField name="Q12a | g. Don't know / refused | c. With only children" numFmtId="0">
      <sharedItems containsNonDate="0" containsString="0" containsBlank="1"/>
    </cacheField>
    <cacheField name="Q12a | g. Don't know / refused | d. Unknown household type" numFmtId="0">
      <sharedItems containsNonDate="0" containsString="0" containsBlank="1"/>
    </cacheField>
    <cacheField name="Q12a | h. Information missing | Total" numFmtId="0">
      <sharedItems containsNonDate="0" containsString="0" containsBlank="1"/>
    </cacheField>
    <cacheField name="Q12a | h. Information missing | a. Without children" numFmtId="0">
      <sharedItems containsNonDate="0" containsString="0" containsBlank="1"/>
    </cacheField>
    <cacheField name="Q12a | h. Information missing | b. With children and adults" numFmtId="0">
      <sharedItems containsNonDate="0" containsString="0" containsBlank="1"/>
    </cacheField>
    <cacheField name="Q12a | h. Information missing | c. With only children" numFmtId="0">
      <sharedItems containsNonDate="0" containsString="0" containsBlank="1"/>
    </cacheField>
    <cacheField name="Q12a | h. Information missing | d. Unknown household type" numFmtId="0">
      <sharedItems containsNonDate="0" containsString="0" containsBlank="1"/>
    </cacheField>
    <cacheField name="Q12a | i. Total | Total" numFmtId="0">
      <sharedItems containsNonDate="0" containsString="0" containsBlank="1"/>
    </cacheField>
    <cacheField name="Q12a | i. Total | a. Without children" numFmtId="0">
      <sharedItems containsNonDate="0" containsString="0" containsBlank="1"/>
    </cacheField>
    <cacheField name="Q12a | i. Total | b. With children and adults" numFmtId="0">
      <sharedItems containsNonDate="0" containsString="0" containsBlank="1"/>
    </cacheField>
    <cacheField name="Q12a | i. Total | c. With only children" numFmtId="0">
      <sharedItems containsNonDate="0" containsString="0" containsBlank="1"/>
    </cacheField>
    <cacheField name="Q12a | i. Total | d. Unknown household type" numFmtId="0">
      <sharedItems containsNonDate="0" containsString="0" containsBlank="1"/>
    </cacheField>
    <cacheField name="Q12b | a. Non-Hispanic/non-Latino | Total" numFmtId="0">
      <sharedItems containsNonDate="0" containsString="0" containsBlank="1"/>
    </cacheField>
    <cacheField name="Q12b | a. Non-Hispanic/non-Latino | a. Without children" numFmtId="0">
      <sharedItems containsNonDate="0" containsString="0" containsBlank="1"/>
    </cacheField>
    <cacheField name="Q12b | a. Non-Hispanic/non-Latino | b. With children and adults" numFmtId="0">
      <sharedItems containsNonDate="0" containsString="0" containsBlank="1"/>
    </cacheField>
    <cacheField name="Q12b | a. Non-Hispanic/non-Latino | c. With only children" numFmtId="0">
      <sharedItems containsNonDate="0" containsString="0" containsBlank="1"/>
    </cacheField>
    <cacheField name="Q12b | a. Non-Hispanic/non-Latino | d. Unknown household type" numFmtId="0">
      <sharedItems containsNonDate="0" containsString="0" containsBlank="1"/>
    </cacheField>
    <cacheField name="Q12b | b. Hispanic/Latino | Total" numFmtId="0">
      <sharedItems containsNonDate="0" containsString="0" containsBlank="1"/>
    </cacheField>
    <cacheField name="Q12b | b. Hispanic/Latino | a. Without children" numFmtId="0">
      <sharedItems containsNonDate="0" containsString="0" containsBlank="1"/>
    </cacheField>
    <cacheField name="Q12b | b. Hispanic/Latino | b. With children and adults" numFmtId="0">
      <sharedItems containsNonDate="0" containsString="0" containsBlank="1"/>
    </cacheField>
    <cacheField name="Q12b | b. Hispanic/Latino | c. With only children" numFmtId="0">
      <sharedItems containsNonDate="0" containsString="0" containsBlank="1"/>
    </cacheField>
    <cacheField name="Q12b | b. Hispanic/Latino | d. Unknown household type" numFmtId="0">
      <sharedItems containsNonDate="0" containsString="0" containsBlank="1"/>
    </cacheField>
    <cacheField name="Q12b | c. Don't know / refused | Total" numFmtId="0">
      <sharedItems containsNonDate="0" containsString="0" containsBlank="1"/>
    </cacheField>
    <cacheField name="Q12b | c. Don't know / refused | a. Without children" numFmtId="0">
      <sharedItems containsNonDate="0" containsString="0" containsBlank="1"/>
    </cacheField>
    <cacheField name="Q12b | c. Don't know / refused | b. With children and adults" numFmtId="0">
      <sharedItems containsNonDate="0" containsString="0" containsBlank="1"/>
    </cacheField>
    <cacheField name="Q12b | c. Don't know / refused | c. With only children" numFmtId="0">
      <sharedItems containsNonDate="0" containsString="0" containsBlank="1"/>
    </cacheField>
    <cacheField name="Q12b | c. Don't know / refused | d. Unknown household type" numFmtId="0">
      <sharedItems containsNonDate="0" containsString="0" containsBlank="1"/>
    </cacheField>
    <cacheField name="Q12b | d. Information missing | Total" numFmtId="0">
      <sharedItems containsNonDate="0" containsString="0" containsBlank="1"/>
    </cacheField>
    <cacheField name="Q12b | d. Information missing | a. Without children" numFmtId="0">
      <sharedItems containsNonDate="0" containsString="0" containsBlank="1"/>
    </cacheField>
    <cacheField name="Q12b | d. Information missing | b. With children and adults" numFmtId="0">
      <sharedItems containsNonDate="0" containsString="0" containsBlank="1"/>
    </cacheField>
    <cacheField name="Q12b | d. Information missing | c. With only children" numFmtId="0">
      <sharedItems containsNonDate="0" containsString="0" containsBlank="1"/>
    </cacheField>
    <cacheField name="Q12b | d. Information missing | d. Unknown household type" numFmtId="0">
      <sharedItems containsNonDate="0" containsString="0" containsBlank="1"/>
    </cacheField>
    <cacheField name="Q12b | e. Total | Total" numFmtId="0">
      <sharedItems containsNonDate="0" containsString="0" containsBlank="1"/>
    </cacheField>
    <cacheField name="Q12b | e. Total | a. Without children" numFmtId="0">
      <sharedItems containsNonDate="0" containsString="0" containsBlank="1"/>
    </cacheField>
    <cacheField name="Q12b | e. Total | b. With children and adults" numFmtId="0">
      <sharedItems containsNonDate="0" containsString="0" containsBlank="1"/>
    </cacheField>
    <cacheField name="Q12b | e. Total | c. With only children" numFmtId="0">
      <sharedItems containsNonDate="0" containsString="0" containsBlank="1"/>
    </cacheField>
    <cacheField name="Q12b | e. Total | d. Unknown household type" numFmtId="0">
      <sharedItems containsNonDate="0" containsString="0" containsBlank="1"/>
    </cacheField>
    <cacheField name="Q13a1 | a. Mental illness | Total persons" numFmtId="0">
      <sharedItems containsNonDate="0" containsString="0" containsBlank="1"/>
    </cacheField>
    <cacheField name="Q13a1 | a. Mental illness | a. Without children" numFmtId="0">
      <sharedItems containsNonDate="0" containsString="0" containsBlank="1"/>
    </cacheField>
    <cacheField name="Q13a1 | a. Mental illness | b. With children and adults" numFmtId="0">
      <sharedItems containsNonDate="0" containsString="0" containsBlank="1"/>
    </cacheField>
    <cacheField name="Q13a1 | a. Mental illness | c. With only children" numFmtId="0">
      <sharedItems containsNonDate="0" containsString="0" containsBlank="1"/>
    </cacheField>
    <cacheField name="Q13a1 | a. Mental illness | d. Unknown household type" numFmtId="0">
      <sharedItems containsNonDate="0" containsString="0" containsBlank="1"/>
    </cacheField>
    <cacheField name="Q13a1 | b. Alcohol abuse | Total persons" numFmtId="0">
      <sharedItems containsNonDate="0" containsString="0" containsBlank="1"/>
    </cacheField>
    <cacheField name="Q13a1 | b. Alcohol abuse | a. Without children" numFmtId="0">
      <sharedItems containsNonDate="0" containsString="0" containsBlank="1"/>
    </cacheField>
    <cacheField name="Q13a1 | b. Alcohol abuse | b. With children and adults" numFmtId="0">
      <sharedItems containsNonDate="0" containsString="0" containsBlank="1"/>
    </cacheField>
    <cacheField name="Q13a1 | b. Alcohol abuse | c. With only children" numFmtId="0">
      <sharedItems containsNonDate="0" containsString="0" containsBlank="1"/>
    </cacheField>
    <cacheField name="Q13a1 | b. Alcohol abuse | d. Unknown household type" numFmtId="0">
      <sharedItems containsNonDate="0" containsString="0" containsBlank="1"/>
    </cacheField>
    <cacheField name="Q13a1 | c. Drug abuse | Total persons" numFmtId="0">
      <sharedItems containsNonDate="0" containsString="0" containsBlank="1"/>
    </cacheField>
    <cacheField name="Q13a1 | c. Drug abuse | a. Without children" numFmtId="0">
      <sharedItems containsNonDate="0" containsString="0" containsBlank="1"/>
    </cacheField>
    <cacheField name="Q13a1 | c. Drug abuse | b. With children and adults" numFmtId="0">
      <sharedItems containsNonDate="0" containsString="0" containsBlank="1"/>
    </cacheField>
    <cacheField name="Q13a1 | c. Drug abuse | c. With only children" numFmtId="0">
      <sharedItems containsNonDate="0" containsString="0" containsBlank="1"/>
    </cacheField>
    <cacheField name="Q13a1 | c. Drug abuse | d. Unknown household type" numFmtId="0">
      <sharedItems containsNonDate="0" containsString="0" containsBlank="1"/>
    </cacheField>
    <cacheField name="Q13a1 | d. Both alcohol and drug abuse | Total persons" numFmtId="0">
      <sharedItems containsNonDate="0" containsString="0" containsBlank="1"/>
    </cacheField>
    <cacheField name="Q13a1 | d. Both alcohol and drug abuse | a. Without children" numFmtId="0">
      <sharedItems containsNonDate="0" containsString="0" containsBlank="1"/>
    </cacheField>
    <cacheField name="Q13a1 | d. Both alcohol and drug abuse | b. With children and adults" numFmtId="0">
      <sharedItems containsNonDate="0" containsString="0" containsBlank="1"/>
    </cacheField>
    <cacheField name="Q13a1 | d. Both alcohol and drug abuse | c. With only children" numFmtId="0">
      <sharedItems containsNonDate="0" containsString="0" containsBlank="1"/>
    </cacheField>
    <cacheField name="Q13a1 | d. Both alcohol and drug abuse | d. Unknown household type" numFmtId="0">
      <sharedItems containsNonDate="0" containsString="0" containsBlank="1"/>
    </cacheField>
    <cacheField name="Q13a1 | e. Chronic health condition | Total persons" numFmtId="0">
      <sharedItems containsNonDate="0" containsString="0" containsBlank="1"/>
    </cacheField>
    <cacheField name="Q13a1 | e. Chronic health condition | a. Without children" numFmtId="0">
      <sharedItems containsNonDate="0" containsString="0" containsBlank="1"/>
    </cacheField>
    <cacheField name="Q13a1 | e. Chronic health condition | b. With children and adults" numFmtId="0">
      <sharedItems containsNonDate="0" containsString="0" containsBlank="1"/>
    </cacheField>
    <cacheField name="Q13a1 | e. Chronic health condition | c. With only children" numFmtId="0">
      <sharedItems containsNonDate="0" containsString="0" containsBlank="1"/>
    </cacheField>
    <cacheField name="Q13a1 | e. Chronic health condition | d. Unknown household type" numFmtId="0">
      <sharedItems containsNonDate="0" containsString="0" containsBlank="1"/>
    </cacheField>
    <cacheField name="Q13a1 | f. HIV/AIDS and related diseases | Total persons" numFmtId="0">
      <sharedItems containsNonDate="0" containsString="0" containsBlank="1"/>
    </cacheField>
    <cacheField name="Q13a1 | f. HIV/AIDS and related diseases | a. Without children" numFmtId="0">
      <sharedItems containsNonDate="0" containsString="0" containsBlank="1"/>
    </cacheField>
    <cacheField name="Q13a1 | f. HIV/AIDS and related diseases | b. With children and adults" numFmtId="0">
      <sharedItems containsNonDate="0" containsString="0" containsBlank="1"/>
    </cacheField>
    <cacheField name="Q13a1 | f. HIV/AIDS and related diseases | c. With only children" numFmtId="0">
      <sharedItems containsNonDate="0" containsString="0" containsBlank="1"/>
    </cacheField>
    <cacheField name="Q13a1 | f. HIV/AIDS and related diseases | d. Unknown household type" numFmtId="0">
      <sharedItems containsNonDate="0" containsString="0" containsBlank="1"/>
    </cacheField>
    <cacheField name="Q13a1 | g. Developmental disability | Total persons" numFmtId="0">
      <sharedItems containsNonDate="0" containsString="0" containsBlank="1"/>
    </cacheField>
    <cacheField name="Q13a1 | g. Developmental disability | a. Without children" numFmtId="0">
      <sharedItems containsNonDate="0" containsString="0" containsBlank="1"/>
    </cacheField>
    <cacheField name="Q13a1 | g. Developmental disability | b. With children and adults" numFmtId="0">
      <sharedItems containsNonDate="0" containsString="0" containsBlank="1"/>
    </cacheField>
    <cacheField name="Q13a1 | g. Developmental disability | c. With only children" numFmtId="0">
      <sharedItems containsNonDate="0" containsString="0" containsBlank="1"/>
    </cacheField>
    <cacheField name="Q13a1 | g. Developmental disability | d. Unknown household type" numFmtId="0">
      <sharedItems containsNonDate="0" containsString="0" containsBlank="1"/>
    </cacheField>
    <cacheField name="Q13a1 | h. Physical disability | Total persons" numFmtId="0">
      <sharedItems containsNonDate="0" containsString="0" containsBlank="1"/>
    </cacheField>
    <cacheField name="Q13a1 | h. Physical disability | a. Without children" numFmtId="0">
      <sharedItems containsNonDate="0" containsString="0" containsBlank="1"/>
    </cacheField>
    <cacheField name="Q13a1 | h. Physical disability | b. With children and adults" numFmtId="0">
      <sharedItems containsNonDate="0" containsString="0" containsBlank="1"/>
    </cacheField>
    <cacheField name="Q13a1 | h. Physical disability | c. With only children" numFmtId="0">
      <sharedItems containsNonDate="0" containsString="0" containsBlank="1"/>
    </cacheField>
    <cacheField name="Q13a1 | h. Physical disability | d. Unknown household type" numFmtId="0">
      <sharedItems containsNonDate="0" containsString="0" containsBlank="1"/>
    </cacheField>
    <cacheField name="Q13b1 | a. Mental illness | Total persons" numFmtId="0">
      <sharedItems containsNonDate="0" containsString="0" containsBlank="1"/>
    </cacheField>
    <cacheField name="Q13b1 | a. Mental illness | a. Without children" numFmtId="0">
      <sharedItems containsNonDate="0" containsString="0" containsBlank="1"/>
    </cacheField>
    <cacheField name="Q13b1 | a. Mental illness | b. With children and adults" numFmtId="0">
      <sharedItems containsNonDate="0" containsString="0" containsBlank="1"/>
    </cacheField>
    <cacheField name="Q13b1 | a. Mental illness | c. With only children" numFmtId="0">
      <sharedItems containsNonDate="0" containsString="0" containsBlank="1"/>
    </cacheField>
    <cacheField name="Q13b1 | a. Mental illness | d. Unknown household type" numFmtId="0">
      <sharedItems containsNonDate="0" containsString="0" containsBlank="1"/>
    </cacheField>
    <cacheField name="Q13b1 | b. Alcohol abuse | Total persons" numFmtId="0">
      <sharedItems containsNonDate="0" containsString="0" containsBlank="1"/>
    </cacheField>
    <cacheField name="Q13b1 | b. Alcohol abuse | a. Without children" numFmtId="0">
      <sharedItems containsNonDate="0" containsString="0" containsBlank="1"/>
    </cacheField>
    <cacheField name="Q13b1 | b. Alcohol abuse | b. With children and adults" numFmtId="0">
      <sharedItems containsNonDate="0" containsString="0" containsBlank="1"/>
    </cacheField>
    <cacheField name="Q13b1 | b. Alcohol abuse | c. With only children" numFmtId="0">
      <sharedItems containsNonDate="0" containsString="0" containsBlank="1"/>
    </cacheField>
    <cacheField name="Q13b1 | b. Alcohol abuse | d. Unknown household type" numFmtId="0">
      <sharedItems containsNonDate="0" containsString="0" containsBlank="1"/>
    </cacheField>
    <cacheField name="Q13b1 | c. Drug abuse | Total persons" numFmtId="0">
      <sharedItems containsNonDate="0" containsString="0" containsBlank="1"/>
    </cacheField>
    <cacheField name="Q13b1 | c. Drug abuse | a. Without children" numFmtId="0">
      <sharedItems containsNonDate="0" containsString="0" containsBlank="1"/>
    </cacheField>
    <cacheField name="Q13b1 | c. Drug abuse | b. With children and adults" numFmtId="0">
      <sharedItems containsNonDate="0" containsString="0" containsBlank="1"/>
    </cacheField>
    <cacheField name="Q13b1 | c. Drug abuse | c. With only children" numFmtId="0">
      <sharedItems containsNonDate="0" containsString="0" containsBlank="1"/>
    </cacheField>
    <cacheField name="Q13b1 | c. Drug abuse | d. Unknown household type" numFmtId="0">
      <sharedItems containsNonDate="0" containsString="0" containsBlank="1"/>
    </cacheField>
    <cacheField name="Q13b1 | d. Both alcohol and drug abuse | Total persons" numFmtId="0">
      <sharedItems containsNonDate="0" containsString="0" containsBlank="1"/>
    </cacheField>
    <cacheField name="Q13b1 | d. Both alcohol and drug abuse | a. Without children" numFmtId="0">
      <sharedItems containsNonDate="0" containsString="0" containsBlank="1"/>
    </cacheField>
    <cacheField name="Q13b1 | d. Both alcohol and drug abuse | b. With children and adults" numFmtId="0">
      <sharedItems containsNonDate="0" containsString="0" containsBlank="1"/>
    </cacheField>
    <cacheField name="Q13b1 | d. Both alcohol and drug abuse | c. With only children" numFmtId="0">
      <sharedItems containsNonDate="0" containsString="0" containsBlank="1"/>
    </cacheField>
    <cacheField name="Q13b1 | d. Both alcohol and drug abuse | d. Unknown household type" numFmtId="0">
      <sharedItems containsNonDate="0" containsString="0" containsBlank="1"/>
    </cacheField>
    <cacheField name="Q13b1 | e. Chronic health condition | Total persons" numFmtId="0">
      <sharedItems containsNonDate="0" containsString="0" containsBlank="1"/>
    </cacheField>
    <cacheField name="Q13b1 | e. Chronic health condition | a. Without children" numFmtId="0">
      <sharedItems containsNonDate="0" containsString="0" containsBlank="1"/>
    </cacheField>
    <cacheField name="Q13b1 | e. Chronic health condition | b. With children and adults" numFmtId="0">
      <sharedItems containsNonDate="0" containsString="0" containsBlank="1"/>
    </cacheField>
    <cacheField name="Q13b1 | e. Chronic health condition | c. With only children" numFmtId="0">
      <sharedItems containsNonDate="0" containsString="0" containsBlank="1"/>
    </cacheField>
    <cacheField name="Q13b1 | e. Chronic health condition | d. Unknown household type" numFmtId="0">
      <sharedItems containsNonDate="0" containsString="0" containsBlank="1"/>
    </cacheField>
    <cacheField name="Q13b1 | f. HIV/AIDS and related diseases | Total persons" numFmtId="0">
      <sharedItems containsNonDate="0" containsString="0" containsBlank="1"/>
    </cacheField>
    <cacheField name="Q13b1 | f. HIV/AIDS and related diseases | a. Without children" numFmtId="0">
      <sharedItems containsNonDate="0" containsString="0" containsBlank="1"/>
    </cacheField>
    <cacheField name="Q13b1 | f. HIV/AIDS and related diseases | b. With children and adults" numFmtId="0">
      <sharedItems containsNonDate="0" containsString="0" containsBlank="1"/>
    </cacheField>
    <cacheField name="Q13b1 | f. HIV/AIDS and related diseases | c. With only children" numFmtId="0">
      <sharedItems containsNonDate="0" containsString="0" containsBlank="1"/>
    </cacheField>
    <cacheField name="Q13b1 | f. HIV/AIDS and related diseases | d. Unknown household type" numFmtId="0">
      <sharedItems containsNonDate="0" containsString="0" containsBlank="1"/>
    </cacheField>
    <cacheField name="Q13b1 | g. Developmental disability | Total persons" numFmtId="0">
      <sharedItems containsNonDate="0" containsString="0" containsBlank="1"/>
    </cacheField>
    <cacheField name="Q13b1 | g. Developmental disability | a. Without children" numFmtId="0">
      <sharedItems containsNonDate="0" containsString="0" containsBlank="1"/>
    </cacheField>
    <cacheField name="Q13b1 | g. Developmental disability | b. With children and adults" numFmtId="0">
      <sharedItems containsNonDate="0" containsString="0" containsBlank="1"/>
    </cacheField>
    <cacheField name="Q13b1 | g. Developmental disability | c. With only children" numFmtId="0">
      <sharedItems containsNonDate="0" containsString="0" containsBlank="1"/>
    </cacheField>
    <cacheField name="Q13b1 | g. Developmental disability | d. Unknown household type" numFmtId="0">
      <sharedItems containsNonDate="0" containsString="0" containsBlank="1"/>
    </cacheField>
    <cacheField name="Q13b1 | h. Physical disability | Total persons" numFmtId="0">
      <sharedItems containsNonDate="0" containsString="0" containsBlank="1"/>
    </cacheField>
    <cacheField name="Q13b1 | h. Physical disability | a. Without children" numFmtId="0">
      <sharedItems containsNonDate="0" containsString="0" containsBlank="1"/>
    </cacheField>
    <cacheField name="Q13b1 | h. Physical disability | b. With children and adults" numFmtId="0">
      <sharedItems containsNonDate="0" containsString="0" containsBlank="1"/>
    </cacheField>
    <cacheField name="Q13b1 | h. Physical disability | c. With only children" numFmtId="0">
      <sharedItems containsNonDate="0" containsString="0" containsBlank="1"/>
    </cacheField>
    <cacheField name="Q13b1 | h. Physical disability | d. Unknown household type" numFmtId="0">
      <sharedItems containsNonDate="0" containsString="0" containsBlank="1"/>
    </cacheField>
    <cacheField name="Q13c1 | a. Mental illness | Total persons" numFmtId="0">
      <sharedItems containsNonDate="0" containsString="0" containsBlank="1"/>
    </cacheField>
    <cacheField name="Q13c1 | a. Mental illness | a. Without children" numFmtId="0">
      <sharedItems containsNonDate="0" containsString="0" containsBlank="1"/>
    </cacheField>
    <cacheField name="Q13c1 | a. Mental illness | b. With children and adults" numFmtId="0">
      <sharedItems containsNonDate="0" containsString="0" containsBlank="1"/>
    </cacheField>
    <cacheField name="Q13c1 | a. Mental illness | c. With only children" numFmtId="0">
      <sharedItems containsNonDate="0" containsString="0" containsBlank="1"/>
    </cacheField>
    <cacheField name="Q13c1 | a. Mental illness | d. Unknown household type" numFmtId="0">
      <sharedItems containsNonDate="0" containsString="0" containsBlank="1"/>
    </cacheField>
    <cacheField name="Q13c1 | b. Alcohol abuse | Total persons" numFmtId="0">
      <sharedItems containsNonDate="0" containsString="0" containsBlank="1"/>
    </cacheField>
    <cacheField name="Q13c1 | b. Alcohol abuse | a. Without children" numFmtId="0">
      <sharedItems containsNonDate="0" containsString="0" containsBlank="1"/>
    </cacheField>
    <cacheField name="Q13c1 | b. Alcohol abuse | b. With children and adults" numFmtId="0">
      <sharedItems containsNonDate="0" containsString="0" containsBlank="1"/>
    </cacheField>
    <cacheField name="Q13c1 | b. Alcohol abuse | c. With only children" numFmtId="0">
      <sharedItems containsNonDate="0" containsString="0" containsBlank="1"/>
    </cacheField>
    <cacheField name="Q13c1 | b. Alcohol abuse | d. Unknown household type" numFmtId="0">
      <sharedItems containsNonDate="0" containsString="0" containsBlank="1"/>
    </cacheField>
    <cacheField name="Q13c1 | c. Drug abuse | Total persons" numFmtId="0">
      <sharedItems containsNonDate="0" containsString="0" containsBlank="1"/>
    </cacheField>
    <cacheField name="Q13c1 | c. Drug abuse | a. Without children" numFmtId="0">
      <sharedItems containsNonDate="0" containsString="0" containsBlank="1"/>
    </cacheField>
    <cacheField name="Q13c1 | c. Drug abuse | b. With children and adults" numFmtId="0">
      <sharedItems containsNonDate="0" containsString="0" containsBlank="1"/>
    </cacheField>
    <cacheField name="Q13c1 | c. Drug abuse | c. With only children" numFmtId="0">
      <sharedItems containsNonDate="0" containsString="0" containsBlank="1"/>
    </cacheField>
    <cacheField name="Q13c1 | c. Drug abuse | d. Unknown household type" numFmtId="0">
      <sharedItems containsNonDate="0" containsString="0" containsBlank="1"/>
    </cacheField>
    <cacheField name="Q13c1 | d. Both alcohol and drug abuse | Total persons" numFmtId="0">
      <sharedItems containsNonDate="0" containsString="0" containsBlank="1"/>
    </cacheField>
    <cacheField name="Q13c1 | d. Both alcohol and drug abuse | a. Without children" numFmtId="0">
      <sharedItems containsNonDate="0" containsString="0" containsBlank="1"/>
    </cacheField>
    <cacheField name="Q13c1 | d. Both alcohol and drug abuse | b. With children and adults" numFmtId="0">
      <sharedItems containsNonDate="0" containsString="0" containsBlank="1"/>
    </cacheField>
    <cacheField name="Q13c1 | d. Both alcohol and drug abuse | c. With only children" numFmtId="0">
      <sharedItems containsNonDate="0" containsString="0" containsBlank="1"/>
    </cacheField>
    <cacheField name="Q13c1 | d. Both alcohol and drug abuse | d. Unknown household type" numFmtId="0">
      <sharedItems containsNonDate="0" containsString="0" containsBlank="1"/>
    </cacheField>
    <cacheField name="Q13c1 | e. Chronic health condition | Total persons" numFmtId="0">
      <sharedItems containsNonDate="0" containsString="0" containsBlank="1"/>
    </cacheField>
    <cacheField name="Q13c1 | e. Chronic health condition | a. Without children" numFmtId="0">
      <sharedItems containsNonDate="0" containsString="0" containsBlank="1"/>
    </cacheField>
    <cacheField name="Q13c1 | e. Chronic health condition | b. With children and adults" numFmtId="0">
      <sharedItems containsNonDate="0" containsString="0" containsBlank="1"/>
    </cacheField>
    <cacheField name="Q13c1 | e. Chronic health condition | c. With only children" numFmtId="0">
      <sharedItems containsNonDate="0" containsString="0" containsBlank="1"/>
    </cacheField>
    <cacheField name="Q13c1 | e. Chronic health condition | d. Unknown household type" numFmtId="0">
      <sharedItems containsNonDate="0" containsString="0" containsBlank="1"/>
    </cacheField>
    <cacheField name="Q13c1 | f. HIV/AIDS and related diseases | Total persons" numFmtId="0">
      <sharedItems containsNonDate="0" containsString="0" containsBlank="1"/>
    </cacheField>
    <cacheField name="Q13c1 | f. HIV/AIDS and related diseases | a. Without children" numFmtId="0">
      <sharedItems containsNonDate="0" containsString="0" containsBlank="1"/>
    </cacheField>
    <cacheField name="Q13c1 | f. HIV/AIDS and related diseases | b. With children and adults" numFmtId="0">
      <sharedItems containsNonDate="0" containsString="0" containsBlank="1"/>
    </cacheField>
    <cacheField name="Q13c1 | f. HIV/AIDS and related diseases | c. With only children" numFmtId="0">
      <sharedItems containsNonDate="0" containsString="0" containsBlank="1"/>
    </cacheField>
    <cacheField name="Q13c1 | f. HIV/AIDS and related diseases | d. Unknown household type" numFmtId="0">
      <sharedItems containsNonDate="0" containsString="0" containsBlank="1"/>
    </cacheField>
    <cacheField name="Q13c1 | g. Developmental disability | Total persons" numFmtId="0">
      <sharedItems containsNonDate="0" containsString="0" containsBlank="1"/>
    </cacheField>
    <cacheField name="Q13c1 | g. Developmental disability | a. Without children" numFmtId="0">
      <sharedItems containsNonDate="0" containsString="0" containsBlank="1"/>
    </cacheField>
    <cacheField name="Q13c1 | g. Developmental disability | b. With children and adults" numFmtId="0">
      <sharedItems containsNonDate="0" containsString="0" containsBlank="1"/>
    </cacheField>
    <cacheField name="Q13c1 | g. Developmental disability | c. With only children" numFmtId="0">
      <sharedItems containsNonDate="0" containsString="0" containsBlank="1"/>
    </cacheField>
    <cacheField name="Q13c1 | g. Developmental disability | d. Unknown household type" numFmtId="0">
      <sharedItems containsNonDate="0" containsString="0" containsBlank="1"/>
    </cacheField>
    <cacheField name="Q13c1 | h. Physical disability | Total persons" numFmtId="0">
      <sharedItems containsNonDate="0" containsString="0" containsBlank="1"/>
    </cacheField>
    <cacheField name="Q13c1 | h. Physical disability | a. Without children" numFmtId="0">
      <sharedItems containsNonDate="0" containsString="0" containsBlank="1"/>
    </cacheField>
    <cacheField name="Q13c1 | h. Physical disability | b. With children and adults" numFmtId="0">
      <sharedItems containsNonDate="0" containsString="0" containsBlank="1"/>
    </cacheField>
    <cacheField name="Q13c1 | h. Physical disability | c. With only children" numFmtId="0">
      <sharedItems containsNonDate="0" containsString="0" containsBlank="1"/>
    </cacheField>
    <cacheField name="Q13c1 | h. Physical disability | d. Unknown household type" numFmtId="0">
      <sharedItems containsNonDate="0" containsString="0" containsBlank="1"/>
    </cacheField>
    <cacheField name="Q14a | a. Yes | Total" numFmtId="0">
      <sharedItems containsNonDate="0" containsString="0" containsBlank="1"/>
    </cacheField>
    <cacheField name="Q14a | a. Yes | a. Without children" numFmtId="0">
      <sharedItems containsNonDate="0" containsString="0" containsBlank="1"/>
    </cacheField>
    <cacheField name="Q14a | a. Yes | b. With children and adults" numFmtId="0">
      <sharedItems containsNonDate="0" containsString="0" containsBlank="1"/>
    </cacheField>
    <cacheField name="Q14a | a. Yes | c. With only children" numFmtId="0">
      <sharedItems containsNonDate="0" containsString="0" containsBlank="1"/>
    </cacheField>
    <cacheField name="Q14a | a. Yes | d. Unknown household type" numFmtId="0">
      <sharedItems containsNonDate="0" containsString="0" containsBlank="1"/>
    </cacheField>
    <cacheField name="Q14a | b. No | Total" numFmtId="0">
      <sharedItems containsNonDate="0" containsString="0" containsBlank="1"/>
    </cacheField>
    <cacheField name="Q14a | b. No | a. Without children" numFmtId="0">
      <sharedItems containsNonDate="0" containsString="0" containsBlank="1"/>
    </cacheField>
    <cacheField name="Q14a | b. No | b. With children and adults" numFmtId="0">
      <sharedItems containsNonDate="0" containsString="0" containsBlank="1"/>
    </cacheField>
    <cacheField name="Q14a | b. No | c. With only children" numFmtId="0">
      <sharedItems containsNonDate="0" containsString="0" containsBlank="1"/>
    </cacheField>
    <cacheField name="Q14a | b. No | d. Unknown household type" numFmtId="0">
      <sharedItems containsNonDate="0" containsString="0" containsBlank="1"/>
    </cacheField>
    <cacheField name="Q14a | c. Don't know / refused | Total" numFmtId="0">
      <sharedItems containsNonDate="0" containsString="0" containsBlank="1"/>
    </cacheField>
    <cacheField name="Q14a | c. Don't know / refused | a. Without children" numFmtId="0">
      <sharedItems containsNonDate="0" containsString="0" containsBlank="1"/>
    </cacheField>
    <cacheField name="Q14a | c. Don't know / refused | b. With children and adults" numFmtId="0">
      <sharedItems containsNonDate="0" containsString="0" containsBlank="1"/>
    </cacheField>
    <cacheField name="Q14a | c. Don't know / refused | c. With only children" numFmtId="0">
      <sharedItems containsNonDate="0" containsString="0" containsBlank="1"/>
    </cacheField>
    <cacheField name="Q14a | c. Don't know / refused | d. Unknown household type" numFmtId="0">
      <sharedItems containsNonDate="0" containsString="0" containsBlank="1"/>
    </cacheField>
    <cacheField name="Q14a | d. Information missing | Total" numFmtId="0">
      <sharedItems containsNonDate="0" containsString="0" containsBlank="1"/>
    </cacheField>
    <cacheField name="Q14a | d. Information missing | a. Without children" numFmtId="0">
      <sharedItems containsNonDate="0" containsString="0" containsBlank="1"/>
    </cacheField>
    <cacheField name="Q14a | d. Information missing | b. With children and adults" numFmtId="0">
      <sharedItems containsNonDate="0" containsString="0" containsBlank="1"/>
    </cacheField>
    <cacheField name="Q14a | d. Information missing | c. With only children" numFmtId="0">
      <sharedItems containsNonDate="0" containsString="0" containsBlank="1"/>
    </cacheField>
    <cacheField name="Q14a | d. Information missing | d. Unknown household type" numFmtId="0">
      <sharedItems containsNonDate="0" containsString="0" containsBlank="1"/>
    </cacheField>
    <cacheField name="Q14a | e. Total | Total" numFmtId="0">
      <sharedItems containsNonDate="0" containsString="0" containsBlank="1"/>
    </cacheField>
    <cacheField name="Q14a | e. Total | a. Without children" numFmtId="0">
      <sharedItems containsNonDate="0" containsString="0" containsBlank="1"/>
    </cacheField>
    <cacheField name="Q14a | e. Total | b. With children and adults" numFmtId="0">
      <sharedItems containsNonDate="0" containsString="0" containsBlank="1"/>
    </cacheField>
    <cacheField name="Q14a | e. Total | c. With only children" numFmtId="0">
      <sharedItems containsNonDate="0" containsString="0" containsBlank="1"/>
    </cacheField>
    <cacheField name="Q14a | e. Total | d. Unknown household type" numFmtId="0">
      <sharedItems containsNonDate="0" containsString="0" containsBlank="1"/>
    </cacheField>
    <cacheField name="Q14b | a. Yes | Total" numFmtId="0">
      <sharedItems containsNonDate="0" containsString="0" containsBlank="1"/>
    </cacheField>
    <cacheField name="Q14b | a. Yes | a. Without children" numFmtId="0">
      <sharedItems containsNonDate="0" containsString="0" containsBlank="1"/>
    </cacheField>
    <cacheField name="Q14b | a. Yes | b. With children and adults" numFmtId="0">
      <sharedItems containsNonDate="0" containsString="0" containsBlank="1"/>
    </cacheField>
    <cacheField name="Q14b | a. Yes | c. With only children" numFmtId="0">
      <sharedItems containsNonDate="0" containsString="0" containsBlank="1"/>
    </cacheField>
    <cacheField name="Q14b | a. Yes | d. Unknown household type" numFmtId="0">
      <sharedItems containsNonDate="0" containsString="0" containsBlank="1"/>
    </cacheField>
    <cacheField name="Q14b | b. No | Total" numFmtId="0">
      <sharedItems containsNonDate="0" containsString="0" containsBlank="1"/>
    </cacheField>
    <cacheField name="Q14b | b. No | a. Without children" numFmtId="0">
      <sharedItems containsNonDate="0" containsString="0" containsBlank="1"/>
    </cacheField>
    <cacheField name="Q14b | b. No | b. With children and adults" numFmtId="0">
      <sharedItems containsNonDate="0" containsString="0" containsBlank="1"/>
    </cacheField>
    <cacheField name="Q14b | b. No | c. With only children" numFmtId="0">
      <sharedItems containsNonDate="0" containsString="0" containsBlank="1"/>
    </cacheField>
    <cacheField name="Q14b | b. No | d. Unknown household type" numFmtId="0">
      <sharedItems containsNonDate="0" containsString="0" containsBlank="1"/>
    </cacheField>
    <cacheField name="Q14b | c. Don't know / refused | Total" numFmtId="0">
      <sharedItems containsNonDate="0" containsString="0" containsBlank="1"/>
    </cacheField>
    <cacheField name="Q14b | c. Don't know / refused | a. Without children" numFmtId="0">
      <sharedItems containsNonDate="0" containsString="0" containsBlank="1"/>
    </cacheField>
    <cacheField name="Q14b | c. Don't know / refused | b. With children and adults" numFmtId="0">
      <sharedItems containsNonDate="0" containsString="0" containsBlank="1"/>
    </cacheField>
    <cacheField name="Q14b | c. Don't know / refused | c. With only children" numFmtId="0">
      <sharedItems containsNonDate="0" containsString="0" containsBlank="1"/>
    </cacheField>
    <cacheField name="Q14b | c. Don't know / refused | d. Unknown household type" numFmtId="0">
      <sharedItems containsNonDate="0" containsString="0" containsBlank="1"/>
    </cacheField>
    <cacheField name="Q14b | d. Information missing | Total" numFmtId="0">
      <sharedItems containsNonDate="0" containsString="0" containsBlank="1"/>
    </cacheField>
    <cacheField name="Q14b | d. Information missing | a. Without children" numFmtId="0">
      <sharedItems containsNonDate="0" containsString="0" containsBlank="1"/>
    </cacheField>
    <cacheField name="Q14b | d. Information missing | b. With children and adults" numFmtId="0">
      <sharedItems containsNonDate="0" containsString="0" containsBlank="1"/>
    </cacheField>
    <cacheField name="Q14b | d. Information missing | c. With only children" numFmtId="0">
      <sharedItems containsNonDate="0" containsString="0" containsBlank="1"/>
    </cacheField>
    <cacheField name="Q14b | d. Information missing | d. Unknown household type" numFmtId="0">
      <sharedItems containsNonDate="0" containsString="0" containsBlank="1"/>
    </cacheField>
    <cacheField name="Q14b | e. Total | Total" numFmtId="0">
      <sharedItems containsNonDate="0" containsString="0" containsBlank="1"/>
    </cacheField>
    <cacheField name="Q14b | e. Total | a. Without children" numFmtId="0">
      <sharedItems containsNonDate="0" containsString="0" containsBlank="1"/>
    </cacheField>
    <cacheField name="Q14b | e. Total | b. With children and adults" numFmtId="0">
      <sharedItems containsNonDate="0" containsString="0" containsBlank="1"/>
    </cacheField>
    <cacheField name="Q14b | e. Total | c. With only children" numFmtId="0">
      <sharedItems containsNonDate="0" containsString="0" containsBlank="1"/>
    </cacheField>
    <cacheField name="Q14b | e. Total | d. Unknown household type" numFmtId="0">
      <sharedItems containsNonDate="0" containsString="0" containsBlank="1"/>
    </cacheField>
    <cacheField name="Q15 | a. Homeless situations | Total" numFmtId="0">
      <sharedItems containsNonDate="0" containsString="0" containsBlank="1"/>
    </cacheField>
    <cacheField name="Q15 | a. Homeless situations | a. Without children" numFmtId="0">
      <sharedItems containsNonDate="0" containsString="0" containsBlank="1"/>
    </cacheField>
    <cacheField name="Q15 | a. Homeless situations | b. With children and adults" numFmtId="0">
      <sharedItems containsNonDate="0" containsString="0" containsBlank="1"/>
    </cacheField>
    <cacheField name="Q15 | a. Homeless situations | c. With only children" numFmtId="0">
      <sharedItems containsNonDate="0" containsString="0" containsBlank="1"/>
    </cacheField>
    <cacheField name="Q15 | a. Homeless situations | d. Unknown household type" numFmtId="0">
      <sharedItems containsNonDate="0" containsString="0" containsBlank="1"/>
    </cacheField>
    <cacheField name="Q15 | a1. Emergency shelter | Total" numFmtId="0">
      <sharedItems containsNonDate="0" containsString="0" containsBlank="1"/>
    </cacheField>
    <cacheField name="Q15 | a1. Emergency shelter | a. Without children" numFmtId="0">
      <sharedItems containsNonDate="0" containsString="0" containsBlank="1"/>
    </cacheField>
    <cacheField name="Q15 | a1. Emergency shelter | b. With children and adults" numFmtId="0">
      <sharedItems containsNonDate="0" containsString="0" containsBlank="1"/>
    </cacheField>
    <cacheField name="Q15 | a1. Emergency shelter | c. With only children" numFmtId="0">
      <sharedItems containsNonDate="0" containsString="0" containsBlank="1"/>
    </cacheField>
    <cacheField name="Q15 | a1. Emergency shelter | d. Unknown household type" numFmtId="0">
      <sharedItems containsNonDate="0" containsString="0" containsBlank="1"/>
    </cacheField>
    <cacheField name="Q15 | a2. Transitional housing for homeless persons | Total" numFmtId="0">
      <sharedItems containsNonDate="0" containsString="0" containsBlank="1"/>
    </cacheField>
    <cacheField name="Q15 | a2. Transitional housing for homeless persons | a. Without children" numFmtId="0">
      <sharedItems containsNonDate="0" containsString="0" containsBlank="1"/>
    </cacheField>
    <cacheField name="Q15 | a2. Transitional housing for homeless persons | b. With children and adults" numFmtId="0">
      <sharedItems containsNonDate="0" containsString="0" containsBlank="1"/>
    </cacheField>
    <cacheField name="Q15 | a2. Transitional housing for homeless persons | c. With only children" numFmtId="0">
      <sharedItems containsNonDate="0" containsString="0" containsBlank="1"/>
    </cacheField>
    <cacheField name="Q15 | a2. Transitional housing for homeless persons | d. Unknown household type" numFmtId="0">
      <sharedItems containsNonDate="0" containsString="0" containsBlank="1"/>
    </cacheField>
    <cacheField name="Q15 | a3. Place not meant for human habitation | Total" numFmtId="0">
      <sharedItems containsNonDate="0" containsString="0" containsBlank="1"/>
    </cacheField>
    <cacheField name="Q15 | a3. Place not meant for human habitation | a. Without children" numFmtId="0">
      <sharedItems containsNonDate="0" containsString="0" containsBlank="1"/>
    </cacheField>
    <cacheField name="Q15 | a3. Place not meant for human habitation | b. With children and adults" numFmtId="0">
      <sharedItems containsNonDate="0" containsString="0" containsBlank="1"/>
    </cacheField>
    <cacheField name="Q15 | a3. Place not meant for human habitation | c. With only children" numFmtId="0">
      <sharedItems containsNonDate="0" containsString="0" containsBlank="1"/>
    </cacheField>
    <cacheField name="Q15 | a3. Place not meant for human habitation | d. Unknown household type" numFmtId="0">
      <sharedItems containsNonDate="0" containsString="0" containsBlank="1"/>
    </cacheField>
    <cacheField name="Q15 | a4. Safe haven | Total" numFmtId="0">
      <sharedItems containsNonDate="0" containsString="0" containsBlank="1"/>
    </cacheField>
    <cacheField name="Q15 | a4. Safe haven | a. Without children" numFmtId="0">
      <sharedItems containsNonDate="0" containsString="0" containsBlank="1"/>
    </cacheField>
    <cacheField name="Q15 | a4. Safe haven | b. With children and adults" numFmtId="0">
      <sharedItems containsNonDate="0" containsString="0" containsBlank="1"/>
    </cacheField>
    <cacheField name="Q15 | a4. Safe haven | c. With only children" numFmtId="0">
      <sharedItems containsNonDate="0" containsString="0" containsBlank="1"/>
    </cacheField>
    <cacheField name="Q15 | a4. Safe haven | d. Unknown household type" numFmtId="0">
      <sharedItems containsNonDate="0" containsString="0" containsBlank="1"/>
    </cacheField>
    <cacheField name="Q15 | az. Total | Total" numFmtId="0">
      <sharedItems containsNonDate="0" containsString="0" containsBlank="1"/>
    </cacheField>
    <cacheField name="Q15 | az. Total | a. Without children" numFmtId="0">
      <sharedItems containsNonDate="0" containsString="0" containsBlank="1"/>
    </cacheField>
    <cacheField name="Q15 | az. Total | b. With children and adults" numFmtId="0">
      <sharedItems containsNonDate="0" containsString="0" containsBlank="1"/>
    </cacheField>
    <cacheField name="Q15 | az. Total | c. With only children" numFmtId="0">
      <sharedItems containsNonDate="0" containsString="0" containsBlank="1"/>
    </cacheField>
    <cacheField name="Q15 | az. Total | d. Unknown household type" numFmtId="0">
      <sharedItems containsNonDate="0" containsString="0" containsBlank="1"/>
    </cacheField>
    <cacheField name="Q15 | b. Institutional settings | Total" numFmtId="0">
      <sharedItems containsNonDate="0" containsString="0" containsBlank="1"/>
    </cacheField>
    <cacheField name="Q15 | b. Institutional settings | a. Without children" numFmtId="0">
      <sharedItems containsNonDate="0" containsString="0" containsBlank="1"/>
    </cacheField>
    <cacheField name="Q15 | b. Institutional settings | b. With children and adults" numFmtId="0">
      <sharedItems containsNonDate="0" containsString="0" containsBlank="1"/>
    </cacheField>
    <cacheField name="Q15 | b. Institutional settings | c. With only children" numFmtId="0">
      <sharedItems containsNonDate="0" containsString="0" containsBlank="1"/>
    </cacheField>
    <cacheField name="Q15 | b. Institutional settings | d. Unknown household type" numFmtId="0">
      <sharedItems containsNonDate="0" containsString="0" containsBlank="1"/>
    </cacheField>
    <cacheField name="Q15 | b1. Psychiatric facility | Total" numFmtId="0">
      <sharedItems containsNonDate="0" containsString="0" containsBlank="1"/>
    </cacheField>
    <cacheField name="Q15 | b1. Psychiatric facility | a. Without children" numFmtId="0">
      <sharedItems containsNonDate="0" containsString="0" containsBlank="1"/>
    </cacheField>
    <cacheField name="Q15 | b1. Psychiatric facility | b. With children and adults" numFmtId="0">
      <sharedItems containsNonDate="0" containsString="0" containsBlank="1"/>
    </cacheField>
    <cacheField name="Q15 | b1. Psychiatric facility | c. With only children" numFmtId="0">
      <sharedItems containsNonDate="0" containsString="0" containsBlank="1"/>
    </cacheField>
    <cacheField name="Q15 | b1. Psychiatric facility | d. Unknown household type" numFmtId="0">
      <sharedItems containsNonDate="0" containsString="0" containsBlank="1"/>
    </cacheField>
    <cacheField name="Q15 | b2. Substance abuse or detox center | Total" numFmtId="0">
      <sharedItems containsNonDate="0" containsString="0" containsBlank="1"/>
    </cacheField>
    <cacheField name="Q15 | b2. Substance abuse or detox center | a. Without children" numFmtId="0">
      <sharedItems containsNonDate="0" containsString="0" containsBlank="1"/>
    </cacheField>
    <cacheField name="Q15 | b2. Substance abuse or detox center | b. With children and adults" numFmtId="0">
      <sharedItems containsNonDate="0" containsString="0" containsBlank="1"/>
    </cacheField>
    <cacheField name="Q15 | b2. Substance abuse or detox center | c. With only children" numFmtId="0">
      <sharedItems containsNonDate="0" containsString="0" containsBlank="1"/>
    </cacheField>
    <cacheField name="Q15 | b2. Substance abuse or detox center | d. Unknown household type" numFmtId="0">
      <sharedItems containsNonDate="0" containsString="0" containsBlank="1"/>
    </cacheField>
    <cacheField name="Q15 | b3. Hospital (non-psychiatric) | Total" numFmtId="0">
      <sharedItems containsNonDate="0" containsString="0" containsBlank="1"/>
    </cacheField>
    <cacheField name="Q15 | b3. Hospital (non-psychiatric) | a. Without children" numFmtId="0">
      <sharedItems containsNonDate="0" containsString="0" containsBlank="1"/>
    </cacheField>
    <cacheField name="Q15 | b3. Hospital (non-psychiatric) | b. With children and adults" numFmtId="0">
      <sharedItems containsNonDate="0" containsString="0" containsBlank="1"/>
    </cacheField>
    <cacheField name="Q15 | b3. Hospital (non-psychiatric) | c. With only children" numFmtId="0">
      <sharedItems containsNonDate="0" containsString="0" containsBlank="1"/>
    </cacheField>
    <cacheField name="Q15 | b3. Hospital (non-psychiatric) | d. Unknown household type" numFmtId="0">
      <sharedItems containsNonDate="0" containsString="0" containsBlank="1"/>
    </cacheField>
    <cacheField name="Q15 | b4. Jail, prison or juvenile detention | Total" numFmtId="0">
      <sharedItems containsNonDate="0" containsString="0" containsBlank="1"/>
    </cacheField>
    <cacheField name="Q15 | b4. Jail, prison or juvenile detention | a. Without children" numFmtId="0">
      <sharedItems containsNonDate="0" containsString="0" containsBlank="1"/>
    </cacheField>
    <cacheField name="Q15 | b4. Jail, prison or juvenile detention | b. With children and adults" numFmtId="0">
      <sharedItems containsNonDate="0" containsString="0" containsBlank="1"/>
    </cacheField>
    <cacheField name="Q15 | b4. Jail, prison or juvenile detention | c. With only children" numFmtId="0">
      <sharedItems containsNonDate="0" containsString="0" containsBlank="1"/>
    </cacheField>
    <cacheField name="Q15 | b4. Jail, prison or juvenile detention | d. Unknown household type" numFmtId="0">
      <sharedItems containsNonDate="0" containsString="0" containsBlank="1"/>
    </cacheField>
    <cacheField name="Q15 | b5. Foster care home or foster care group home | Total" numFmtId="0">
      <sharedItems containsNonDate="0" containsString="0" containsBlank="1"/>
    </cacheField>
    <cacheField name="Q15 | b5. Foster care home or foster care group home | a. Without children" numFmtId="0">
      <sharedItems containsNonDate="0" containsString="0" containsBlank="1"/>
    </cacheField>
    <cacheField name="Q15 | b5. Foster care home or foster care group home | b. With children and adults" numFmtId="0">
      <sharedItems containsNonDate="0" containsString="0" containsBlank="1"/>
    </cacheField>
    <cacheField name="Q15 | b5. Foster care home or foster care group home | c. With only children" numFmtId="0">
      <sharedItems containsNonDate="0" containsString="0" containsBlank="1"/>
    </cacheField>
    <cacheField name="Q15 | b5. Foster care home or foster care group home | d. Unknown household type" numFmtId="0">
      <sharedItems containsNonDate="0" containsString="0" containsBlank="1"/>
    </cacheField>
    <cacheField name="Q15 | b6. Long-term care facility or nursing home | Total" numFmtId="0">
      <sharedItems containsNonDate="0" containsString="0" containsBlank="1"/>
    </cacheField>
    <cacheField name="Q15 | b6. Long-term care facility or nursing home | a. Without children" numFmtId="0">
      <sharedItems containsNonDate="0" containsString="0" containsBlank="1"/>
    </cacheField>
    <cacheField name="Q15 | b6. Long-term care facility or nursing home | b. With children and adults" numFmtId="0">
      <sharedItems containsNonDate="0" containsString="0" containsBlank="1"/>
    </cacheField>
    <cacheField name="Q15 | b6. Long-term care facility or nursing home | c. With only children" numFmtId="0">
      <sharedItems containsNonDate="0" containsString="0" containsBlank="1"/>
    </cacheField>
    <cacheField name="Q15 | b6. Long-term care facility or nursing home | d. Unknown household type" numFmtId="0">
      <sharedItems containsNonDate="0" containsString="0" containsBlank="1"/>
    </cacheField>
    <cacheField name="Q15 | b7. Residential project or halfway house with no homeless criteria | Total" numFmtId="0">
      <sharedItems containsNonDate="0" containsString="0" containsBlank="1"/>
    </cacheField>
    <cacheField name="Q15 | b7. Residential project or halfway house with no homeless criteria | a. Without children" numFmtId="0">
      <sharedItems containsNonDate="0" containsString="0" containsBlank="1"/>
    </cacheField>
    <cacheField name="Q15 | b7. Residential project or halfway house with no homeless criteria | b. With children and adults" numFmtId="0">
      <sharedItems containsNonDate="0" containsString="0" containsBlank="1"/>
    </cacheField>
    <cacheField name="Q15 | b7. Residential project or halfway house with no homeless criteria | c. With only children" numFmtId="0">
      <sharedItems containsNonDate="0" containsString="0" containsBlank="1"/>
    </cacheField>
    <cacheField name="Q15 | b7. Residential project or halfway house with no homeless criteria | d. Unknown household type" numFmtId="0">
      <sharedItems containsNonDate="0" containsString="0" containsBlank="1"/>
    </cacheField>
    <cacheField name="Q15 | bz. Total | Total" numFmtId="0">
      <sharedItems containsNonDate="0" containsString="0" containsBlank="1"/>
    </cacheField>
    <cacheField name="Q15 | bz. Total | a. Without children" numFmtId="0">
      <sharedItems containsNonDate="0" containsString="0" containsBlank="1"/>
    </cacheField>
    <cacheField name="Q15 | bz. Total | b. With children and adults" numFmtId="0">
      <sharedItems containsNonDate="0" containsString="0" containsBlank="1"/>
    </cacheField>
    <cacheField name="Q15 | bz. Total | c. With only children" numFmtId="0">
      <sharedItems containsNonDate="0" containsString="0" containsBlank="1"/>
    </cacheField>
    <cacheField name="Q15 | bz. Total | d. Unknown household type" numFmtId="0">
      <sharedItems containsNonDate="0" containsString="0" containsBlank="1"/>
    </cacheField>
    <cacheField name="Q15 | c. Other locations | Total" numFmtId="0">
      <sharedItems containsNonDate="0" containsString="0" containsBlank="1"/>
    </cacheField>
    <cacheField name="Q15 | c. Other locations | a. Without children" numFmtId="0">
      <sharedItems containsNonDate="0" containsString="0" containsBlank="1"/>
    </cacheField>
    <cacheField name="Q15 | c. Other locations | b. With children and adults" numFmtId="0">
      <sharedItems containsNonDate="0" containsString="0" containsBlank="1"/>
    </cacheField>
    <cacheField name="Q15 | c. Other locations | c. With only children" numFmtId="0">
      <sharedItems containsNonDate="0" containsString="0" containsBlank="1"/>
    </cacheField>
    <cacheField name="Q15 | c. Other locations | d. Unknown household type" numFmtId="0">
      <sharedItems containsNonDate="0" containsString="0" containsBlank="1"/>
    </cacheField>
    <cacheField name="Q15 | c01. PH for homeless persons | Total" numFmtId="0">
      <sharedItems containsNonDate="0" containsString="0" containsBlank="1"/>
    </cacheField>
    <cacheField name="Q15 | c01. PH for homeless persons | a. Without children" numFmtId="0">
      <sharedItems containsNonDate="0" containsString="0" containsBlank="1"/>
    </cacheField>
    <cacheField name="Q15 | c01. PH for homeless persons | b. With children and adults" numFmtId="0">
      <sharedItems containsNonDate="0" containsString="0" containsBlank="1"/>
    </cacheField>
    <cacheField name="Q15 | c01. PH for homeless persons | c. With only children" numFmtId="0">
      <sharedItems containsNonDate="0" containsString="0" containsBlank="1"/>
    </cacheField>
    <cacheField name="Q15 | c01. PH for homeless persons | d. Unknown household type" numFmtId="0">
      <sharedItems containsNonDate="0" containsString="0" containsBlank="1"/>
    </cacheField>
    <cacheField name="Q15 | c02. Owned by client, no subsidy | Total" numFmtId="0">
      <sharedItems containsNonDate="0" containsString="0" containsBlank="1"/>
    </cacheField>
    <cacheField name="Q15 | c02. Owned by client, no subsidy | a. Without children" numFmtId="0">
      <sharedItems containsNonDate="0" containsString="0" containsBlank="1"/>
    </cacheField>
    <cacheField name="Q15 | c02. Owned by client, no subsidy | b. With children and adults" numFmtId="0">
      <sharedItems containsNonDate="0" containsString="0" containsBlank="1"/>
    </cacheField>
    <cacheField name="Q15 | c02. Owned by client, no subsidy | c. With only children" numFmtId="0">
      <sharedItems containsNonDate="0" containsString="0" containsBlank="1"/>
    </cacheField>
    <cacheField name="Q15 | c02. Owned by client, no subsidy | d. Unknown household type" numFmtId="0">
      <sharedItems containsNonDate="0" containsString="0" containsBlank="1"/>
    </cacheField>
    <cacheField name="Q15 | c03. Owned by client, with subsidy | Total" numFmtId="0">
      <sharedItems containsNonDate="0" containsString="0" containsBlank="1"/>
    </cacheField>
    <cacheField name="Q15 | c03. Owned by client, with subsidy | a. Without children" numFmtId="0">
      <sharedItems containsNonDate="0" containsString="0" containsBlank="1"/>
    </cacheField>
    <cacheField name="Q15 | c03. Owned by client, with subsidy | b. With children and adults" numFmtId="0">
      <sharedItems containsNonDate="0" containsString="0" containsBlank="1"/>
    </cacheField>
    <cacheField name="Q15 | c03. Owned by client, with subsidy | c. With only children" numFmtId="0">
      <sharedItems containsNonDate="0" containsString="0" containsBlank="1"/>
    </cacheField>
    <cacheField name="Q15 | c03. Owned by client, with subsidy | d. Unknown household type" numFmtId="0">
      <sharedItems containsNonDate="0" containsString="0" containsBlank="1"/>
    </cacheField>
    <cacheField name="Q15 | c04. Rental by client, no subsidy | Total" numFmtId="0">
      <sharedItems containsNonDate="0" containsString="0" containsBlank="1"/>
    </cacheField>
    <cacheField name="Q15 | c04. Rental by client, no subsidy | a. Without children" numFmtId="0">
      <sharedItems containsNonDate="0" containsString="0" containsBlank="1"/>
    </cacheField>
    <cacheField name="Q15 | c04. Rental by client, no subsidy | b. With children and adults" numFmtId="0">
      <sharedItems containsNonDate="0" containsString="0" containsBlank="1"/>
    </cacheField>
    <cacheField name="Q15 | c04. Rental by client, no subsidy | c. With only children" numFmtId="0">
      <sharedItems containsNonDate="0" containsString="0" containsBlank="1"/>
    </cacheField>
    <cacheField name="Q15 | c04. Rental by client, no subsidy | d. Unknown household type" numFmtId="0">
      <sharedItems containsNonDate="0" containsString="0" containsBlank="1"/>
    </cacheField>
    <cacheField name="Q15 | c05. Rental by client, with VASH subsidy | Total" numFmtId="0">
      <sharedItems containsNonDate="0" containsString="0" containsBlank="1"/>
    </cacheField>
    <cacheField name="Q15 | c05. Rental by client, with VASH subsidy | a. Without children" numFmtId="0">
      <sharedItems containsNonDate="0" containsString="0" containsBlank="1"/>
    </cacheField>
    <cacheField name="Q15 | c05. Rental by client, with VASH subsidy | b. With children and adults" numFmtId="0">
      <sharedItems containsNonDate="0" containsString="0" containsBlank="1"/>
    </cacheField>
    <cacheField name="Q15 | c05. Rental by client, with VASH subsidy | c. With only children" numFmtId="0">
      <sharedItems containsNonDate="0" containsString="0" containsBlank="1"/>
    </cacheField>
    <cacheField name="Q15 | c05. Rental by client, with VASH subsidy | d. Unknown household type" numFmtId="0">
      <sharedItems containsNonDate="0" containsString="0" containsBlank="1"/>
    </cacheField>
    <cacheField name="Q15 | c06. Rental by client, with GPD TIP subsidy | Total" numFmtId="0">
      <sharedItems containsNonDate="0" containsString="0" containsBlank="1"/>
    </cacheField>
    <cacheField name="Q15 | c06. Rental by client, with GPD TIP subsidy | a. Without children" numFmtId="0">
      <sharedItems containsNonDate="0" containsString="0" containsBlank="1"/>
    </cacheField>
    <cacheField name="Q15 | c06. Rental by client, with GPD TIP subsidy | b. With children and adults" numFmtId="0">
      <sharedItems containsNonDate="0" containsString="0" containsBlank="1"/>
    </cacheField>
    <cacheField name="Q15 | c06. Rental by client, with GPD TIP subsidy | c. With only children" numFmtId="0">
      <sharedItems containsNonDate="0" containsString="0" containsBlank="1"/>
    </cacheField>
    <cacheField name="Q15 | c06. Rental by client, with GPD TIP subsidy | d. Unknown household type" numFmtId="0">
      <sharedItems containsNonDate="0" containsString="0" containsBlank="1"/>
    </cacheField>
    <cacheField name="Q15 | c07. Rental by client, with other subsidy | Total" numFmtId="0">
      <sharedItems containsNonDate="0" containsString="0" containsBlank="1"/>
    </cacheField>
    <cacheField name="Q15 | c07. Rental by client, with other subsidy | a. Without children" numFmtId="0">
      <sharedItems containsNonDate="0" containsString="0" containsBlank="1"/>
    </cacheField>
    <cacheField name="Q15 | c07. Rental by client, with other subsidy | b. With children and adults" numFmtId="0">
      <sharedItems containsNonDate="0" containsString="0" containsBlank="1"/>
    </cacheField>
    <cacheField name="Q15 | c07. Rental by client, with other subsidy | c. With only children" numFmtId="0">
      <sharedItems containsNonDate="0" containsString="0" containsBlank="1"/>
    </cacheField>
    <cacheField name="Q15 | c07. Rental by client, with other subsidy | d. Unknown household type" numFmtId="0">
      <sharedItems containsNonDate="0" containsString="0" containsBlank="1"/>
    </cacheField>
    <cacheField name="Q15 | c08. Hotel or motel paid by client | Total" numFmtId="0">
      <sharedItems containsNonDate="0" containsString="0" containsBlank="1"/>
    </cacheField>
    <cacheField name="Q15 | c08. Hotel or motel paid by client | a. Without children" numFmtId="0">
      <sharedItems containsNonDate="0" containsString="0" containsBlank="1"/>
    </cacheField>
    <cacheField name="Q15 | c08. Hotel or motel paid by client | b. With children and adults" numFmtId="0">
      <sharedItems containsNonDate="0" containsString="0" containsBlank="1"/>
    </cacheField>
    <cacheField name="Q15 | c08. Hotel or motel paid by client | c. With only children" numFmtId="0">
      <sharedItems containsNonDate="0" containsString="0" containsBlank="1"/>
    </cacheField>
    <cacheField name="Q15 | c08. Hotel or motel paid by client | d. Unknown household type" numFmtId="0">
      <sharedItems containsNonDate="0" containsString="0" containsBlank="1"/>
    </cacheField>
    <cacheField name="Q15 | c09. Staying or living with friend(s) | Total" numFmtId="0">
      <sharedItems containsNonDate="0" containsString="0" containsBlank="1"/>
    </cacheField>
    <cacheField name="Q15 | c09. Staying or living with friend(s) | a. Without children" numFmtId="0">
      <sharedItems containsNonDate="0" containsString="0" containsBlank="1"/>
    </cacheField>
    <cacheField name="Q15 | c09. Staying or living with friend(s) | b. With children and adults" numFmtId="0">
      <sharedItems containsNonDate="0" containsString="0" containsBlank="1"/>
    </cacheField>
    <cacheField name="Q15 | c09. Staying or living with friend(s) | c. With only children" numFmtId="0">
      <sharedItems containsNonDate="0" containsString="0" containsBlank="1"/>
    </cacheField>
    <cacheField name="Q15 | c09. Staying or living with friend(s) | d. Unknown household type" numFmtId="0">
      <sharedItems containsNonDate="0" containsString="0" containsBlank="1"/>
    </cacheField>
    <cacheField name="Q15 | c10. Staying or living with family | Total" numFmtId="0">
      <sharedItems containsNonDate="0" containsString="0" containsBlank="1"/>
    </cacheField>
    <cacheField name="Q15 | c10. Staying or living with family | a. Without children" numFmtId="0">
      <sharedItems containsNonDate="0" containsString="0" containsBlank="1"/>
    </cacheField>
    <cacheField name="Q15 | c10. Staying or living with family | b. With children and adults" numFmtId="0">
      <sharedItems containsNonDate="0" containsString="0" containsBlank="1"/>
    </cacheField>
    <cacheField name="Q15 | c10. Staying or living with family | c. With only children" numFmtId="0">
      <sharedItems containsNonDate="0" containsString="0" containsBlank="1"/>
    </cacheField>
    <cacheField name="Q15 | c10. Staying or living with family | d. Unknown household type" numFmtId="0">
      <sharedItems containsNonDate="0" containsString="0" containsBlank="1"/>
    </cacheField>
    <cacheField name="Q15 | c11. Other | Total" numFmtId="0">
      <sharedItems containsNonDate="0" containsString="0" containsBlank="1"/>
    </cacheField>
    <cacheField name="Q15 | c11. Other | a. Without children" numFmtId="0">
      <sharedItems containsNonDate="0" containsString="0" containsBlank="1"/>
    </cacheField>
    <cacheField name="Q15 | c11. Other | b. With children and adults" numFmtId="0">
      <sharedItems containsNonDate="0" containsString="0" containsBlank="1"/>
    </cacheField>
    <cacheField name="Q15 | c11. Other | c. With only children" numFmtId="0">
      <sharedItems containsNonDate="0" containsString="0" containsBlank="1"/>
    </cacheField>
    <cacheField name="Q15 | c11. Other | d. Unknown household type" numFmtId="0">
      <sharedItems containsNonDate="0" containsString="0" containsBlank="1"/>
    </cacheField>
    <cacheField name="Q15 | c12. Don't know / refused | Total" numFmtId="0">
      <sharedItems containsNonDate="0" containsString="0" containsBlank="1"/>
    </cacheField>
    <cacheField name="Q15 | c12. Don't know / refused | a. Without children" numFmtId="0">
      <sharedItems containsNonDate="0" containsString="0" containsBlank="1"/>
    </cacheField>
    <cacheField name="Q15 | c12. Don't know / refused | b. With children and adults" numFmtId="0">
      <sharedItems containsNonDate="0" containsString="0" containsBlank="1"/>
    </cacheField>
    <cacheField name="Q15 | c12. Don't know / refused | c. With only children" numFmtId="0">
      <sharedItems containsNonDate="0" containsString="0" containsBlank="1"/>
    </cacheField>
    <cacheField name="Q15 | c12. Don't know / refused | d. Unknown household type" numFmtId="0">
      <sharedItems containsNonDate="0" containsString="0" containsBlank="1"/>
    </cacheField>
    <cacheField name="Q15 | c13. Information missing | Total" numFmtId="0">
      <sharedItems containsNonDate="0" containsString="0" containsBlank="1"/>
    </cacheField>
    <cacheField name="Q15 | c13. Information missing | a. Without children" numFmtId="0">
      <sharedItems containsNonDate="0" containsString="0" containsBlank="1"/>
    </cacheField>
    <cacheField name="Q15 | c13. Information missing | b. With children and adults" numFmtId="0">
      <sharedItems containsNonDate="0" containsString="0" containsBlank="1"/>
    </cacheField>
    <cacheField name="Q15 | c13. Information missing | c. With only children" numFmtId="0">
      <sharedItems containsNonDate="0" containsString="0" containsBlank="1"/>
    </cacheField>
    <cacheField name="Q15 | c13. Information missing | d. Unknown household type" numFmtId="0">
      <sharedItems containsNonDate="0" containsString="0" containsBlank="1"/>
    </cacheField>
    <cacheField name="Q15 | cz. Total | Total" numFmtId="0">
      <sharedItems containsNonDate="0" containsString="0" containsBlank="1"/>
    </cacheField>
    <cacheField name="Q15 | cz. Total | a. Without children" numFmtId="0">
      <sharedItems containsNonDate="0" containsString="0" containsBlank="1"/>
    </cacheField>
    <cacheField name="Q15 | cz. Total | b. With children and adults" numFmtId="0">
      <sharedItems containsNonDate="0" containsString="0" containsBlank="1"/>
    </cacheField>
    <cacheField name="Q15 | cz. Total | c. With only children" numFmtId="0">
      <sharedItems containsNonDate="0" containsString="0" containsBlank="1"/>
    </cacheField>
    <cacheField name="Q15 | cz. Total | d. Unknown household type" numFmtId="0">
      <sharedItems containsNonDate="0" containsString="0" containsBlank="1"/>
    </cacheField>
    <cacheField name="Q15 | d. Total | Total" numFmtId="0">
      <sharedItems containsNonDate="0" containsString="0" containsBlank="1"/>
    </cacheField>
    <cacheField name="Q15 | d. Total | a. Without children" numFmtId="0">
      <sharedItems containsNonDate="0" containsString="0" containsBlank="1"/>
    </cacheField>
    <cacheField name="Q15 | d. Total | b. With children and adults" numFmtId="0">
      <sharedItems containsNonDate="0" containsString="0" containsBlank="1"/>
    </cacheField>
    <cacheField name="Q15 | d. Total | c. With only children" numFmtId="0">
      <sharedItems containsNonDate="0" containsString="0" containsBlank="1"/>
    </cacheField>
    <cacheField name="Q15 | d. Total | d. Unknown household type" numFmtId="0">
      <sharedItems containsNonDate="0" containsString="0" containsBlank="1"/>
    </cacheField>
    <cacheField name="Q20a | a. Supplemental Nutritional Assistance Program | At entry" numFmtId="0">
      <sharedItems containsNonDate="0" containsString="0" containsBlank="1"/>
    </cacheField>
    <cacheField name="Q20a | a. Supplemental Nutritional Assistance Program | At Latest Annual Assessment for Stayers" numFmtId="0">
      <sharedItems containsNonDate="0" containsString="0" containsBlank="1"/>
    </cacheField>
    <cacheField name="Q20a | a. Supplemental Nutritional Assistance Program | At Exit for Leavers" numFmtId="0">
      <sharedItems containsNonDate="0" containsString="0" containsBlank="1"/>
    </cacheField>
    <cacheField name="Q20a | b. WIC | At entry" numFmtId="0">
      <sharedItems containsNonDate="0" containsString="0" containsBlank="1"/>
    </cacheField>
    <cacheField name="Q20a | b. WIC | At Latest Annual Assessment for Stayers" numFmtId="0">
      <sharedItems containsNonDate="0" containsString="0" containsBlank="1"/>
    </cacheField>
    <cacheField name="Q20a | b. WIC | At Exit for Leavers" numFmtId="0">
      <sharedItems containsNonDate="0" containsString="0" containsBlank="1"/>
    </cacheField>
    <cacheField name="Q20a | c. TANF Child Care services | At entry" numFmtId="0">
      <sharedItems containsNonDate="0" containsString="0" containsBlank="1"/>
    </cacheField>
    <cacheField name="Q20a | c. TANF Child Care services | At Latest Annual Assessment for Stayers" numFmtId="0">
      <sharedItems containsNonDate="0" containsString="0" containsBlank="1"/>
    </cacheField>
    <cacheField name="Q20a | c. TANF Child Care services | At Exit for Leavers" numFmtId="0">
      <sharedItems containsNonDate="0" containsString="0" containsBlank="1"/>
    </cacheField>
    <cacheField name="Q20a | d. TANF transportation services | At entry" numFmtId="0">
      <sharedItems containsNonDate="0" containsString="0" containsBlank="1"/>
    </cacheField>
    <cacheField name="Q20a | d. TANF transportation services | At Latest Annual Assessment for Stayers" numFmtId="0">
      <sharedItems containsNonDate="0" containsString="0" containsBlank="1"/>
    </cacheField>
    <cacheField name="Q20a | d. TANF transportation services | At Exit for Leavers" numFmtId="0">
      <sharedItems containsNonDate="0" containsString="0" containsBlank="1"/>
    </cacheField>
    <cacheField name="Q20a | e. Other TANF-funded services | At entry" numFmtId="0">
      <sharedItems containsNonDate="0" containsString="0" containsBlank="1"/>
    </cacheField>
    <cacheField name="Q20a | e. Other TANF-funded services | At Latest Annual Assessment for Stayers" numFmtId="0">
      <sharedItems containsNonDate="0" containsString="0" containsBlank="1"/>
    </cacheField>
    <cacheField name="Q20a | e. Other TANF-funded services | At Exit for Leavers" numFmtId="0">
      <sharedItems containsNonDate="0" containsString="0" containsBlank="1"/>
    </cacheField>
    <cacheField name="Q20a | f. Other source | At entry" numFmtId="0">
      <sharedItems containsNonDate="0" containsString="0" containsBlank="1"/>
    </cacheField>
    <cacheField name="Q20a | f. Other source | At Latest Annual Assessment for Stayers" numFmtId="0">
      <sharedItems containsNonDate="0" containsString="0" containsBlank="1"/>
    </cacheField>
    <cacheField name="Q20a | f. Other source | At Exit for Leavers" numFmtId="0">
      <sharedItems containsNonDate="0" containsString="0" containsBlank="1"/>
    </cacheField>
    <cacheField name="Q21 | a. MEDICAID health insurance | At entry" numFmtId="0">
      <sharedItems containsNonDate="0" containsString="0" containsBlank="1"/>
    </cacheField>
    <cacheField name="Q21 | a. MEDICAID health insurance | At Latest Annual Assessment for Stayers" numFmtId="0">
      <sharedItems containsNonDate="0" containsString="0" containsBlank="1"/>
    </cacheField>
    <cacheField name="Q21 | a. MEDICAID health insurance | At Exit for Leavers" numFmtId="0">
      <sharedItems containsNonDate="0" containsString="0" containsBlank="1"/>
    </cacheField>
    <cacheField name="Q21 | b. MEDICARE health insurance | At entry" numFmtId="0">
      <sharedItems containsNonDate="0" containsString="0" containsBlank="1"/>
    </cacheField>
    <cacheField name="Q21 | b. MEDICARE health insurance | At Latest Annual Assessment for Stayers" numFmtId="0">
      <sharedItems containsNonDate="0" containsString="0" containsBlank="1"/>
    </cacheField>
    <cacheField name="Q21 | b. MEDICARE health insurance | At Exit for Leavers" numFmtId="0">
      <sharedItems containsNonDate="0" containsString="0" containsBlank="1"/>
    </cacheField>
    <cacheField name="Q21 | c. State Children's Health Insurance | At entry" numFmtId="0">
      <sharedItems containsNonDate="0" containsString="0" containsBlank="1"/>
    </cacheField>
    <cacheField name="Q21 | c. State Children's Health Insurance | At Latest Annual Assessment for Stayers" numFmtId="0">
      <sharedItems containsNonDate="0" containsString="0" containsBlank="1"/>
    </cacheField>
    <cacheField name="Q21 | c. State Children's Health Insurance | At Exit for Leavers" numFmtId="0">
      <sharedItems containsNonDate="0" containsString="0" containsBlank="1"/>
    </cacheField>
    <cacheField name="Q21 | d. VA Medical Services | At entry" numFmtId="0">
      <sharedItems containsNonDate="0" containsString="0" containsBlank="1"/>
    </cacheField>
    <cacheField name="Q21 | d. VA Medical Services | At Latest Annual Assessment for Stayers" numFmtId="0">
      <sharedItems containsNonDate="0" containsString="0" containsBlank="1"/>
    </cacheField>
    <cacheField name="Q21 | d. VA Medical Services | At Exit for Leavers" numFmtId="0">
      <sharedItems containsNonDate="0" containsString="0" containsBlank="1"/>
    </cacheField>
    <cacheField name="Q21 | e. Employer-provided health insurance | At entry" numFmtId="0">
      <sharedItems containsNonDate="0" containsString="0" containsBlank="1"/>
    </cacheField>
    <cacheField name="Q21 | e. Employer-provided health insurance | At Latest Annual Assessment for Stayers" numFmtId="0">
      <sharedItems containsNonDate="0" containsString="0" containsBlank="1"/>
    </cacheField>
    <cacheField name="Q21 | e. Employer-provided health insurance | At Exit for Leavers" numFmtId="0">
      <sharedItems containsNonDate="0" containsString="0" containsBlank="1"/>
    </cacheField>
    <cacheField name="Q21 | f. Health insurance through COBRA | At entry" numFmtId="0">
      <sharedItems containsNonDate="0" containsString="0" containsBlank="1"/>
    </cacheField>
    <cacheField name="Q21 | f. Health insurance through COBRA | At Latest Annual Assessment for Stayers" numFmtId="0">
      <sharedItems containsNonDate="0" containsString="0" containsBlank="1"/>
    </cacheField>
    <cacheField name="Q21 | f. Health insurance through COBRA | At Exit for Leavers" numFmtId="0">
      <sharedItems containsNonDate="0" containsString="0" containsBlank="1"/>
    </cacheField>
    <cacheField name="Q21 | g. Private pay health insurance | At entry" numFmtId="0">
      <sharedItems containsNonDate="0" containsString="0" containsBlank="1"/>
    </cacheField>
    <cacheField name="Q21 | g. Private pay health insurance | At Latest Annual Assessment for Stayers" numFmtId="0">
      <sharedItems containsNonDate="0" containsString="0" containsBlank="1"/>
    </cacheField>
    <cacheField name="Q21 | g. Private pay health insurance | At Exit for Leavers" numFmtId="0">
      <sharedItems containsNonDate="0" containsString="0" containsBlank="1"/>
    </cacheField>
    <cacheField name="Q21 | h. State Health Insurance for Adults | At entry" numFmtId="0">
      <sharedItems containsNonDate="0" containsString="0" containsBlank="1"/>
    </cacheField>
    <cacheField name="Q21 | h. State Health Insurance for Adults | At Latest Annual Assessment for Stayers" numFmtId="0">
      <sharedItems containsNonDate="0" containsString="0" containsBlank="1"/>
    </cacheField>
    <cacheField name="Q21 | h. State Health Insurance for Adults | At Exit for Leavers" numFmtId="0">
      <sharedItems containsNonDate="0" containsString="0" containsBlank="1"/>
    </cacheField>
    <cacheField name="Q21 | i. No health insurance | At entry" numFmtId="0">
      <sharedItems containsNonDate="0" containsString="0" containsBlank="1"/>
    </cacheField>
    <cacheField name="Q21 | i. No health insurance | At Latest Annual Assessment for Stayers" numFmtId="0">
      <sharedItems containsNonDate="0" containsString="0" containsBlank="1"/>
    </cacheField>
    <cacheField name="Q21 | i. No health insurance | At Exit for Leavers" numFmtId="0">
      <sharedItems containsNonDate="0" containsString="0" containsBlank="1"/>
    </cacheField>
    <cacheField name="Q21 | j. Client doesn't know/Client refused | At entry" numFmtId="0">
      <sharedItems containsNonDate="0" containsString="0" containsBlank="1"/>
    </cacheField>
    <cacheField name="Q21 | j. Client doesn't know/Client refused | At Latest Annual Assessment for Stayers" numFmtId="0">
      <sharedItems containsNonDate="0" containsString="0" containsBlank="1"/>
    </cacheField>
    <cacheField name="Q21 | j. Client doesn't know/Client refused | At Exit for Leavers" numFmtId="0">
      <sharedItems containsNonDate="0" containsString="0" containsBlank="1"/>
    </cacheField>
    <cacheField name="Q21 | k. Data not collected | At entry" numFmtId="0">
      <sharedItems containsNonDate="0" containsString="0" containsBlank="1"/>
    </cacheField>
    <cacheField name="Q21 | k. Data not collected | At Latest Annual Assessment for Stayers" numFmtId="0">
      <sharedItems containsNonDate="0" containsString="0" containsBlank="1"/>
    </cacheField>
    <cacheField name="Q21 | k. Data not collected | At Exit for Leavers" numFmtId="0">
      <sharedItems containsNonDate="0" containsString="0" containsBlank="1"/>
    </cacheField>
    <cacheField name="Q21 | l. Number of adult stayers not yet required to have an annual assessment | At entry" numFmtId="0">
      <sharedItems containsNonDate="0" containsString="0" containsBlank="1"/>
    </cacheField>
    <cacheField name="Q21 | l. Number of adult stayers not yet required to have an annual assessment | At Latest Annual Assessment for Stayers" numFmtId="0">
      <sharedItems containsNonDate="0" containsString="0" containsBlank="1"/>
    </cacheField>
    <cacheField name="Q21 | l. Number of adult stayers not yet required to have an annual assessment | At Exit for Leavers" numFmtId="0">
      <sharedItems containsNonDate="0" containsString="0" containsBlank="1"/>
    </cacheField>
    <cacheField name="Q21 | m. 1 source of health insurance | At entry" numFmtId="0">
      <sharedItems containsNonDate="0" containsString="0" containsBlank="1"/>
    </cacheField>
    <cacheField name="Q21 | m. 1 source of health insurance | At Latest Annual Assessment for Stayers" numFmtId="0">
      <sharedItems containsNonDate="0" containsString="0" containsBlank="1"/>
    </cacheField>
    <cacheField name="Q21 | m. 1 source of health insurance | At Exit for Leavers" numFmtId="0">
      <sharedItems containsNonDate="0" containsString="0" containsBlank="1"/>
    </cacheField>
    <cacheField name="Q21 | n. More than 1 source of health insurance | At entry" numFmtId="0">
      <sharedItems containsNonDate="0" containsString="0" containsBlank="1"/>
    </cacheField>
    <cacheField name="Q21 | n. More than 1 source of health insurance | At Latest Annual Assessment for Stayers" numFmtId="0">
      <sharedItems containsNonDate="0" containsString="0" containsBlank="1"/>
    </cacheField>
    <cacheField name="Q21 | n. More than 1 source of health insurance | At Exit for Leavers" numFmtId="0">
      <sharedItems containsNonDate="0" containsString="0" containsBlank="1"/>
    </cacheField>
    <cacheField name="Q22a2 | a. 0 to 7 days | Total" numFmtId="0">
      <sharedItems containsNonDate="0" containsString="0" containsBlank="1"/>
    </cacheField>
    <cacheField name="Q22a2 | a. 0 to 7 days | Leavers" numFmtId="0">
      <sharedItems containsNonDate="0" containsString="0" containsBlank="1"/>
    </cacheField>
    <cacheField name="Q22a2 | a. 0 to 7 days | Stayers" numFmtId="0">
      <sharedItems containsNonDate="0" containsString="0" containsBlank="1"/>
    </cacheField>
    <cacheField name="Q22a2 | b. 8 to 14 days | Total" numFmtId="0">
      <sharedItems containsNonDate="0" containsString="0" containsBlank="1"/>
    </cacheField>
    <cacheField name="Q22a2 | b. 8 to 14 days | Leavers" numFmtId="0">
      <sharedItems containsNonDate="0" containsString="0" containsBlank="1"/>
    </cacheField>
    <cacheField name="Q22a2 | b. 8 to 14 days | Stayers" numFmtId="0">
      <sharedItems containsNonDate="0" containsString="0" containsBlank="1"/>
    </cacheField>
    <cacheField name="Q22a2 | c. 15 to 21 days | Total" numFmtId="0">
      <sharedItems containsNonDate="0" containsString="0" containsBlank="1"/>
    </cacheField>
    <cacheField name="Q22a2 | c. 15 to 21 days | Leavers" numFmtId="0">
      <sharedItems containsNonDate="0" containsString="0" containsBlank="1"/>
    </cacheField>
    <cacheField name="Q22a2 | c. 15 to 21 days | Stayers" numFmtId="0">
      <sharedItems containsNonDate="0" containsString="0" containsBlank="1"/>
    </cacheField>
    <cacheField name="Q22a2 | d. 22 to 30 days | Total" numFmtId="0">
      <sharedItems containsNonDate="0" containsString="0" containsBlank="1"/>
    </cacheField>
    <cacheField name="Q22a2 | d. 22 to 30 days | Leavers" numFmtId="0">
      <sharedItems containsNonDate="0" containsString="0" containsBlank="1"/>
    </cacheField>
    <cacheField name="Q22a2 | d. 22 to 30 days | Stayers" numFmtId="0">
      <sharedItems containsNonDate="0" containsString="0" containsBlank="1"/>
    </cacheField>
    <cacheField name="Q22a2 | e. 31 to 60 days | Total" numFmtId="0">
      <sharedItems containsNonDate="0" containsString="0" containsBlank="1"/>
    </cacheField>
    <cacheField name="Q22a2 | e. 31 to 60 days | Leavers" numFmtId="0">
      <sharedItems containsNonDate="0" containsString="0" containsBlank="1"/>
    </cacheField>
    <cacheField name="Q22a2 | e. 31 to 60 days | Stayers" numFmtId="0">
      <sharedItems containsNonDate="0" containsString="0" containsBlank="1"/>
    </cacheField>
    <cacheField name="Q22a2 | f. 61 to 90 days | Total" numFmtId="0">
      <sharedItems containsNonDate="0" containsString="0" containsBlank="1"/>
    </cacheField>
    <cacheField name="Q22a2 | f. 61 to 90 days | Leavers" numFmtId="0">
      <sharedItems containsNonDate="0" containsString="0" containsBlank="1"/>
    </cacheField>
    <cacheField name="Q22a2 | f. 61 to 90 days | Stayers" numFmtId="0">
      <sharedItems containsNonDate="0" containsString="0" containsBlank="1"/>
    </cacheField>
    <cacheField name="Q22a2 | g. 91 to 180 days | Total" numFmtId="0">
      <sharedItems containsNonDate="0" containsString="0" containsBlank="1"/>
    </cacheField>
    <cacheField name="Q22a2 | g. 91 to 180 days | Leavers" numFmtId="0">
      <sharedItems containsNonDate="0" containsString="0" containsBlank="1"/>
    </cacheField>
    <cacheField name="Q22a2 | g. 91 to 180 days | Stayers" numFmtId="0">
      <sharedItems containsNonDate="0" containsString="0" containsBlank="1"/>
    </cacheField>
    <cacheField name="Q22a2 | h. 181 to 365 days | Total" numFmtId="0">
      <sharedItems containsNonDate="0" containsString="0" containsBlank="1"/>
    </cacheField>
    <cacheField name="Q22a2 | h. 181 to 365 days | Leavers" numFmtId="0">
      <sharedItems containsNonDate="0" containsString="0" containsBlank="1"/>
    </cacheField>
    <cacheField name="Q22a2 | h. 181 to 365 days | Stayers" numFmtId="0">
      <sharedItems containsNonDate="0" containsString="0" containsBlank="1"/>
    </cacheField>
    <cacheField name="Q22a2 | i. 366 to 730 days (1-2 yrs.) | Total" numFmtId="0">
      <sharedItems containsNonDate="0" containsString="0" containsBlank="1"/>
    </cacheField>
    <cacheField name="Q22a2 | i. 366 to 730 days (1-2 yrs.) | Leavers" numFmtId="0">
      <sharedItems containsNonDate="0" containsString="0" containsBlank="1"/>
    </cacheField>
    <cacheField name="Q22a2 | i. 366 to 730 days (1-2 yrs.) | Stayers" numFmtId="0">
      <sharedItems containsNonDate="0" containsString="0" containsBlank="1"/>
    </cacheField>
    <cacheField name="Q22a2 | j. 731 to 1095 days (2-3 yrs.) | Total" numFmtId="0">
      <sharedItems containsNonDate="0" containsString="0" containsBlank="1"/>
    </cacheField>
    <cacheField name="Q22a2 | j. 731 to 1095 days (2-3 yrs.) | Leavers" numFmtId="0">
      <sharedItems containsNonDate="0" containsString="0" containsBlank="1"/>
    </cacheField>
    <cacheField name="Q22a2 | j. 731 to 1095 days (2-3 yrs.) | Stayers" numFmtId="0">
      <sharedItems containsNonDate="0" containsString="0" containsBlank="1"/>
    </cacheField>
    <cacheField name="Q22a2 | k. 1096 to 1460 days (3-4 yrs.) | Total" numFmtId="0">
      <sharedItems containsNonDate="0" containsString="0" containsBlank="1"/>
    </cacheField>
    <cacheField name="Q22a2 | k. 1096 to 1460 days (3-4 yrs.) | Leavers" numFmtId="0">
      <sharedItems containsNonDate="0" containsString="0" containsBlank="1"/>
    </cacheField>
    <cacheField name="Q22a2 | k. 1096 to 1460 days (3-4 yrs.) | Stayers" numFmtId="0">
      <sharedItems containsNonDate="0" containsString="0" containsBlank="1"/>
    </cacheField>
    <cacheField name="Q22a2 | l. 1461 to 1825 days (4-5 yrs.) | Total" numFmtId="0">
      <sharedItems containsNonDate="0" containsString="0" containsBlank="1"/>
    </cacheField>
    <cacheField name="Q22a2 | l. 1461 to 1825 days (4-5 yrs.) | Leavers" numFmtId="0">
      <sharedItems containsNonDate="0" containsString="0" containsBlank="1"/>
    </cacheField>
    <cacheField name="Q22a2 | l. 1461 to 1825 days (4-5 yrs.) | Stayers" numFmtId="0">
      <sharedItems containsNonDate="0" containsString="0" containsBlank="1"/>
    </cacheField>
    <cacheField name="Q22a2 | m. More than 1825 days (&gt;5 yrs.) | Total" numFmtId="0">
      <sharedItems containsNonDate="0" containsString="0" containsBlank="1"/>
    </cacheField>
    <cacheField name="Q22a2 | m. More than 1825 days (&gt;5 yrs.) | Leavers" numFmtId="0">
      <sharedItems containsNonDate="0" containsString="0" containsBlank="1"/>
    </cacheField>
    <cacheField name="Q22a2 | m. More than 1825 days (&gt;5 yrs.) | Stayers" numFmtId="0">
      <sharedItems containsNonDate="0" containsString="0" containsBlank="1"/>
    </cacheField>
    <cacheField name="Q22a2 | n. Information missing | Total" numFmtId="0">
      <sharedItems containsNonDate="0" containsString="0" containsBlank="1"/>
    </cacheField>
    <cacheField name="Q22a2 | n. Information missing | Leavers" numFmtId="0">
      <sharedItems containsNonDate="0" containsString="0" containsBlank="1"/>
    </cacheField>
    <cacheField name="Q22a2 | n. Information missing | Stayers" numFmtId="0">
      <sharedItems containsNonDate="0" containsString="0" containsBlank="1"/>
    </cacheField>
    <cacheField name="Q22a2 | o. Total | Total" numFmtId="0">
      <sharedItems containsNonDate="0" containsString="0" containsBlank="1"/>
    </cacheField>
    <cacheField name="Q22a2 | o. Total | Leavers" numFmtId="0">
      <sharedItems containsNonDate="0" containsString="0" containsBlank="1"/>
    </cacheField>
    <cacheField name="Q22a2 | o. Total | Stayers" numFmtId="0">
      <sharedItems containsNonDate="0" containsString="0" containsBlank="1"/>
    </cacheField>
    <cacheField name="Q22c | a. 0-7 days | Total" numFmtId="0">
      <sharedItems containsNonDate="0" containsString="0" containsBlank="1"/>
    </cacheField>
    <cacheField name="Q22c | a. 0-7 days | a. Without children" numFmtId="0">
      <sharedItems containsNonDate="0" containsString="0" containsBlank="1"/>
    </cacheField>
    <cacheField name="Q22c | a. 0-7 days | b. With children and adults" numFmtId="0">
      <sharedItems containsNonDate="0" containsString="0" containsBlank="1"/>
    </cacheField>
    <cacheField name="Q22c | a. 0-7 days | c. With only children" numFmtId="0">
      <sharedItems containsNonDate="0" containsString="0" containsBlank="1"/>
    </cacheField>
    <cacheField name="Q22c | a. 0-7 days | d. Unknown household type" numFmtId="0">
      <sharedItems containsNonDate="0" containsString="0" containsBlank="1"/>
    </cacheField>
    <cacheField name="Q22c | b. 8-14 days | Total" numFmtId="0">
      <sharedItems containsNonDate="0" containsString="0" containsBlank="1"/>
    </cacheField>
    <cacheField name="Q22c | b. 8-14 days | a. Without children" numFmtId="0">
      <sharedItems containsNonDate="0" containsString="0" containsBlank="1"/>
    </cacheField>
    <cacheField name="Q22c | b. 8-14 days | b. With children and adults" numFmtId="0">
      <sharedItems containsNonDate="0" containsString="0" containsBlank="1"/>
    </cacheField>
    <cacheField name="Q22c | b. 8-14 days | c. With only children" numFmtId="0">
      <sharedItems containsNonDate="0" containsString="0" containsBlank="1"/>
    </cacheField>
    <cacheField name="Q22c | b. 8-14 days | d. Unknown household type" numFmtId="0">
      <sharedItems containsNonDate="0" containsString="0" containsBlank="1"/>
    </cacheField>
    <cacheField name="Q22c | c. 15-21 days | Total" numFmtId="0">
      <sharedItems containsNonDate="0" containsString="0" containsBlank="1"/>
    </cacheField>
    <cacheField name="Q22c | c. 15-21 days | a. Without children" numFmtId="0">
      <sharedItems containsNonDate="0" containsString="0" containsBlank="1"/>
    </cacheField>
    <cacheField name="Q22c | c. 15-21 days | b. With children and adults" numFmtId="0">
      <sharedItems containsNonDate="0" containsString="0" containsBlank="1"/>
    </cacheField>
    <cacheField name="Q22c | c. 15-21 days | c. With only children" numFmtId="0">
      <sharedItems containsNonDate="0" containsString="0" containsBlank="1"/>
    </cacheField>
    <cacheField name="Q22c | c. 15-21 days | d. Unknown household type" numFmtId="0">
      <sharedItems containsNonDate="0" containsString="0" containsBlank="1"/>
    </cacheField>
    <cacheField name="Q22c | d. 22 to 30 days | Total" numFmtId="0">
      <sharedItems containsNonDate="0" containsString="0" containsBlank="1"/>
    </cacheField>
    <cacheField name="Q22c | d. 22 to 30 days | a. Without children" numFmtId="0">
      <sharedItems containsNonDate="0" containsString="0" containsBlank="1"/>
    </cacheField>
    <cacheField name="Q22c | d. 22 to 30 days | b. With children and adults" numFmtId="0">
      <sharedItems containsNonDate="0" containsString="0" containsBlank="1"/>
    </cacheField>
    <cacheField name="Q22c | d. 22 to 30 days | c. With only children" numFmtId="0">
      <sharedItems containsNonDate="0" containsString="0" containsBlank="1"/>
    </cacheField>
    <cacheField name="Q22c | d. 22 to 30 days | d. Unknown household type" numFmtId="0">
      <sharedItems containsNonDate="0" containsString="0" containsBlank="1"/>
    </cacheField>
    <cacheField name="Q22c | e. 31 to 60 days | Total" numFmtId="0">
      <sharedItems containsNonDate="0" containsString="0" containsBlank="1"/>
    </cacheField>
    <cacheField name="Q22c | e. 31 to 60 days | a. Without children" numFmtId="0">
      <sharedItems containsNonDate="0" containsString="0" containsBlank="1"/>
    </cacheField>
    <cacheField name="Q22c | e. 31 to 60 days | b. With children and adults" numFmtId="0">
      <sharedItems containsNonDate="0" containsString="0" containsBlank="1"/>
    </cacheField>
    <cacheField name="Q22c | e. 31 to 60 days | c. With only children" numFmtId="0">
      <sharedItems containsNonDate="0" containsString="0" containsBlank="1"/>
    </cacheField>
    <cacheField name="Q22c | e. 31 to 60 days | d. Unknown household type" numFmtId="0">
      <sharedItems containsNonDate="0" containsString="0" containsBlank="1"/>
    </cacheField>
    <cacheField name="Q22c | f. 61 to 180 days | Total" numFmtId="0">
      <sharedItems containsNonDate="0" containsString="0" containsBlank="1"/>
    </cacheField>
    <cacheField name="Q22c | f. 61 to 180 days | a. Without children" numFmtId="0">
      <sharedItems containsNonDate="0" containsString="0" containsBlank="1"/>
    </cacheField>
    <cacheField name="Q22c | f. 61 to 180 days | b. With children and adults" numFmtId="0">
      <sharedItems containsNonDate="0" containsString="0" containsBlank="1"/>
    </cacheField>
    <cacheField name="Q22c | f. 61 to 180 days | c. With only children" numFmtId="0">
      <sharedItems containsNonDate="0" containsString="0" containsBlank="1"/>
    </cacheField>
    <cacheField name="Q22c | f. 61 to 180 days | d. Unknown household type" numFmtId="0">
      <sharedItems containsNonDate="0" containsString="0" containsBlank="1"/>
    </cacheField>
    <cacheField name="Q22c | g. 181 to 365 days | Total" numFmtId="0">
      <sharedItems containsNonDate="0" containsString="0" containsBlank="1"/>
    </cacheField>
    <cacheField name="Q22c | g. 181 to 365 days | a. Without children" numFmtId="0">
      <sharedItems containsNonDate="0" containsString="0" containsBlank="1"/>
    </cacheField>
    <cacheField name="Q22c | g. 181 to 365 days | b. With children and adults" numFmtId="0">
      <sharedItems containsNonDate="0" containsString="0" containsBlank="1"/>
    </cacheField>
    <cacheField name="Q22c | g. 181 to 365 days | c. With only children" numFmtId="0">
      <sharedItems containsNonDate="0" containsString="0" containsBlank="1"/>
    </cacheField>
    <cacheField name="Q22c | g. 181 to 365 days | d. Unknown household type" numFmtId="0">
      <sharedItems containsNonDate="0" containsString="0" containsBlank="1"/>
    </cacheField>
    <cacheField name="Q22c | h. 366 to 730 days (1-2 yrs.) | Total" numFmtId="0">
      <sharedItems containsNonDate="0" containsString="0" containsBlank="1"/>
    </cacheField>
    <cacheField name="Q22c | h. 366 to 730 days (1-2 yrs.) | a. Without children" numFmtId="0">
      <sharedItems containsNonDate="0" containsString="0" containsBlank="1"/>
    </cacheField>
    <cacheField name="Q22c | h. 366 to 730 days (1-2 yrs.) | b. With children and adults" numFmtId="0">
      <sharedItems containsNonDate="0" containsString="0" containsBlank="1"/>
    </cacheField>
    <cacheField name="Q22c | h. 366 to 730 days (1-2 yrs.) | c. With only children" numFmtId="0">
      <sharedItems containsNonDate="0" containsString="0" containsBlank="1"/>
    </cacheField>
    <cacheField name="Q22c | h. 366 to 730 days (1-2 yrs.) | d. Unknown household type" numFmtId="0">
      <sharedItems containsNonDate="0" containsString="0" containsBlank="1"/>
    </cacheField>
    <cacheField name="Q22c | i. Data Not Collected | Total" numFmtId="0">
      <sharedItems containsNonDate="0" containsString="0" containsBlank="1"/>
    </cacheField>
    <cacheField name="Q22c | i. Data Not Collected | a. Without children" numFmtId="0">
      <sharedItems containsNonDate="0" containsString="0" containsBlank="1"/>
    </cacheField>
    <cacheField name="Q22c | i. Data Not Collected | b. With children and adults" numFmtId="0">
      <sharedItems containsNonDate="0" containsString="0" containsBlank="1"/>
    </cacheField>
    <cacheField name="Q22c | i. Data Not Collected | c. With only children" numFmtId="0">
      <sharedItems containsNonDate="0" containsString="0" containsBlank="1"/>
    </cacheField>
    <cacheField name="Q22c | i. Data Not Collected | d. Unknown household type" numFmtId="0">
      <sharedItems containsNonDate="0" containsString="0" containsBlank="1"/>
    </cacheField>
    <cacheField name="Q22c | j. Total | Total" numFmtId="0">
      <sharedItems containsNonDate="0" containsString="0" containsBlank="1"/>
    </cacheField>
    <cacheField name="Q22c | j. Total | a. Without children" numFmtId="0">
      <sharedItems containsNonDate="0" containsString="0" containsBlank="1"/>
    </cacheField>
    <cacheField name="Q22c | j. Total | b. With children and adults" numFmtId="0">
      <sharedItems containsNonDate="0" containsString="0" containsBlank="1"/>
    </cacheField>
    <cacheField name="Q22c | j. Total | c. With only children" numFmtId="0">
      <sharedItems containsNonDate="0" containsString="0" containsBlank="1"/>
    </cacheField>
    <cacheField name="Q22c | j. Total | d. Unknown household type" numFmtId="0">
      <sharedItems containsNonDate="0" containsString="0" containsBlank="1"/>
    </cacheField>
    <cacheField name="Q22d | a. 0 to 7 days | Total" numFmtId="0">
      <sharedItems containsNonDate="0" containsString="0" containsBlank="1"/>
    </cacheField>
    <cacheField name="Q22d | a. 0 to 7 days | a. Without children" numFmtId="0">
      <sharedItems containsNonDate="0" containsString="0" containsBlank="1"/>
    </cacheField>
    <cacheField name="Q22d | a. 0 to 7 days | b. With children and adults" numFmtId="0">
      <sharedItems containsNonDate="0" containsString="0" containsBlank="1"/>
    </cacheField>
    <cacheField name="Q22d | a. 0 to 7 days | c. With only children" numFmtId="0">
      <sharedItems containsNonDate="0" containsString="0" containsBlank="1"/>
    </cacheField>
    <cacheField name="Q22d | a. 0 to 7 days | d. Unknown household type" numFmtId="0">
      <sharedItems containsNonDate="0" containsString="0" containsBlank="1"/>
    </cacheField>
    <cacheField name="Q22d | b. 8 to 14 days | Total" numFmtId="0">
      <sharedItems containsNonDate="0" containsString="0" containsBlank="1"/>
    </cacheField>
    <cacheField name="Q22d | b. 8 to 14 days | a. Without children" numFmtId="0">
      <sharedItems containsNonDate="0" containsString="0" containsBlank="1"/>
    </cacheField>
    <cacheField name="Q22d | b. 8 to 14 days | b. With children and adults" numFmtId="0">
      <sharedItems containsNonDate="0" containsString="0" containsBlank="1"/>
    </cacheField>
    <cacheField name="Q22d | b. 8 to 14 days | c. With only children" numFmtId="0">
      <sharedItems containsNonDate="0" containsString="0" containsBlank="1"/>
    </cacheField>
    <cacheField name="Q22d | b. 8 to 14 days | d. Unknown household type" numFmtId="0">
      <sharedItems containsNonDate="0" containsString="0" containsBlank="1"/>
    </cacheField>
    <cacheField name="Q22d | c. 15 to 21 days | Total" numFmtId="0">
      <sharedItems containsNonDate="0" containsString="0" containsBlank="1"/>
    </cacheField>
    <cacheField name="Q22d | c. 15 to 21 days | a. Without children" numFmtId="0">
      <sharedItems containsNonDate="0" containsString="0" containsBlank="1"/>
    </cacheField>
    <cacheField name="Q22d | c. 15 to 21 days | b. With children and adults" numFmtId="0">
      <sharedItems containsNonDate="0" containsString="0" containsBlank="1"/>
    </cacheField>
    <cacheField name="Q22d | c. 15 to 21 days | c. With only children" numFmtId="0">
      <sharedItems containsNonDate="0" containsString="0" containsBlank="1"/>
    </cacheField>
    <cacheField name="Q22d | c. 15 to 21 days | d. Unknown household type" numFmtId="0">
      <sharedItems containsNonDate="0" containsString="0" containsBlank="1"/>
    </cacheField>
    <cacheField name="Q22d | d. 22 to 30 days | Total" numFmtId="0">
      <sharedItems containsNonDate="0" containsString="0" containsBlank="1"/>
    </cacheField>
    <cacheField name="Q22d | d. 22 to 30 days | a. Without children" numFmtId="0">
      <sharedItems containsNonDate="0" containsString="0" containsBlank="1"/>
    </cacheField>
    <cacheField name="Q22d | d. 22 to 30 days | b. With children and adults" numFmtId="0">
      <sharedItems containsNonDate="0" containsString="0" containsBlank="1"/>
    </cacheField>
    <cacheField name="Q22d | d. 22 to 30 days | c. With only children" numFmtId="0">
      <sharedItems containsNonDate="0" containsString="0" containsBlank="1"/>
    </cacheField>
    <cacheField name="Q22d | d. 22 to 30 days | d. Unknown household type" numFmtId="0">
      <sharedItems containsNonDate="0" containsString="0" containsBlank="1"/>
    </cacheField>
    <cacheField name="Q22d | e. 31 to 60 days | Total" numFmtId="0">
      <sharedItems containsNonDate="0" containsString="0" containsBlank="1"/>
    </cacheField>
    <cacheField name="Q22d | e. 31 to 60 days | a. Without children" numFmtId="0">
      <sharedItems containsNonDate="0" containsString="0" containsBlank="1"/>
    </cacheField>
    <cacheField name="Q22d | e. 31 to 60 days | b. With children and adults" numFmtId="0">
      <sharedItems containsNonDate="0" containsString="0" containsBlank="1"/>
    </cacheField>
    <cacheField name="Q22d | e. 31 to 60 days | c. With only children" numFmtId="0">
      <sharedItems containsNonDate="0" containsString="0" containsBlank="1"/>
    </cacheField>
    <cacheField name="Q22d | e. 31 to 60 days | d. Unknown household type" numFmtId="0">
      <sharedItems containsNonDate="0" containsString="0" containsBlank="1"/>
    </cacheField>
    <cacheField name="Q22d | f. 61 to 90 days | Total" numFmtId="0">
      <sharedItems containsNonDate="0" containsString="0" containsBlank="1"/>
    </cacheField>
    <cacheField name="Q22d | f. 61 to 90 days | a. Without children" numFmtId="0">
      <sharedItems containsNonDate="0" containsString="0" containsBlank="1"/>
    </cacheField>
    <cacheField name="Q22d | f. 61 to 90 days | b. With children and adults" numFmtId="0">
      <sharedItems containsNonDate="0" containsString="0" containsBlank="1"/>
    </cacheField>
    <cacheField name="Q22d | f. 61 to 90 days | c. With only children" numFmtId="0">
      <sharedItems containsNonDate="0" containsString="0" containsBlank="1"/>
    </cacheField>
    <cacheField name="Q22d | f. 61 to 90 days | d. Unknown household type" numFmtId="0">
      <sharedItems containsNonDate="0" containsString="0" containsBlank="1"/>
    </cacheField>
    <cacheField name="Q22d | g. 91 to 180 days | Total" numFmtId="0">
      <sharedItems containsNonDate="0" containsString="0" containsBlank="1"/>
    </cacheField>
    <cacheField name="Q22d | g. 91 to 180 days | a. Without children" numFmtId="0">
      <sharedItems containsNonDate="0" containsString="0" containsBlank="1"/>
    </cacheField>
    <cacheField name="Q22d | g. 91 to 180 days | b. With children and adults" numFmtId="0">
      <sharedItems containsNonDate="0" containsString="0" containsBlank="1"/>
    </cacheField>
    <cacheField name="Q22d | g. 91 to 180 days | c. With only children" numFmtId="0">
      <sharedItems containsNonDate="0" containsString="0" containsBlank="1"/>
    </cacheField>
    <cacheField name="Q22d | g. 91 to 180 days | d. Unknown household type" numFmtId="0">
      <sharedItems containsNonDate="0" containsString="0" containsBlank="1"/>
    </cacheField>
    <cacheField name="Q22d | h. 181 to 365 days | Total" numFmtId="0">
      <sharedItems containsNonDate="0" containsString="0" containsBlank="1"/>
    </cacheField>
    <cacheField name="Q22d | h. 181 to 365 days | a. Without children" numFmtId="0">
      <sharedItems containsNonDate="0" containsString="0" containsBlank="1"/>
    </cacheField>
    <cacheField name="Q22d | h. 181 to 365 days | b. With children and adults" numFmtId="0">
      <sharedItems containsNonDate="0" containsString="0" containsBlank="1"/>
    </cacheField>
    <cacheField name="Q22d | h. 181 to 365 days | c. With only children" numFmtId="0">
      <sharedItems containsNonDate="0" containsString="0" containsBlank="1"/>
    </cacheField>
    <cacheField name="Q22d | h. 181 to 365 days | d. Unknown household type" numFmtId="0">
      <sharedItems containsNonDate="0" containsString="0" containsBlank="1"/>
    </cacheField>
    <cacheField name="Q22d | i. 366 to 730 days (1-2 yrs.) | Total" numFmtId="0">
      <sharedItems containsNonDate="0" containsString="0" containsBlank="1"/>
    </cacheField>
    <cacheField name="Q22d | i. 366 to 730 days (1-2 yrs.) | a. Without children" numFmtId="0">
      <sharedItems containsNonDate="0" containsString="0" containsBlank="1"/>
    </cacheField>
    <cacheField name="Q22d | i. 366 to 730 days (1-2 yrs.) | b. With children and adults" numFmtId="0">
      <sharedItems containsNonDate="0" containsString="0" containsBlank="1"/>
    </cacheField>
    <cacheField name="Q22d | i. 366 to 730 days (1-2 yrs.) | c. With only children" numFmtId="0">
      <sharedItems containsNonDate="0" containsString="0" containsBlank="1"/>
    </cacheField>
    <cacheField name="Q22d | i. 366 to 730 days (1-2 yrs.) | d. Unknown household type" numFmtId="0">
      <sharedItems containsNonDate="0" containsString="0" containsBlank="1"/>
    </cacheField>
    <cacheField name="Q22d | j. 731 to 1095 days (2-3 yrs.) | Total" numFmtId="0">
      <sharedItems containsNonDate="0" containsString="0" containsBlank="1"/>
    </cacheField>
    <cacheField name="Q22d | j. 731 to 1095 days (2-3 yrs.) | a. Without children" numFmtId="0">
      <sharedItems containsNonDate="0" containsString="0" containsBlank="1"/>
    </cacheField>
    <cacheField name="Q22d | j. 731 to 1095 days (2-3 yrs.) | b. With children and adults" numFmtId="0">
      <sharedItems containsNonDate="0" containsString="0" containsBlank="1"/>
    </cacheField>
    <cacheField name="Q22d | j. 731 to 1095 days (2-3 yrs.) | c. With only children" numFmtId="0">
      <sharedItems containsNonDate="0" containsString="0" containsBlank="1"/>
    </cacheField>
    <cacheField name="Q22d | j. 731 to 1095 days (2-3 yrs.) | d. Unknown household type" numFmtId="0">
      <sharedItems containsNonDate="0" containsString="0" containsBlank="1"/>
    </cacheField>
    <cacheField name="Q22d | k. 1096 to 1460 days (3-4 yrs.) | Total" numFmtId="0">
      <sharedItems containsNonDate="0" containsString="0" containsBlank="1"/>
    </cacheField>
    <cacheField name="Q22d | k. 1096 to 1460 days (3-4 yrs.) | a. Without children" numFmtId="0">
      <sharedItems containsNonDate="0" containsString="0" containsBlank="1"/>
    </cacheField>
    <cacheField name="Q22d | k. 1096 to 1460 days (3-4 yrs.) | b. With children and adults" numFmtId="0">
      <sharedItems containsNonDate="0" containsString="0" containsBlank="1"/>
    </cacheField>
    <cacheField name="Q22d | k. 1096 to 1460 days (3-4 yrs.) | c. With only children" numFmtId="0">
      <sharedItems containsNonDate="0" containsString="0" containsBlank="1"/>
    </cacheField>
    <cacheField name="Q22d | k. 1096 to 1460 days (3-4 yrs.) | d. Unknown household type" numFmtId="0">
      <sharedItems containsNonDate="0" containsString="0" containsBlank="1"/>
    </cacheField>
    <cacheField name="Q22d | l. 1461 to 1825 days (4-5 yrs.) | Total" numFmtId="0">
      <sharedItems containsNonDate="0" containsString="0" containsBlank="1"/>
    </cacheField>
    <cacheField name="Q22d | l. 1461 to 1825 days (4-5 yrs.) | a. Without children" numFmtId="0">
      <sharedItems containsNonDate="0" containsString="0" containsBlank="1"/>
    </cacheField>
    <cacheField name="Q22d | l. 1461 to 1825 days (4-5 yrs.) | b. With children and adults" numFmtId="0">
      <sharedItems containsNonDate="0" containsString="0" containsBlank="1"/>
    </cacheField>
    <cacheField name="Q22d | l. 1461 to 1825 days (4-5 yrs.) | c. With only children" numFmtId="0">
      <sharedItems containsNonDate="0" containsString="0" containsBlank="1"/>
    </cacheField>
    <cacheField name="Q22d | l. 1461 to 1825 days (4-5 yrs.) | d. Unknown household type" numFmtId="0">
      <sharedItems containsNonDate="0" containsString="0" containsBlank="1"/>
    </cacheField>
    <cacheField name="Q22d | m. More than 1825 days (&gt;5 yrs.) | Total" numFmtId="0">
      <sharedItems containsNonDate="0" containsString="0" containsBlank="1"/>
    </cacheField>
    <cacheField name="Q22d | m. More than 1825 days (&gt;5 yrs.) | a. Without children" numFmtId="0">
      <sharedItems containsNonDate="0" containsString="0" containsBlank="1"/>
    </cacheField>
    <cacheField name="Q22d | m. More than 1825 days (&gt;5 yrs.) | b. With children and adults" numFmtId="0">
      <sharedItems containsNonDate="0" containsString="0" containsBlank="1"/>
    </cacheField>
    <cacheField name="Q22d | m. More than 1825 days (&gt;5 yrs.) | c. With only children" numFmtId="0">
      <sharedItems containsNonDate="0" containsString="0" containsBlank="1"/>
    </cacheField>
    <cacheField name="Q22d | m. More than 1825 days (&gt;5 yrs.) | d. Unknown household type" numFmtId="0">
      <sharedItems containsNonDate="0" containsString="0" containsBlank="1"/>
    </cacheField>
    <cacheField name="Q22d | n. Information missing | Total" numFmtId="0">
      <sharedItems containsNonDate="0" containsString="0" containsBlank="1"/>
    </cacheField>
    <cacheField name="Q22d | n. Information missing | a. Without children" numFmtId="0">
      <sharedItems containsNonDate="0" containsString="0" containsBlank="1"/>
    </cacheField>
    <cacheField name="Q22d | n. Information missing | b. With children and adults" numFmtId="0">
      <sharedItems containsNonDate="0" containsString="0" containsBlank="1"/>
    </cacheField>
    <cacheField name="Q22d | n. Information missing | c. With only children" numFmtId="0">
      <sharedItems containsNonDate="0" containsString="0" containsBlank="1"/>
    </cacheField>
    <cacheField name="Q22d | n. Information missing | d. Unknown household type" numFmtId="0">
      <sharedItems containsNonDate="0" containsString="0" containsBlank="1"/>
    </cacheField>
    <cacheField name="Q22d | o. Total | Total" numFmtId="0">
      <sharedItems containsNonDate="0" containsString="0" containsBlank="1"/>
    </cacheField>
    <cacheField name="Q22d | o. Total | a. Without children" numFmtId="0">
      <sharedItems containsNonDate="0" containsString="0" containsBlank="1"/>
    </cacheField>
    <cacheField name="Q22d | o. Total | b. With children and adults" numFmtId="0">
      <sharedItems containsNonDate="0" containsString="0" containsBlank="1"/>
    </cacheField>
    <cacheField name="Q22d | o. Total | c. With only children" numFmtId="0">
      <sharedItems containsNonDate="0" containsString="0" containsBlank="1"/>
    </cacheField>
    <cacheField name="Q22d | o. Total | d. Unknown household type" numFmtId="0">
      <sharedItems containsNonDate="0" containsString="0" containsBlank="1"/>
    </cacheField>
    <cacheField name="Q23 | a. Permanent destinations | Total" numFmtId="0">
      <sharedItems containsNonDate="0" containsString="0" containsBlank="1"/>
    </cacheField>
    <cacheField name="Q23 | a. Permanent destinations | a. Without children" numFmtId="0">
      <sharedItems containsNonDate="0" containsString="0" containsBlank="1"/>
    </cacheField>
    <cacheField name="Q23 | a. Permanent destinations | b. With children and adults" numFmtId="0">
      <sharedItems containsNonDate="0" containsString="0" containsBlank="1"/>
    </cacheField>
    <cacheField name="Q23 | a. Permanent destinations | c. With only children" numFmtId="0">
      <sharedItems containsNonDate="0" containsString="0" containsBlank="1"/>
    </cacheField>
    <cacheField name="Q23 | a. Permanent destinations | d. Unknown household type" numFmtId="0">
      <sharedItems containsNonDate="0" containsString="0" containsBlank="1"/>
    </cacheField>
    <cacheField name="Q23 | a01. Moved from one HOPWA funded project to HOPWA PH | Total" numFmtId="0">
      <sharedItems containsNonDate="0" containsString="0" containsBlank="1"/>
    </cacheField>
    <cacheField name="Q23 | a01. Moved from one HOPWA funded project to HOPWA PH | a. Without children" numFmtId="0">
      <sharedItems containsNonDate="0" containsString="0" containsBlank="1"/>
    </cacheField>
    <cacheField name="Q23 | a01. Moved from one HOPWA funded project to HOPWA PH | b. With children and adults" numFmtId="0">
      <sharedItems containsNonDate="0" containsString="0" containsBlank="1"/>
    </cacheField>
    <cacheField name="Q23 | a01. Moved from one HOPWA funded project to HOPWA PH | c. With only children" numFmtId="0">
      <sharedItems containsNonDate="0" containsString="0" containsBlank="1"/>
    </cacheField>
    <cacheField name="Q23 | a01. Moved from one HOPWA funded project to HOPWA PH | d. Unknown household type" numFmtId="0">
      <sharedItems containsNonDate="0" containsString="0" containsBlank="1"/>
    </cacheField>
    <cacheField name="Q23 | a02. Owned by client, no ongoing subsidy | Total" numFmtId="0">
      <sharedItems containsNonDate="0" containsString="0" containsBlank="1"/>
    </cacheField>
    <cacheField name="Q23 | a02. Owned by client, no ongoing subsidy | a. Without children" numFmtId="0">
      <sharedItems containsNonDate="0" containsString="0" containsBlank="1"/>
    </cacheField>
    <cacheField name="Q23 | a02. Owned by client, no ongoing subsidy | b. With children and adults" numFmtId="0">
      <sharedItems containsNonDate="0" containsString="0" containsBlank="1"/>
    </cacheField>
    <cacheField name="Q23 | a02. Owned by client, no ongoing subsidy | c. With only children" numFmtId="0">
      <sharedItems containsNonDate="0" containsString="0" containsBlank="1"/>
    </cacheField>
    <cacheField name="Q23 | a02. Owned by client, no ongoing subsidy | d. Unknown household type" numFmtId="0">
      <sharedItems containsNonDate="0" containsString="0" containsBlank="1"/>
    </cacheField>
    <cacheField name="Q23 | a03. Owned by client, with ongoing subsidy | Total" numFmtId="0">
      <sharedItems containsNonDate="0" containsString="0" containsBlank="1"/>
    </cacheField>
    <cacheField name="Q23 | a03. Owned by client, with ongoing subsidy | a. Without children" numFmtId="0">
      <sharedItems containsNonDate="0" containsString="0" containsBlank="1"/>
    </cacheField>
    <cacheField name="Q23 | a03. Owned by client, with ongoing subsidy | b. With children and adults" numFmtId="0">
      <sharedItems containsNonDate="0" containsString="0" containsBlank="1"/>
    </cacheField>
    <cacheField name="Q23 | a03. Owned by client, with ongoing subsidy | c. With only children" numFmtId="0">
      <sharedItems containsNonDate="0" containsString="0" containsBlank="1"/>
    </cacheField>
    <cacheField name="Q23 | a03. Owned by client, with ongoing subsidy | d. Unknown household type" numFmtId="0">
      <sharedItems containsNonDate="0" containsString="0" containsBlank="1"/>
    </cacheField>
    <cacheField name="Q23 | a04. Rental by client, no ongoing subsidy | Total" numFmtId="0">
      <sharedItems containsNonDate="0" containsString="0" containsBlank="1"/>
    </cacheField>
    <cacheField name="Q23 | a04. Rental by client, no ongoing subsidy | a. Without children" numFmtId="0">
      <sharedItems containsNonDate="0" containsString="0" containsBlank="1"/>
    </cacheField>
    <cacheField name="Q23 | a04. Rental by client, no ongoing subsidy | b. With children and adults" numFmtId="0">
      <sharedItems containsNonDate="0" containsString="0" containsBlank="1"/>
    </cacheField>
    <cacheField name="Q23 | a04. Rental by client, no ongoing subsidy | c. With only children" numFmtId="0">
      <sharedItems containsNonDate="0" containsString="0" containsBlank="1"/>
    </cacheField>
    <cacheField name="Q23 | a04. Rental by client, no ongoing subsidy | d. Unknown household type" numFmtId="0">
      <sharedItems containsNonDate="0" containsString="0" containsBlank="1"/>
    </cacheField>
    <cacheField name="Q23 | a05. Rental by client, VASH subsidy | Total" numFmtId="0">
      <sharedItems containsNonDate="0" containsString="0" containsBlank="1"/>
    </cacheField>
    <cacheField name="Q23 | a05. Rental by client, VASH subsidy | a. Without children" numFmtId="0">
      <sharedItems containsNonDate="0" containsString="0" containsBlank="1"/>
    </cacheField>
    <cacheField name="Q23 | a05. Rental by client, VASH subsidy | b. With children and adults" numFmtId="0">
      <sharedItems containsNonDate="0" containsString="0" containsBlank="1"/>
    </cacheField>
    <cacheField name="Q23 | a05. Rental by client, VASH subsidy | c. With only children" numFmtId="0">
      <sharedItems containsNonDate="0" containsString="0" containsBlank="1"/>
    </cacheField>
    <cacheField name="Q23 | a05. Rental by client, VASH subsidy | d. Unknown household type" numFmtId="0">
      <sharedItems containsNonDate="0" containsString="0" containsBlank="1"/>
    </cacheField>
    <cacheField name="Q23 | a06. Rental by client, with GPD TIP housing subsidy | Total" numFmtId="0">
      <sharedItems containsNonDate="0" containsString="0" containsBlank="1"/>
    </cacheField>
    <cacheField name="Q23 | a06. Rental by client, with GPD TIP housing subsidy | a. Without children" numFmtId="0">
      <sharedItems containsNonDate="0" containsString="0" containsBlank="1"/>
    </cacheField>
    <cacheField name="Q23 | a06. Rental by client, with GPD TIP housing subsidy | b. With children and adults" numFmtId="0">
      <sharedItems containsNonDate="0" containsString="0" containsBlank="1"/>
    </cacheField>
    <cacheField name="Q23 | a06. Rental by client, with GPD TIP housing subsidy | c. With only children" numFmtId="0">
      <sharedItems containsNonDate="0" containsString="0" containsBlank="1"/>
    </cacheField>
    <cacheField name="Q23 | a06. Rental by client, with GPD TIP housing subsidy | d. Unknown household type" numFmtId="0">
      <sharedItems containsNonDate="0" containsString="0" containsBlank="1"/>
    </cacheField>
    <cacheField name="Q23 | a07. Rental by client, other ongoing subsidy | Total" numFmtId="0">
      <sharedItems containsNonDate="0" containsString="0" containsBlank="1"/>
    </cacheField>
    <cacheField name="Q23 | a07. Rental by client, other ongoing subsidy | a. Without children" numFmtId="0">
      <sharedItems containsNonDate="0" containsString="0" containsBlank="1"/>
    </cacheField>
    <cacheField name="Q23 | a07. Rental by client, other ongoing subsidy | b. With children and adults" numFmtId="0">
      <sharedItems containsNonDate="0" containsString="0" containsBlank="1"/>
    </cacheField>
    <cacheField name="Q23 | a07. Rental by client, other ongoing subsidy | c. With only children" numFmtId="0">
      <sharedItems containsNonDate="0" containsString="0" containsBlank="1"/>
    </cacheField>
    <cacheField name="Q23 | a07. Rental by client, other ongoing subsidy | d. Unknown household type" numFmtId="0">
      <sharedItems containsNonDate="0" containsString="0" containsBlank="1"/>
    </cacheField>
    <cacheField name="Q23 | a08. Permanent housing for homeless persons | Total" numFmtId="0">
      <sharedItems containsNonDate="0" containsString="0" containsBlank="1"/>
    </cacheField>
    <cacheField name="Q23 | a08. Permanent housing for homeless persons | a. Without children" numFmtId="0">
      <sharedItems containsNonDate="0" containsString="0" containsBlank="1"/>
    </cacheField>
    <cacheField name="Q23 | a08. Permanent housing for homeless persons | b. With children and adults" numFmtId="0">
      <sharedItems containsNonDate="0" containsString="0" containsBlank="1"/>
    </cacheField>
    <cacheField name="Q23 | a08. Permanent housing for homeless persons | c. With only children" numFmtId="0">
      <sharedItems containsNonDate="0" containsString="0" containsBlank="1"/>
    </cacheField>
    <cacheField name="Q23 | a08. Permanent housing for homeless persons | d. Unknown household type" numFmtId="0">
      <sharedItems containsNonDate="0" containsString="0" containsBlank="1"/>
    </cacheField>
    <cacheField name="Q23 | a09. Staying or living with family, permanent tenure | Total" numFmtId="0">
      <sharedItems containsNonDate="0" containsString="0" containsBlank="1"/>
    </cacheField>
    <cacheField name="Q23 | a09. Staying or living with family, permanent tenure | a. Without children" numFmtId="0">
      <sharedItems containsNonDate="0" containsString="0" containsBlank="1"/>
    </cacheField>
    <cacheField name="Q23 | a09. Staying or living with family, permanent tenure | b. With children and adults" numFmtId="0">
      <sharedItems containsNonDate="0" containsString="0" containsBlank="1"/>
    </cacheField>
    <cacheField name="Q23 | a09. Staying or living with family, permanent tenure | c. With only children" numFmtId="0">
      <sharedItems containsNonDate="0" containsString="0" containsBlank="1"/>
    </cacheField>
    <cacheField name="Q23 | a09. Staying or living with family, permanent tenure | d. Unknown household type" numFmtId="0">
      <sharedItems containsNonDate="0" containsString="0" containsBlank="1"/>
    </cacheField>
    <cacheField name="Q23 | a10. Staying or living with friends, permanent tenure | Total" numFmtId="0">
      <sharedItems containsNonDate="0" containsString="0" containsBlank="1"/>
    </cacheField>
    <cacheField name="Q23 | a10. Staying or living with friends, permanent tenure | a. Without children" numFmtId="0">
      <sharedItems containsNonDate="0" containsString="0" containsBlank="1"/>
    </cacheField>
    <cacheField name="Q23 | a10. Staying or living with friends, permanent tenure | b. With children and adults" numFmtId="0">
      <sharedItems containsNonDate="0" containsString="0" containsBlank="1"/>
    </cacheField>
    <cacheField name="Q23 | a10. Staying or living with friends, permanent tenure | c. With only children" numFmtId="0">
      <sharedItems containsNonDate="0" containsString="0" containsBlank="1"/>
    </cacheField>
    <cacheField name="Q23 | a10. Staying or living with friends, permanent tenure | d. Unknown household type" numFmtId="0">
      <sharedItems containsNonDate="0" containsString="0" containsBlank="1"/>
    </cacheField>
    <cacheField name="Q23 | az. Total | Total" numFmtId="0">
      <sharedItems containsNonDate="0" containsString="0" containsBlank="1"/>
    </cacheField>
    <cacheField name="Q23 | az. Total | a. Without children" numFmtId="0">
      <sharedItems containsNonDate="0" containsString="0" containsBlank="1"/>
    </cacheField>
    <cacheField name="Q23 | az. Total | b. With children and adults" numFmtId="0">
      <sharedItems containsNonDate="0" containsString="0" containsBlank="1"/>
    </cacheField>
    <cacheField name="Q23 | az. Total | c. With only children" numFmtId="0">
      <sharedItems containsNonDate="0" containsString="0" containsBlank="1"/>
    </cacheField>
    <cacheField name="Q23 | az. Total | d. Unknown household type" numFmtId="0">
      <sharedItems containsNonDate="0" containsString="0" containsBlank="1"/>
    </cacheField>
    <cacheField name="Q23 | b. Temporary destinations | Total" numFmtId="0">
      <sharedItems containsNonDate="0" containsString="0" containsBlank="1"/>
    </cacheField>
    <cacheField name="Q23 | b. Temporary destinations | a. Without children" numFmtId="0">
      <sharedItems containsNonDate="0" containsString="0" containsBlank="1"/>
    </cacheField>
    <cacheField name="Q23 | b. Temporary destinations | b. With children and adults" numFmtId="0">
      <sharedItems containsNonDate="0" containsString="0" containsBlank="1"/>
    </cacheField>
    <cacheField name="Q23 | b. Temporary destinations | c. With only children" numFmtId="0">
      <sharedItems containsNonDate="0" containsString="0" containsBlank="1"/>
    </cacheField>
    <cacheField name="Q23 | b. Temporary destinations | d. Unknown household type" numFmtId="0">
      <sharedItems containsNonDate="0" containsString="0" containsBlank="1"/>
    </cacheField>
    <cacheField name="Q23 | b1. Emergency shelter | Total" numFmtId="0">
      <sharedItems containsNonDate="0" containsString="0" containsBlank="1"/>
    </cacheField>
    <cacheField name="Q23 | b1. Emergency shelter | a. Without children" numFmtId="0">
      <sharedItems containsNonDate="0" containsString="0" containsBlank="1"/>
    </cacheField>
    <cacheField name="Q23 | b1. Emergency shelter | b. With children and adults" numFmtId="0">
      <sharedItems containsNonDate="0" containsString="0" containsBlank="1"/>
    </cacheField>
    <cacheField name="Q23 | b1. Emergency shelter | c. With only children" numFmtId="0">
      <sharedItems containsNonDate="0" containsString="0" containsBlank="1"/>
    </cacheField>
    <cacheField name="Q23 | b1. Emergency shelter | d. Unknown household type" numFmtId="0">
      <sharedItems containsNonDate="0" containsString="0" containsBlank="1"/>
    </cacheField>
    <cacheField name="Q23 | b2. Moved from one HOPWA  funded project to HOPWA TH | Total" numFmtId="0">
      <sharedItems containsNonDate="0" containsString="0" containsBlank="1"/>
    </cacheField>
    <cacheField name="Q23 | b2. Moved from one HOPWA  funded project to HOPWA TH | a. Without children" numFmtId="0">
      <sharedItems containsNonDate="0" containsString="0" containsBlank="1"/>
    </cacheField>
    <cacheField name="Q23 | b2. Moved from one HOPWA  funded project to HOPWA TH | b. With children and adults" numFmtId="0">
      <sharedItems containsNonDate="0" containsString="0" containsBlank="1"/>
    </cacheField>
    <cacheField name="Q23 | b2. Moved from one HOPWA  funded project to HOPWA TH | c. With only children" numFmtId="0">
      <sharedItems containsNonDate="0" containsString="0" containsBlank="1"/>
    </cacheField>
    <cacheField name="Q23 | b2. Moved from one HOPWA  funded project to HOPWA TH | d. Unknown household type" numFmtId="0">
      <sharedItems containsNonDate="0" containsString="0" containsBlank="1"/>
    </cacheField>
    <cacheField name="Q23 | b3. Transitional housing for homeless persons | Total" numFmtId="0">
      <sharedItems containsNonDate="0" containsString="0" containsBlank="1"/>
    </cacheField>
    <cacheField name="Q23 | b3. Transitional housing for homeless persons | a. Without children" numFmtId="0">
      <sharedItems containsNonDate="0" containsString="0" containsBlank="1"/>
    </cacheField>
    <cacheField name="Q23 | b3. Transitional housing for homeless persons | b. With children and adults" numFmtId="0">
      <sharedItems containsNonDate="0" containsString="0" containsBlank="1"/>
    </cacheField>
    <cacheField name="Q23 | b3. Transitional housing for homeless persons | c. With only children" numFmtId="0">
      <sharedItems containsNonDate="0" containsString="0" containsBlank="1"/>
    </cacheField>
    <cacheField name="Q23 | b3. Transitional housing for homeless persons | d. Unknown household type" numFmtId="0">
      <sharedItems containsNonDate="0" containsString="0" containsBlank="1"/>
    </cacheField>
    <cacheField name="Q23 | b4. Staying with family, temporary tenure | Total" numFmtId="0">
      <sharedItems containsNonDate="0" containsString="0" containsBlank="1"/>
    </cacheField>
    <cacheField name="Q23 | b4. Staying with family, temporary tenure | a. Without children" numFmtId="0">
      <sharedItems containsNonDate="0" containsString="0" containsBlank="1"/>
    </cacheField>
    <cacheField name="Q23 | b4. Staying with family, temporary tenure | b. With children and adults" numFmtId="0">
      <sharedItems containsNonDate="0" containsString="0" containsBlank="1"/>
    </cacheField>
    <cacheField name="Q23 | b4. Staying with family, temporary tenure | c. With only children" numFmtId="0">
      <sharedItems containsNonDate="0" containsString="0" containsBlank="1"/>
    </cacheField>
    <cacheField name="Q23 | b4. Staying with family, temporary tenure | d. Unknown household type" numFmtId="0">
      <sharedItems containsNonDate="0" containsString="0" containsBlank="1"/>
    </cacheField>
    <cacheField name="Q23 | b5. Staying with friends, temporary tenure | Total" numFmtId="0">
      <sharedItems containsNonDate="0" containsString="0" containsBlank="1"/>
    </cacheField>
    <cacheField name="Q23 | b5. Staying with friends, temporary tenure | a. Without children" numFmtId="0">
      <sharedItems containsNonDate="0" containsString="0" containsBlank="1"/>
    </cacheField>
    <cacheField name="Q23 | b5. Staying with friends, temporary tenure | b. With children and adults" numFmtId="0">
      <sharedItems containsNonDate="0" containsString="0" containsBlank="1"/>
    </cacheField>
    <cacheField name="Q23 | b5. Staying with friends, temporary tenure | c. With only children" numFmtId="0">
      <sharedItems containsNonDate="0" containsString="0" containsBlank="1"/>
    </cacheField>
    <cacheField name="Q23 | b5. Staying with friends, temporary tenure | d. Unknown household type" numFmtId="0">
      <sharedItems containsNonDate="0" containsString="0" containsBlank="1"/>
    </cacheField>
    <cacheField name="Q23 | b6. Place not meant for human habitation | Total" numFmtId="0">
      <sharedItems containsNonDate="0" containsString="0" containsBlank="1"/>
    </cacheField>
    <cacheField name="Q23 | b6. Place not meant for human habitation | a. Without children" numFmtId="0">
      <sharedItems containsNonDate="0" containsString="0" containsBlank="1"/>
    </cacheField>
    <cacheField name="Q23 | b6. Place not meant for human habitation | b. With children and adults" numFmtId="0">
      <sharedItems containsNonDate="0" containsString="0" containsBlank="1"/>
    </cacheField>
    <cacheField name="Q23 | b6. Place not meant for human habitation | c. With only children" numFmtId="0">
      <sharedItems containsNonDate="0" containsString="0" containsBlank="1"/>
    </cacheField>
    <cacheField name="Q23 | b6. Place not meant for human habitation | d. Unknown household type" numFmtId="0">
      <sharedItems containsNonDate="0" containsString="0" containsBlank="1"/>
    </cacheField>
    <cacheField name="Q23 | b7. Safe Haven | Total" numFmtId="0">
      <sharedItems containsNonDate="0" containsString="0" containsBlank="1"/>
    </cacheField>
    <cacheField name="Q23 | b7. Safe Haven | a. Without children" numFmtId="0">
      <sharedItems containsNonDate="0" containsString="0" containsBlank="1"/>
    </cacheField>
    <cacheField name="Q23 | b7. Safe Haven | b. With children and adults" numFmtId="0">
      <sharedItems containsNonDate="0" containsString="0" containsBlank="1"/>
    </cacheField>
    <cacheField name="Q23 | b7. Safe Haven | c. With only children" numFmtId="0">
      <sharedItems containsNonDate="0" containsString="0" containsBlank="1"/>
    </cacheField>
    <cacheField name="Q23 | b7. Safe Haven | d. Unknown household type" numFmtId="0">
      <sharedItems containsNonDate="0" containsString="0" containsBlank="1"/>
    </cacheField>
    <cacheField name="Q23 | b8. Hotel or motel paid by client | Total" numFmtId="0">
      <sharedItems containsNonDate="0" containsString="0" containsBlank="1"/>
    </cacheField>
    <cacheField name="Q23 | b8. Hotel or motel paid by client | a. Without children" numFmtId="0">
      <sharedItems containsNonDate="0" containsString="0" containsBlank="1"/>
    </cacheField>
    <cacheField name="Q23 | b8. Hotel or motel paid by client | b. With children and adults" numFmtId="0">
      <sharedItems containsNonDate="0" containsString="0" containsBlank="1"/>
    </cacheField>
    <cacheField name="Q23 | b8. Hotel or motel paid by client | c. With only children" numFmtId="0">
      <sharedItems containsNonDate="0" containsString="0" containsBlank="1"/>
    </cacheField>
    <cacheField name="Q23 | b8. Hotel or motel paid by client | d. Unknown household type" numFmtId="0">
      <sharedItems containsNonDate="0" containsString="0" containsBlank="1"/>
    </cacheField>
    <cacheField name="Q23 | bz. Total | Total" numFmtId="0">
      <sharedItems containsNonDate="0" containsString="0" containsBlank="1"/>
    </cacheField>
    <cacheField name="Q23 | bz. Total | a. Without children" numFmtId="0">
      <sharedItems containsNonDate="0" containsString="0" containsBlank="1"/>
    </cacheField>
    <cacheField name="Q23 | bz. Total | b. With children and adults" numFmtId="0">
      <sharedItems containsNonDate="0" containsString="0" containsBlank="1"/>
    </cacheField>
    <cacheField name="Q23 | bz. Total | c. With only children" numFmtId="0">
      <sharedItems containsNonDate="0" containsString="0" containsBlank="1"/>
    </cacheField>
    <cacheField name="Q23 | bz. Total | d. Unknown household type" numFmtId="0">
      <sharedItems containsNonDate="0" containsString="0" containsBlank="1"/>
    </cacheField>
    <cacheField name="Q23 | c. Institutional settings | Total" numFmtId="0">
      <sharedItems containsNonDate="0" containsString="0" containsBlank="1"/>
    </cacheField>
    <cacheField name="Q23 | c. Institutional settings | a. Without children" numFmtId="0">
      <sharedItems containsNonDate="0" containsString="0" containsBlank="1"/>
    </cacheField>
    <cacheField name="Q23 | c. Institutional settings | b. With children and adults" numFmtId="0">
      <sharedItems containsNonDate="0" containsString="0" containsBlank="1"/>
    </cacheField>
    <cacheField name="Q23 | c. Institutional settings | c. With only children" numFmtId="0">
      <sharedItems containsNonDate="0" containsString="0" containsBlank="1"/>
    </cacheField>
    <cacheField name="Q23 | c. Institutional settings | d. Unknown household type" numFmtId="0">
      <sharedItems containsNonDate="0" containsString="0" containsBlank="1"/>
    </cacheField>
    <cacheField name="Q23 | c1. Foster care home or group foster care home | Total" numFmtId="0">
      <sharedItems containsNonDate="0" containsString="0" containsBlank="1"/>
    </cacheField>
    <cacheField name="Q23 | c1. Foster care home or group foster care home | a. Without children" numFmtId="0">
      <sharedItems containsNonDate="0" containsString="0" containsBlank="1"/>
    </cacheField>
    <cacheField name="Q23 | c1. Foster care home or group foster care home | b. With children and adults" numFmtId="0">
      <sharedItems containsNonDate="0" containsString="0" containsBlank="1"/>
    </cacheField>
    <cacheField name="Q23 | c1. Foster care home or group foster care home | c. With only children" numFmtId="0">
      <sharedItems containsNonDate="0" containsString="0" containsBlank="1"/>
    </cacheField>
    <cacheField name="Q23 | c1. Foster care home or group foster care home | d. Unknown household type" numFmtId="0">
      <sharedItems containsNonDate="0" containsString="0" containsBlank="1"/>
    </cacheField>
    <cacheField name="Q23 | c2. Psychiatric hospital or other psychiatric facility | Total" numFmtId="0">
      <sharedItems containsNonDate="0" containsString="0" containsBlank="1"/>
    </cacheField>
    <cacheField name="Q23 | c2. Psychiatric hospital or other psychiatric facility | a. Without children" numFmtId="0">
      <sharedItems containsNonDate="0" containsString="0" containsBlank="1"/>
    </cacheField>
    <cacheField name="Q23 | c2. Psychiatric hospital or other psychiatric facility | b. With children and adults" numFmtId="0">
      <sharedItems containsNonDate="0" containsString="0" containsBlank="1"/>
    </cacheField>
    <cacheField name="Q23 | c2. Psychiatric hospital or other psychiatric facility | c. With only children" numFmtId="0">
      <sharedItems containsNonDate="0" containsString="0" containsBlank="1"/>
    </cacheField>
    <cacheField name="Q23 | c2. Psychiatric hospital or other psychiatric facility | d. Unknown household type" numFmtId="0">
      <sharedItems containsNonDate="0" containsString="0" containsBlank="1"/>
    </cacheField>
    <cacheField name="Q23 | c3. Substance abuse treatment facility or detox center | Total" numFmtId="0">
      <sharedItems containsNonDate="0" containsString="0" containsBlank="1"/>
    </cacheField>
    <cacheField name="Q23 | c3. Substance abuse treatment facility or detox center | a. Without children" numFmtId="0">
      <sharedItems containsNonDate="0" containsString="0" containsBlank="1"/>
    </cacheField>
    <cacheField name="Q23 | c3. Substance abuse treatment facility or detox center | b. With children and adults" numFmtId="0">
      <sharedItems containsNonDate="0" containsString="0" containsBlank="1"/>
    </cacheField>
    <cacheField name="Q23 | c3. Substance abuse treatment facility or detox center | c. With only children" numFmtId="0">
      <sharedItems containsNonDate="0" containsString="0" containsBlank="1"/>
    </cacheField>
    <cacheField name="Q23 | c3. Substance abuse treatment facility or detox center | d. Unknown household type" numFmtId="0">
      <sharedItems containsNonDate="0" containsString="0" containsBlank="1"/>
    </cacheField>
    <cacheField name="Q23 | c4. Hospital or other residential non-psychiatric medical facility | Total" numFmtId="0">
      <sharedItems containsNonDate="0" containsString="0" containsBlank="1"/>
    </cacheField>
    <cacheField name="Q23 | c4. Hospital or other residential non-psychiatric medical facility | a. Without children" numFmtId="0">
      <sharedItems containsNonDate="0" containsString="0" containsBlank="1"/>
    </cacheField>
    <cacheField name="Q23 | c4. Hospital or other residential non-psychiatric medical facility | b. With children and adults" numFmtId="0">
      <sharedItems containsNonDate="0" containsString="0" containsBlank="1"/>
    </cacheField>
    <cacheField name="Q23 | c4. Hospital or other residential non-psychiatric medical facility | c. With only children" numFmtId="0">
      <sharedItems containsNonDate="0" containsString="0" containsBlank="1"/>
    </cacheField>
    <cacheField name="Q23 | c4. Hospital or other residential non-psychiatric medical facility | d. Unknown household type" numFmtId="0">
      <sharedItems containsNonDate="0" containsString="0" containsBlank="1"/>
    </cacheField>
    <cacheField name="Q23 | c5. Jail, prison or juvenile detention facility | Total" numFmtId="0">
      <sharedItems containsNonDate="0" containsString="0" containsBlank="1"/>
    </cacheField>
    <cacheField name="Q23 | c5. Jail, prison or juvenile detention facility | a. Without children" numFmtId="0">
      <sharedItems containsNonDate="0" containsString="0" containsBlank="1"/>
    </cacheField>
    <cacheField name="Q23 | c5. Jail, prison or juvenile detention facility | b. With children and adults" numFmtId="0">
      <sharedItems containsNonDate="0" containsString="0" containsBlank="1"/>
    </cacheField>
    <cacheField name="Q23 | c5. Jail, prison or juvenile detention facility | c. With only children" numFmtId="0">
      <sharedItems containsNonDate="0" containsString="0" containsBlank="1"/>
    </cacheField>
    <cacheField name="Q23 | c5. Jail, prison or juvenile detention facility | d. Unknown household type" numFmtId="0">
      <sharedItems containsNonDate="0" containsString="0" containsBlank="1"/>
    </cacheField>
    <cacheField name="Q23 | c6. Long term care facility or nursing home | Total" numFmtId="0">
      <sharedItems containsNonDate="0" containsString="0" containsBlank="1"/>
    </cacheField>
    <cacheField name="Q23 | c6. Long term care facility or nursing home | a. Without children" numFmtId="0">
      <sharedItems containsNonDate="0" containsString="0" containsBlank="1"/>
    </cacheField>
    <cacheField name="Q23 | c6. Long term care facility or nursing home | b. With children and adults" numFmtId="0">
      <sharedItems containsNonDate="0" containsString="0" containsBlank="1"/>
    </cacheField>
    <cacheField name="Q23 | c6. Long term care facility or nursing home | c. With only children" numFmtId="0">
      <sharedItems containsNonDate="0" containsString="0" containsBlank="1"/>
    </cacheField>
    <cacheField name="Q23 | c6. Long term care facility or nursing home | d. Unknown household type" numFmtId="0">
      <sharedItems containsNonDate="0" containsString="0" containsBlank="1"/>
    </cacheField>
    <cacheField name="Q23 | cz. Total | Total" numFmtId="0">
      <sharedItems containsNonDate="0" containsString="0" containsBlank="1"/>
    </cacheField>
    <cacheField name="Q23 | cz. Total | a. Without children" numFmtId="0">
      <sharedItems containsNonDate="0" containsString="0" containsBlank="1"/>
    </cacheField>
    <cacheField name="Q23 | cz. Total | b. With children and adults" numFmtId="0">
      <sharedItems containsNonDate="0" containsString="0" containsBlank="1"/>
    </cacheField>
    <cacheField name="Q23 | cz. Total | c. With only children" numFmtId="0">
      <sharedItems containsNonDate="0" containsString="0" containsBlank="1"/>
    </cacheField>
    <cacheField name="Q23 | cz. Total | d. Unknown household type" numFmtId="0">
      <sharedItems containsNonDate="0" containsString="0" containsBlank="1"/>
    </cacheField>
    <cacheField name="Q23 | d. Other destinations | Total" numFmtId="0">
      <sharedItems containsNonDate="0" containsString="0" containsBlank="1"/>
    </cacheField>
    <cacheField name="Q23 | d. Other destinations | a. Without children" numFmtId="0">
      <sharedItems containsNonDate="0" containsString="0" containsBlank="1"/>
    </cacheField>
    <cacheField name="Q23 | d. Other destinations | b. With children and adults" numFmtId="0">
      <sharedItems containsNonDate="0" containsString="0" containsBlank="1"/>
    </cacheField>
    <cacheField name="Q23 | d. Other destinations | c. With only children" numFmtId="0">
      <sharedItems containsNonDate="0" containsString="0" containsBlank="1"/>
    </cacheField>
    <cacheField name="Q23 | d. Other destinations | d. Unknown household type" numFmtId="0">
      <sharedItems containsNonDate="0" containsString="0" containsBlank="1"/>
    </cacheField>
    <cacheField name="Q23 | d1. Residential project or halfway house with no homeless criteria | Total" numFmtId="0">
      <sharedItems containsNonDate="0" containsString="0" containsBlank="1"/>
    </cacheField>
    <cacheField name="Q23 | d1. Residential project or halfway house with no homeless criteria | a. Without children" numFmtId="0">
      <sharedItems containsNonDate="0" containsString="0" containsBlank="1"/>
    </cacheField>
    <cacheField name="Q23 | d1. Residential project or halfway house with no homeless criteria | b. With children and adults" numFmtId="0">
      <sharedItems containsNonDate="0" containsString="0" containsBlank="1"/>
    </cacheField>
    <cacheField name="Q23 | d1. Residential project or halfway house with no homeless criteria | c. With only children" numFmtId="0">
      <sharedItems containsNonDate="0" containsString="0" containsBlank="1"/>
    </cacheField>
    <cacheField name="Q23 | d1. Residential project or halfway house with no homeless criteria | d. Unknown household type" numFmtId="0">
      <sharedItems containsNonDate="0" containsString="0" containsBlank="1"/>
    </cacheField>
    <cacheField name="Q23 | d2. Deceased | Total" numFmtId="0">
      <sharedItems containsNonDate="0" containsString="0" containsBlank="1"/>
    </cacheField>
    <cacheField name="Q23 | d2. Deceased | a. Without children" numFmtId="0">
      <sharedItems containsNonDate="0" containsString="0" containsBlank="1"/>
    </cacheField>
    <cacheField name="Q23 | d2. Deceased | b. With children and adults" numFmtId="0">
      <sharedItems containsNonDate="0" containsString="0" containsBlank="1"/>
    </cacheField>
    <cacheField name="Q23 | d2. Deceased | c. With only children" numFmtId="0">
      <sharedItems containsNonDate="0" containsString="0" containsBlank="1"/>
    </cacheField>
    <cacheField name="Q23 | d2. Deceased | d. Unknown household type" numFmtId="0">
      <sharedItems containsNonDate="0" containsString="0" containsBlank="1"/>
    </cacheField>
    <cacheField name="Q23 | d3. Other | Total" numFmtId="0">
      <sharedItems containsNonDate="0" containsString="0" containsBlank="1"/>
    </cacheField>
    <cacheField name="Q23 | d3. Other | a. Without children" numFmtId="0">
      <sharedItems containsNonDate="0" containsString="0" containsBlank="1"/>
    </cacheField>
    <cacheField name="Q23 | d3. Other | b. With children and adults" numFmtId="0">
      <sharedItems containsNonDate="0" containsString="0" containsBlank="1"/>
    </cacheField>
    <cacheField name="Q23 | d3. Other | c. With only children" numFmtId="0">
      <sharedItems containsNonDate="0" containsString="0" containsBlank="1"/>
    </cacheField>
    <cacheField name="Q23 | d3. Other | d. Unknown household type" numFmtId="0">
      <sharedItems containsNonDate="0" containsString="0" containsBlank="1"/>
    </cacheField>
    <cacheField name="Q23 | d4. Don't know / refused | Total" numFmtId="0">
      <sharedItems containsNonDate="0" containsString="0" containsBlank="1"/>
    </cacheField>
    <cacheField name="Q23 | d4. Don't know / refused | a. Without children" numFmtId="0">
      <sharedItems containsNonDate="0" containsString="0" containsBlank="1"/>
    </cacheField>
    <cacheField name="Q23 | d4. Don't know / refused | b. With children and adults" numFmtId="0">
      <sharedItems containsNonDate="0" containsString="0" containsBlank="1"/>
    </cacheField>
    <cacheField name="Q23 | d4. Don't know / refused | c. With only children" numFmtId="0">
      <sharedItems containsNonDate="0" containsString="0" containsBlank="1"/>
    </cacheField>
    <cacheField name="Q23 | d4. Don't know / refused | d. Unknown household type" numFmtId="0">
      <sharedItems containsNonDate="0" containsString="0" containsBlank="1"/>
    </cacheField>
    <cacheField name="Q23 | d5. Information missing | Total" numFmtId="0">
      <sharedItems containsNonDate="0" containsString="0" containsBlank="1"/>
    </cacheField>
    <cacheField name="Q23 | d5. Information missing | a. Without children" numFmtId="0">
      <sharedItems containsNonDate="0" containsString="0" containsBlank="1"/>
    </cacheField>
    <cacheField name="Q23 | d5. Information missing | b. With children and adults" numFmtId="0">
      <sharedItems containsNonDate="0" containsString="0" containsBlank="1"/>
    </cacheField>
    <cacheField name="Q23 | d5. Information missing | c. With only children" numFmtId="0">
      <sharedItems containsNonDate="0" containsString="0" containsBlank="1"/>
    </cacheField>
    <cacheField name="Q23 | d5. Information missing | d. Unknown household type" numFmtId="0">
      <sharedItems containsNonDate="0" containsString="0" containsBlank="1"/>
    </cacheField>
    <cacheField name="Q23 | dz. Total | Total" numFmtId="0">
      <sharedItems containsNonDate="0" containsString="0" containsBlank="1"/>
    </cacheField>
    <cacheField name="Q23 | dz. Total | a. Without children" numFmtId="0">
      <sharedItems containsNonDate="0" containsString="0" containsBlank="1"/>
    </cacheField>
    <cacheField name="Q23 | dz. Total | b. With children and adults" numFmtId="0">
      <sharedItems containsNonDate="0" containsString="0" containsBlank="1"/>
    </cacheField>
    <cacheField name="Q23 | dz. Total | c. With only children" numFmtId="0">
      <sharedItems containsNonDate="0" containsString="0" containsBlank="1"/>
    </cacheField>
    <cacheField name="Q23 | dz. Total | d. Unknown household type" numFmtId="0">
      <sharedItems containsNonDate="0" containsString="0" containsBlank="1"/>
    </cacheField>
    <cacheField name="Q23 | e. Total | Total" numFmtId="0">
      <sharedItems containsNonDate="0" containsString="0" containsBlank="1"/>
    </cacheField>
    <cacheField name="Q23 | e. Total | a. Without children" numFmtId="0">
      <sharedItems containsNonDate="0" containsString="0" containsBlank="1"/>
    </cacheField>
    <cacheField name="Q23 | e. Total | b. With children and adults" numFmtId="0">
      <sharedItems containsNonDate="0" containsString="0" containsBlank="1"/>
    </cacheField>
    <cacheField name="Q23 | e. Total | c. With only children" numFmtId="0">
      <sharedItems containsNonDate="0" containsString="0" containsBlank="1"/>
    </cacheField>
    <cacheField name="Q23 | e. Total | d. Unknown household type" numFmtId="0">
      <sharedItems containsNonDate="0" containsString="0" containsBlank="1"/>
    </cacheField>
    <cacheField name="Q23a | a. Permanent destinations | Total" numFmtId="0">
      <sharedItems containsNonDate="0" containsString="0" containsBlank="1"/>
    </cacheField>
    <cacheField name="Q23a | a. Permanent destinations | a. Without children" numFmtId="0">
      <sharedItems containsNonDate="0" containsString="0" containsBlank="1"/>
    </cacheField>
    <cacheField name="Q23a | a. Permanent destinations | b. With children and adults" numFmtId="0">
      <sharedItems containsNonDate="0" containsString="0" containsBlank="1"/>
    </cacheField>
    <cacheField name="Q23a | a. Permanent destinations | c. With only children" numFmtId="0">
      <sharedItems containsNonDate="0" containsString="0" containsBlank="1"/>
    </cacheField>
    <cacheField name="Q23a | a. Permanent destinations | d. Unknown household type" numFmtId="0">
      <sharedItems containsNonDate="0" containsString="0" containsBlank="1"/>
    </cacheField>
    <cacheField name="Q23a | a01. Moved from one HOPWA funded project to HOPWA PH | Total" numFmtId="0">
      <sharedItems containsNonDate="0" containsString="0" containsBlank="1"/>
    </cacheField>
    <cacheField name="Q23a | a01. Moved from one HOPWA funded project to HOPWA PH | a. Without children" numFmtId="0">
      <sharedItems containsNonDate="0" containsString="0" containsBlank="1"/>
    </cacheField>
    <cacheField name="Q23a | a01. Moved from one HOPWA funded project to HOPWA PH | b. With children and adults" numFmtId="0">
      <sharedItems containsNonDate="0" containsString="0" containsBlank="1"/>
    </cacheField>
    <cacheField name="Q23a | a01. Moved from one HOPWA funded project to HOPWA PH | c. With only children" numFmtId="0">
      <sharedItems containsNonDate="0" containsString="0" containsBlank="1"/>
    </cacheField>
    <cacheField name="Q23a | a01. Moved from one HOPWA funded project to HOPWA PH | d. Unknown household type" numFmtId="0">
      <sharedItems containsNonDate="0" containsString="0" containsBlank="1"/>
    </cacheField>
    <cacheField name="Q23a | a02. Owned by client, no ongoing subsidy | Total" numFmtId="0">
      <sharedItems containsNonDate="0" containsString="0" containsBlank="1"/>
    </cacheField>
    <cacheField name="Q23a | a02. Owned by client, no ongoing subsidy | a. Without children" numFmtId="0">
      <sharedItems containsNonDate="0" containsString="0" containsBlank="1"/>
    </cacheField>
    <cacheField name="Q23a | a02. Owned by client, no ongoing subsidy | b. With children and adults" numFmtId="0">
      <sharedItems containsNonDate="0" containsString="0" containsBlank="1"/>
    </cacheField>
    <cacheField name="Q23a | a02. Owned by client, no ongoing subsidy | c. With only children" numFmtId="0">
      <sharedItems containsNonDate="0" containsString="0" containsBlank="1"/>
    </cacheField>
    <cacheField name="Q23a | a02. Owned by client, no ongoing subsidy | d. Unknown household type" numFmtId="0">
      <sharedItems containsNonDate="0" containsString="0" containsBlank="1"/>
    </cacheField>
    <cacheField name="Q23a | a03. Owned by client, with ongoing subsidy | Total" numFmtId="0">
      <sharedItems containsNonDate="0" containsString="0" containsBlank="1"/>
    </cacheField>
    <cacheField name="Q23a | a03. Owned by client, with ongoing subsidy | a. Without children" numFmtId="0">
      <sharedItems containsNonDate="0" containsString="0" containsBlank="1"/>
    </cacheField>
    <cacheField name="Q23a | a03. Owned by client, with ongoing subsidy | b. With children and adults" numFmtId="0">
      <sharedItems containsNonDate="0" containsString="0" containsBlank="1"/>
    </cacheField>
    <cacheField name="Q23a | a03. Owned by client, with ongoing subsidy | c. With only children" numFmtId="0">
      <sharedItems containsNonDate="0" containsString="0" containsBlank="1"/>
    </cacheField>
    <cacheField name="Q23a | a03. Owned by client, with ongoing subsidy | d. Unknown household type" numFmtId="0">
      <sharedItems containsNonDate="0" containsString="0" containsBlank="1"/>
    </cacheField>
    <cacheField name="Q23a | a04. Rental by client, no ongoing subsidy | Total" numFmtId="0">
      <sharedItems containsNonDate="0" containsString="0" containsBlank="1"/>
    </cacheField>
    <cacheField name="Q23a | a04. Rental by client, no ongoing subsidy | a. Without children" numFmtId="0">
      <sharedItems containsNonDate="0" containsString="0" containsBlank="1"/>
    </cacheField>
    <cacheField name="Q23a | a04. Rental by client, no ongoing subsidy | b. With children and adults" numFmtId="0">
      <sharedItems containsNonDate="0" containsString="0" containsBlank="1"/>
    </cacheField>
    <cacheField name="Q23a | a04. Rental by client, no ongoing subsidy | c. With only children" numFmtId="0">
      <sharedItems containsNonDate="0" containsString="0" containsBlank="1"/>
    </cacheField>
    <cacheField name="Q23a | a04. Rental by client, no ongoing subsidy | d. Unknown household type" numFmtId="0">
      <sharedItems containsNonDate="0" containsString="0" containsBlank="1"/>
    </cacheField>
    <cacheField name="Q23a | a05. Rental by client, VASH subsidy | Total" numFmtId="0">
      <sharedItems containsNonDate="0" containsString="0" containsBlank="1"/>
    </cacheField>
    <cacheField name="Q23a | a05. Rental by client, VASH subsidy | a. Without children" numFmtId="0">
      <sharedItems containsNonDate="0" containsString="0" containsBlank="1"/>
    </cacheField>
    <cacheField name="Q23a | a05. Rental by client, VASH subsidy | b. With children and adults" numFmtId="0">
      <sharedItems containsNonDate="0" containsString="0" containsBlank="1"/>
    </cacheField>
    <cacheField name="Q23a | a05. Rental by client, VASH subsidy | c. With only children" numFmtId="0">
      <sharedItems containsNonDate="0" containsString="0" containsBlank="1"/>
    </cacheField>
    <cacheField name="Q23a | a05. Rental by client, VASH subsidy | d. Unknown household type" numFmtId="0">
      <sharedItems containsNonDate="0" containsString="0" containsBlank="1"/>
    </cacheField>
    <cacheField name="Q23a | a06. Rental by client, with GPD TIP housing subsidy | Total" numFmtId="0">
      <sharedItems containsNonDate="0" containsString="0" containsBlank="1"/>
    </cacheField>
    <cacheField name="Q23a | a06. Rental by client, with GPD TIP housing subsidy | a. Without children" numFmtId="0">
      <sharedItems containsNonDate="0" containsString="0" containsBlank="1"/>
    </cacheField>
    <cacheField name="Q23a | a06. Rental by client, with GPD TIP housing subsidy | b. With children and adults" numFmtId="0">
      <sharedItems containsNonDate="0" containsString="0" containsBlank="1"/>
    </cacheField>
    <cacheField name="Q23a | a06. Rental by client, with GPD TIP housing subsidy | c. With only children" numFmtId="0">
      <sharedItems containsNonDate="0" containsString="0" containsBlank="1"/>
    </cacheField>
    <cacheField name="Q23a | a06. Rental by client, with GPD TIP housing subsidy | d. Unknown household type" numFmtId="0">
      <sharedItems containsNonDate="0" containsString="0" containsBlank="1"/>
    </cacheField>
    <cacheField name="Q23a | a07. Rental by client, other ongoing subsidy | Total" numFmtId="0">
      <sharedItems containsNonDate="0" containsString="0" containsBlank="1"/>
    </cacheField>
    <cacheField name="Q23a | a07. Rental by client, other ongoing subsidy | a. Without children" numFmtId="0">
      <sharedItems containsNonDate="0" containsString="0" containsBlank="1"/>
    </cacheField>
    <cacheField name="Q23a | a07. Rental by client, other ongoing subsidy | b. With children and adults" numFmtId="0">
      <sharedItems containsNonDate="0" containsString="0" containsBlank="1"/>
    </cacheField>
    <cacheField name="Q23a | a07. Rental by client, other ongoing subsidy | c. With only children" numFmtId="0">
      <sharedItems containsNonDate="0" containsString="0" containsBlank="1"/>
    </cacheField>
    <cacheField name="Q23a | a07. Rental by client, other ongoing subsidy | d. Unknown household type" numFmtId="0">
      <sharedItems containsNonDate="0" containsString="0" containsBlank="1"/>
    </cacheField>
    <cacheField name="Q23a | a08. Permanent housing for homeless persons | Total" numFmtId="0">
      <sharedItems containsNonDate="0" containsString="0" containsBlank="1"/>
    </cacheField>
    <cacheField name="Q23a | a08. Permanent housing for homeless persons | a. Without children" numFmtId="0">
      <sharedItems containsNonDate="0" containsString="0" containsBlank="1"/>
    </cacheField>
    <cacheField name="Q23a | a08. Permanent housing for homeless persons | b. With children and adults" numFmtId="0">
      <sharedItems containsNonDate="0" containsString="0" containsBlank="1"/>
    </cacheField>
    <cacheField name="Q23a | a08. Permanent housing for homeless persons | c. With only children" numFmtId="0">
      <sharedItems containsNonDate="0" containsString="0" containsBlank="1"/>
    </cacheField>
    <cacheField name="Q23a | a08. Permanent housing for homeless persons | d. Unknown household type" numFmtId="0">
      <sharedItems containsNonDate="0" containsString="0" containsBlank="1"/>
    </cacheField>
    <cacheField name="Q23a | a09. Staying or living with family, permanent tenure | Total" numFmtId="0">
      <sharedItems containsNonDate="0" containsString="0" containsBlank="1"/>
    </cacheField>
    <cacheField name="Q23a | a09. Staying or living with family, permanent tenure | a. Without children" numFmtId="0">
      <sharedItems containsNonDate="0" containsString="0" containsBlank="1"/>
    </cacheField>
    <cacheField name="Q23a | a09. Staying or living with family, permanent tenure | b. With children and adults" numFmtId="0">
      <sharedItems containsNonDate="0" containsString="0" containsBlank="1"/>
    </cacheField>
    <cacheField name="Q23a | a09. Staying or living with family, permanent tenure | c. With only children" numFmtId="0">
      <sharedItems containsNonDate="0" containsString="0" containsBlank="1"/>
    </cacheField>
    <cacheField name="Q23a | a09. Staying or living with family, permanent tenure | d. Unknown household type" numFmtId="0">
      <sharedItems containsNonDate="0" containsString="0" containsBlank="1"/>
    </cacheField>
    <cacheField name="Q23a | a10. Staying or living with friends, permanent tenure | Total" numFmtId="0">
      <sharedItems containsNonDate="0" containsString="0" containsBlank="1"/>
    </cacheField>
    <cacheField name="Q23a | a10. Staying or living with friends, permanent tenure | a. Without children" numFmtId="0">
      <sharedItems containsNonDate="0" containsString="0" containsBlank="1"/>
    </cacheField>
    <cacheField name="Q23a | a10. Staying or living with friends, permanent tenure | b. With children and adults" numFmtId="0">
      <sharedItems containsNonDate="0" containsString="0" containsBlank="1"/>
    </cacheField>
    <cacheField name="Q23a | a10. Staying or living with friends, permanent tenure | c. With only children" numFmtId="0">
      <sharedItems containsNonDate="0" containsString="0" containsBlank="1"/>
    </cacheField>
    <cacheField name="Q23a | a10. Staying or living with friends, permanent tenure | d. Unknown household type" numFmtId="0">
      <sharedItems containsNonDate="0" containsString="0" containsBlank="1"/>
    </cacheField>
    <cacheField name="Q23a | az. Total | Total" numFmtId="0">
      <sharedItems containsNonDate="0" containsString="0" containsBlank="1"/>
    </cacheField>
    <cacheField name="Q23a | az. Total | a. Without children" numFmtId="0">
      <sharedItems containsNonDate="0" containsString="0" containsBlank="1"/>
    </cacheField>
    <cacheField name="Q23a | az. Total | b. With children and adults" numFmtId="0">
      <sharedItems containsNonDate="0" containsString="0" containsBlank="1"/>
    </cacheField>
    <cacheField name="Q23a | az. Total | c. With only children" numFmtId="0">
      <sharedItems containsNonDate="0" containsString="0" containsBlank="1"/>
    </cacheField>
    <cacheField name="Q23a | az. Total | d. Unknown household type" numFmtId="0">
      <sharedItems containsNonDate="0" containsString="0" containsBlank="1"/>
    </cacheField>
    <cacheField name="Q23a | b. Temporary destinations | Total" numFmtId="0">
      <sharedItems containsNonDate="0" containsString="0" containsBlank="1"/>
    </cacheField>
    <cacheField name="Q23a | b. Temporary destinations | a. Without children" numFmtId="0">
      <sharedItems containsNonDate="0" containsString="0" containsBlank="1"/>
    </cacheField>
    <cacheField name="Q23a | b. Temporary destinations | b. With children and adults" numFmtId="0">
      <sharedItems containsNonDate="0" containsString="0" containsBlank="1"/>
    </cacheField>
    <cacheField name="Q23a | b. Temporary destinations | c. With only children" numFmtId="0">
      <sharedItems containsNonDate="0" containsString="0" containsBlank="1"/>
    </cacheField>
    <cacheField name="Q23a | b. Temporary destinations | d. Unknown household type" numFmtId="0">
      <sharedItems containsNonDate="0" containsString="0" containsBlank="1"/>
    </cacheField>
    <cacheField name="Q23a | b1. Emergency shelter | Total" numFmtId="0">
      <sharedItems containsNonDate="0" containsString="0" containsBlank="1"/>
    </cacheField>
    <cacheField name="Q23a | b1. Emergency shelter | a. Without children" numFmtId="0">
      <sharedItems containsNonDate="0" containsString="0" containsBlank="1"/>
    </cacheField>
    <cacheField name="Q23a | b1. Emergency shelter | b. With children and adults" numFmtId="0">
      <sharedItems containsNonDate="0" containsString="0" containsBlank="1"/>
    </cacheField>
    <cacheField name="Q23a | b1. Emergency shelter | c. With only children" numFmtId="0">
      <sharedItems containsNonDate="0" containsString="0" containsBlank="1"/>
    </cacheField>
    <cacheField name="Q23a | b1. Emergency shelter | d. Unknown household type" numFmtId="0">
      <sharedItems containsNonDate="0" containsString="0" containsBlank="1"/>
    </cacheField>
    <cacheField name="Q23a | b2. Moved from one HOPWA  funded project to HOPWA TH | Total" numFmtId="0">
      <sharedItems containsNonDate="0" containsString="0" containsBlank="1"/>
    </cacheField>
    <cacheField name="Q23a | b2. Moved from one HOPWA  funded project to HOPWA TH | a. Without children" numFmtId="0">
      <sharedItems containsNonDate="0" containsString="0" containsBlank="1"/>
    </cacheField>
    <cacheField name="Q23a | b2. Moved from one HOPWA  funded project to HOPWA TH | b. With children and adults" numFmtId="0">
      <sharedItems containsNonDate="0" containsString="0" containsBlank="1"/>
    </cacheField>
    <cacheField name="Q23a | b2. Moved from one HOPWA  funded project to HOPWA TH | c. With only children" numFmtId="0">
      <sharedItems containsNonDate="0" containsString="0" containsBlank="1"/>
    </cacheField>
    <cacheField name="Q23a | b2. Moved from one HOPWA  funded project to HOPWA TH | d. Unknown household type" numFmtId="0">
      <sharedItems containsNonDate="0" containsString="0" containsBlank="1"/>
    </cacheField>
    <cacheField name="Q23a | b3. Transitional housing for homeless persons | Total" numFmtId="0">
      <sharedItems containsNonDate="0" containsString="0" containsBlank="1"/>
    </cacheField>
    <cacheField name="Q23a | b3. Transitional housing for homeless persons | a. Without children" numFmtId="0">
      <sharedItems containsNonDate="0" containsString="0" containsBlank="1"/>
    </cacheField>
    <cacheField name="Q23a | b3. Transitional housing for homeless persons | b. With children and adults" numFmtId="0">
      <sharedItems containsNonDate="0" containsString="0" containsBlank="1"/>
    </cacheField>
    <cacheField name="Q23a | b3. Transitional housing for homeless persons | c. With only children" numFmtId="0">
      <sharedItems containsNonDate="0" containsString="0" containsBlank="1"/>
    </cacheField>
    <cacheField name="Q23a | b3. Transitional housing for homeless persons | d. Unknown household type" numFmtId="0">
      <sharedItems containsNonDate="0" containsString="0" containsBlank="1"/>
    </cacheField>
    <cacheField name="Q23a | b4. Staying with family, temporary tenure | Total" numFmtId="0">
      <sharedItems containsNonDate="0" containsString="0" containsBlank="1"/>
    </cacheField>
    <cacheField name="Q23a | b4. Staying with family, temporary tenure | a. Without children" numFmtId="0">
      <sharedItems containsNonDate="0" containsString="0" containsBlank="1"/>
    </cacheField>
    <cacheField name="Q23a | b4. Staying with family, temporary tenure | b. With children and adults" numFmtId="0">
      <sharedItems containsNonDate="0" containsString="0" containsBlank="1"/>
    </cacheField>
    <cacheField name="Q23a | b4. Staying with family, temporary tenure | c. With only children" numFmtId="0">
      <sharedItems containsNonDate="0" containsString="0" containsBlank="1"/>
    </cacheField>
    <cacheField name="Q23a | b4. Staying with family, temporary tenure | d. Unknown household type" numFmtId="0">
      <sharedItems containsNonDate="0" containsString="0" containsBlank="1"/>
    </cacheField>
    <cacheField name="Q23a | b5. Staying with friends, temporary tenure | Total" numFmtId="0">
      <sharedItems containsNonDate="0" containsString="0" containsBlank="1"/>
    </cacheField>
    <cacheField name="Q23a | b5. Staying with friends, temporary tenure | a. Without children" numFmtId="0">
      <sharedItems containsNonDate="0" containsString="0" containsBlank="1"/>
    </cacheField>
    <cacheField name="Q23a | b5. Staying with friends, temporary tenure | b. With children and adults" numFmtId="0">
      <sharedItems containsNonDate="0" containsString="0" containsBlank="1"/>
    </cacheField>
    <cacheField name="Q23a | b5. Staying with friends, temporary tenure | c. With only children" numFmtId="0">
      <sharedItems containsNonDate="0" containsString="0" containsBlank="1"/>
    </cacheField>
    <cacheField name="Q23a | b5. Staying with friends, temporary tenure | d. Unknown household type" numFmtId="0">
      <sharedItems containsNonDate="0" containsString="0" containsBlank="1"/>
    </cacheField>
    <cacheField name="Q23a | b6. Place not meant for human habitation | Total" numFmtId="0">
      <sharedItems containsNonDate="0" containsString="0" containsBlank="1"/>
    </cacheField>
    <cacheField name="Q23a | b6. Place not meant for human habitation | a. Without children" numFmtId="0">
      <sharedItems containsNonDate="0" containsString="0" containsBlank="1"/>
    </cacheField>
    <cacheField name="Q23a | b6. Place not meant for human habitation | b. With children and adults" numFmtId="0">
      <sharedItems containsNonDate="0" containsString="0" containsBlank="1"/>
    </cacheField>
    <cacheField name="Q23a | b6. Place not meant for human habitation | c. With only children" numFmtId="0">
      <sharedItems containsNonDate="0" containsString="0" containsBlank="1"/>
    </cacheField>
    <cacheField name="Q23a | b6. Place not meant for human habitation | d. Unknown household type" numFmtId="0">
      <sharedItems containsNonDate="0" containsString="0" containsBlank="1"/>
    </cacheField>
    <cacheField name="Q23a | b7. Safe Haven | Total" numFmtId="0">
      <sharedItems containsNonDate="0" containsString="0" containsBlank="1"/>
    </cacheField>
    <cacheField name="Q23a | b7. Safe Haven | a. Without children" numFmtId="0">
      <sharedItems containsNonDate="0" containsString="0" containsBlank="1"/>
    </cacheField>
    <cacheField name="Q23a | b7. Safe Haven | b. With children and adults" numFmtId="0">
      <sharedItems containsNonDate="0" containsString="0" containsBlank="1"/>
    </cacheField>
    <cacheField name="Q23a | b7. Safe Haven | c. With only children" numFmtId="0">
      <sharedItems containsNonDate="0" containsString="0" containsBlank="1"/>
    </cacheField>
    <cacheField name="Q23a | b7. Safe Haven | d. Unknown household type" numFmtId="0">
      <sharedItems containsNonDate="0" containsString="0" containsBlank="1"/>
    </cacheField>
    <cacheField name="Q23a | b8. Hotel or motel paid by client | Total" numFmtId="0">
      <sharedItems containsNonDate="0" containsString="0" containsBlank="1"/>
    </cacheField>
    <cacheField name="Q23a | b8. Hotel or motel paid by client | a. Without children" numFmtId="0">
      <sharedItems containsNonDate="0" containsString="0" containsBlank="1"/>
    </cacheField>
    <cacheField name="Q23a | b8. Hotel or motel paid by client | b. With children and adults" numFmtId="0">
      <sharedItems containsNonDate="0" containsString="0" containsBlank="1"/>
    </cacheField>
    <cacheField name="Q23a | b8. Hotel or motel paid by client | c. With only children" numFmtId="0">
      <sharedItems containsNonDate="0" containsString="0" containsBlank="1"/>
    </cacheField>
    <cacheField name="Q23a | b8. Hotel or motel paid by client | d. Unknown household type" numFmtId="0">
      <sharedItems containsNonDate="0" containsString="0" containsBlank="1"/>
    </cacheField>
    <cacheField name="Q23a | bz. Total | Total" numFmtId="0">
      <sharedItems containsNonDate="0" containsString="0" containsBlank="1"/>
    </cacheField>
    <cacheField name="Q23a | bz. Total | a. Without children" numFmtId="0">
      <sharedItems containsNonDate="0" containsString="0" containsBlank="1"/>
    </cacheField>
    <cacheField name="Q23a | bz. Total | b. With children and adults" numFmtId="0">
      <sharedItems containsNonDate="0" containsString="0" containsBlank="1"/>
    </cacheField>
    <cacheField name="Q23a | bz. Total | c. With only children" numFmtId="0">
      <sharedItems containsNonDate="0" containsString="0" containsBlank="1"/>
    </cacheField>
    <cacheField name="Q23a | bz. Total | d. Unknown household type" numFmtId="0">
      <sharedItems containsNonDate="0" containsString="0" containsBlank="1"/>
    </cacheField>
    <cacheField name="Q23a | c. Institutional settings | Total" numFmtId="0">
      <sharedItems containsNonDate="0" containsString="0" containsBlank="1"/>
    </cacheField>
    <cacheField name="Q23a | c. Institutional settings | a. Without children" numFmtId="0">
      <sharedItems containsNonDate="0" containsString="0" containsBlank="1"/>
    </cacheField>
    <cacheField name="Q23a | c. Institutional settings | b. With children and adults" numFmtId="0">
      <sharedItems containsNonDate="0" containsString="0" containsBlank="1"/>
    </cacheField>
    <cacheField name="Q23a | c. Institutional settings | c. With only children" numFmtId="0">
      <sharedItems containsNonDate="0" containsString="0" containsBlank="1"/>
    </cacheField>
    <cacheField name="Q23a | c. Institutional settings | d. Unknown household type" numFmtId="0">
      <sharedItems containsNonDate="0" containsString="0" containsBlank="1"/>
    </cacheField>
    <cacheField name="Q23a | c1. Foster care home or group foster care home | Total" numFmtId="0">
      <sharedItems containsNonDate="0" containsString="0" containsBlank="1"/>
    </cacheField>
    <cacheField name="Q23a | c1. Foster care home or group foster care home | a. Without children" numFmtId="0">
      <sharedItems containsNonDate="0" containsString="0" containsBlank="1"/>
    </cacheField>
    <cacheField name="Q23a | c1. Foster care home or group foster care home | b. With children and adults" numFmtId="0">
      <sharedItems containsNonDate="0" containsString="0" containsBlank="1"/>
    </cacheField>
    <cacheField name="Q23a | c1. Foster care home or group foster care home | c. With only children" numFmtId="0">
      <sharedItems containsNonDate="0" containsString="0" containsBlank="1"/>
    </cacheField>
    <cacheField name="Q23a | c1. Foster care home or group foster care home | d. Unknown household type" numFmtId="0">
      <sharedItems containsNonDate="0" containsString="0" containsBlank="1"/>
    </cacheField>
    <cacheField name="Q23a | c2. Psychiatric hospital or other psychiatric facility | Total" numFmtId="0">
      <sharedItems containsNonDate="0" containsString="0" containsBlank="1"/>
    </cacheField>
    <cacheField name="Q23a | c2. Psychiatric hospital or other psychiatric facility | a. Without children" numFmtId="0">
      <sharedItems containsNonDate="0" containsString="0" containsBlank="1"/>
    </cacheField>
    <cacheField name="Q23a | c2. Psychiatric hospital or other psychiatric facility | b. With children and adults" numFmtId="0">
      <sharedItems containsNonDate="0" containsString="0" containsBlank="1"/>
    </cacheField>
    <cacheField name="Q23a | c2. Psychiatric hospital or other psychiatric facility | c. With only children" numFmtId="0">
      <sharedItems containsNonDate="0" containsString="0" containsBlank="1"/>
    </cacheField>
    <cacheField name="Q23a | c2. Psychiatric hospital or other psychiatric facility | d. Unknown household type" numFmtId="0">
      <sharedItems containsNonDate="0" containsString="0" containsBlank="1"/>
    </cacheField>
    <cacheField name="Q23a | c3. Substance abuse treatment facility or detox center | Total" numFmtId="0">
      <sharedItems containsNonDate="0" containsString="0" containsBlank="1"/>
    </cacheField>
    <cacheField name="Q23a | c3. Substance abuse treatment facility or detox center | a. Without children" numFmtId="0">
      <sharedItems containsNonDate="0" containsString="0" containsBlank="1"/>
    </cacheField>
    <cacheField name="Q23a | c3. Substance abuse treatment facility or detox center | b. With children and adults" numFmtId="0">
      <sharedItems containsNonDate="0" containsString="0" containsBlank="1"/>
    </cacheField>
    <cacheField name="Q23a | c3. Substance abuse treatment facility or detox center | c. With only children" numFmtId="0">
      <sharedItems containsNonDate="0" containsString="0" containsBlank="1"/>
    </cacheField>
    <cacheField name="Q23a | c3. Substance abuse treatment facility or detox center | d. Unknown household type" numFmtId="0">
      <sharedItems containsNonDate="0" containsString="0" containsBlank="1"/>
    </cacheField>
    <cacheField name="Q23a | c4. Hospital or other residential non-psychiatric medical facility | Total" numFmtId="0">
      <sharedItems containsNonDate="0" containsString="0" containsBlank="1"/>
    </cacheField>
    <cacheField name="Q23a | c4. Hospital or other residential non-psychiatric medical facility | a. Without children" numFmtId="0">
      <sharedItems containsNonDate="0" containsString="0" containsBlank="1"/>
    </cacheField>
    <cacheField name="Q23a | c4. Hospital or other residential non-psychiatric medical facility | b. With children and adults" numFmtId="0">
      <sharedItems containsNonDate="0" containsString="0" containsBlank="1"/>
    </cacheField>
    <cacheField name="Q23a | c4. Hospital or other residential non-psychiatric medical facility | c. With only children" numFmtId="0">
      <sharedItems containsNonDate="0" containsString="0" containsBlank="1"/>
    </cacheField>
    <cacheField name="Q23a | c4. Hospital or other residential non-psychiatric medical facility | d. Unknown household type" numFmtId="0">
      <sharedItems containsNonDate="0" containsString="0" containsBlank="1"/>
    </cacheField>
    <cacheField name="Q23a | c5. Jail, prison or juvenile detention facility | Total" numFmtId="0">
      <sharedItems containsNonDate="0" containsString="0" containsBlank="1"/>
    </cacheField>
    <cacheField name="Q23a | c5. Jail, prison or juvenile detention facility | a. Without children" numFmtId="0">
      <sharedItems containsNonDate="0" containsString="0" containsBlank="1"/>
    </cacheField>
    <cacheField name="Q23a | c5. Jail, prison or juvenile detention facility | b. With children and adults" numFmtId="0">
      <sharedItems containsNonDate="0" containsString="0" containsBlank="1"/>
    </cacheField>
    <cacheField name="Q23a | c5. Jail, prison or juvenile detention facility | c. With only children" numFmtId="0">
      <sharedItems containsNonDate="0" containsString="0" containsBlank="1"/>
    </cacheField>
    <cacheField name="Q23a | c5. Jail, prison or juvenile detention facility | d. Unknown household type" numFmtId="0">
      <sharedItems containsNonDate="0" containsString="0" containsBlank="1"/>
    </cacheField>
    <cacheField name="Q23a | c6. Long term care facility or nursing home | Total" numFmtId="0">
      <sharedItems containsNonDate="0" containsString="0" containsBlank="1"/>
    </cacheField>
    <cacheField name="Q23a | c6. Long term care facility or nursing home | a. Without children" numFmtId="0">
      <sharedItems containsNonDate="0" containsString="0" containsBlank="1"/>
    </cacheField>
    <cacheField name="Q23a | c6. Long term care facility or nursing home | b. With children and adults" numFmtId="0">
      <sharedItems containsNonDate="0" containsString="0" containsBlank="1"/>
    </cacheField>
    <cacheField name="Q23a | c6. Long term care facility or nursing home | c. With only children" numFmtId="0">
      <sharedItems containsNonDate="0" containsString="0" containsBlank="1"/>
    </cacheField>
    <cacheField name="Q23a | c6. Long term care facility or nursing home | d. Unknown household type" numFmtId="0">
      <sharedItems containsNonDate="0" containsString="0" containsBlank="1"/>
    </cacheField>
    <cacheField name="Q23a | cz. Total | Total" numFmtId="0">
      <sharedItems containsNonDate="0" containsString="0" containsBlank="1"/>
    </cacheField>
    <cacheField name="Q23a | cz. Total | a. Without children" numFmtId="0">
      <sharedItems containsNonDate="0" containsString="0" containsBlank="1"/>
    </cacheField>
    <cacheField name="Q23a | cz. Total | b. With children and adults" numFmtId="0">
      <sharedItems containsNonDate="0" containsString="0" containsBlank="1"/>
    </cacheField>
    <cacheField name="Q23a | cz. Total | c. With only children" numFmtId="0">
      <sharedItems containsNonDate="0" containsString="0" containsBlank="1"/>
    </cacheField>
    <cacheField name="Q23a | cz. Total | d. Unknown household type" numFmtId="0">
      <sharedItems containsNonDate="0" containsString="0" containsBlank="1"/>
    </cacheField>
    <cacheField name="Q23a | d. Other destinations | Total" numFmtId="0">
      <sharedItems containsNonDate="0" containsString="0" containsBlank="1"/>
    </cacheField>
    <cacheField name="Q23a | d. Other destinations | a. Without children" numFmtId="0">
      <sharedItems containsNonDate="0" containsString="0" containsBlank="1"/>
    </cacheField>
    <cacheField name="Q23a | d. Other destinations | b. With children and adults" numFmtId="0">
      <sharedItems containsNonDate="0" containsString="0" containsBlank="1"/>
    </cacheField>
    <cacheField name="Q23a | d. Other destinations | c. With only children" numFmtId="0">
      <sharedItems containsNonDate="0" containsString="0" containsBlank="1"/>
    </cacheField>
    <cacheField name="Q23a | d. Other destinations | d. Unknown household type" numFmtId="0">
      <sharedItems containsNonDate="0" containsString="0" containsBlank="1"/>
    </cacheField>
    <cacheField name="Q23a | d1. Residential project or halfway house with no homeless criteria | Total" numFmtId="0">
      <sharedItems containsNonDate="0" containsString="0" containsBlank="1"/>
    </cacheField>
    <cacheField name="Q23a | d1. Residential project or halfway house with no homeless criteria | a. Without children" numFmtId="0">
      <sharedItems containsNonDate="0" containsString="0" containsBlank="1"/>
    </cacheField>
    <cacheField name="Q23a | d1. Residential project or halfway house with no homeless criteria | b. With children and adults" numFmtId="0">
      <sharedItems containsNonDate="0" containsString="0" containsBlank="1"/>
    </cacheField>
    <cacheField name="Q23a | d1. Residential project or halfway house with no homeless criteria | c. With only children" numFmtId="0">
      <sharedItems containsNonDate="0" containsString="0" containsBlank="1"/>
    </cacheField>
    <cacheField name="Q23a | d1. Residential project or halfway house with no homeless criteria | d. Unknown household type" numFmtId="0">
      <sharedItems containsNonDate="0" containsString="0" containsBlank="1"/>
    </cacheField>
    <cacheField name="Q23a | d2. Deceased | Total" numFmtId="0">
      <sharedItems containsNonDate="0" containsString="0" containsBlank="1"/>
    </cacheField>
    <cacheField name="Q23a | d2. Deceased | a. Without children" numFmtId="0">
      <sharedItems containsNonDate="0" containsString="0" containsBlank="1"/>
    </cacheField>
    <cacheField name="Q23a | d2. Deceased | b. With children and adults" numFmtId="0">
      <sharedItems containsNonDate="0" containsString="0" containsBlank="1"/>
    </cacheField>
    <cacheField name="Q23a | d2. Deceased | c. With only children" numFmtId="0">
      <sharedItems containsNonDate="0" containsString="0" containsBlank="1"/>
    </cacheField>
    <cacheField name="Q23a | d2. Deceased | d. Unknown household type" numFmtId="0">
      <sharedItems containsNonDate="0" containsString="0" containsBlank="1"/>
    </cacheField>
    <cacheField name="Q23a | d3. Other | Total" numFmtId="0">
      <sharedItems containsNonDate="0" containsString="0" containsBlank="1"/>
    </cacheField>
    <cacheField name="Q23a | d3. Other | a. Without children" numFmtId="0">
      <sharedItems containsNonDate="0" containsString="0" containsBlank="1"/>
    </cacheField>
    <cacheField name="Q23a | d3. Other | b. With children and adults" numFmtId="0">
      <sharedItems containsNonDate="0" containsString="0" containsBlank="1"/>
    </cacheField>
    <cacheField name="Q23a | d3. Other | c. With only children" numFmtId="0">
      <sharedItems containsNonDate="0" containsString="0" containsBlank="1"/>
    </cacheField>
    <cacheField name="Q23a | d3. Other | d. Unknown household type" numFmtId="0">
      <sharedItems containsNonDate="0" containsString="0" containsBlank="1"/>
    </cacheField>
    <cacheField name="Q23a | d4. Don't know / refused | Total" numFmtId="0">
      <sharedItems containsNonDate="0" containsString="0" containsBlank="1"/>
    </cacheField>
    <cacheField name="Q23a | d4. Don't know / refused | a. Without children" numFmtId="0">
      <sharedItems containsNonDate="0" containsString="0" containsBlank="1"/>
    </cacheField>
    <cacheField name="Q23a | d4. Don't know / refused | b. With children and adults" numFmtId="0">
      <sharedItems containsNonDate="0" containsString="0" containsBlank="1"/>
    </cacheField>
    <cacheField name="Q23a | d4. Don't know / refused | c. With only children" numFmtId="0">
      <sharedItems containsNonDate="0" containsString="0" containsBlank="1"/>
    </cacheField>
    <cacheField name="Q23a | d4. Don't know / refused | d. Unknown household type" numFmtId="0">
      <sharedItems containsNonDate="0" containsString="0" containsBlank="1"/>
    </cacheField>
    <cacheField name="Q23a | d5. Information missing | Total" numFmtId="0">
      <sharedItems containsNonDate="0" containsString="0" containsBlank="1"/>
    </cacheField>
    <cacheField name="Q23a | d5. Information missing | a. Without children" numFmtId="0">
      <sharedItems containsNonDate="0" containsString="0" containsBlank="1"/>
    </cacheField>
    <cacheField name="Q23a | d5. Information missing | b. With children and adults" numFmtId="0">
      <sharedItems containsNonDate="0" containsString="0" containsBlank="1"/>
    </cacheField>
    <cacheField name="Q23a | d5. Information missing | c. With only children" numFmtId="0">
      <sharedItems containsNonDate="0" containsString="0" containsBlank="1"/>
    </cacheField>
    <cacheField name="Q23a | d5. Information missing | d. Unknown household type" numFmtId="0">
      <sharedItems containsNonDate="0" containsString="0" containsBlank="1"/>
    </cacheField>
    <cacheField name="Q23a | dz. Total | Total" numFmtId="0">
      <sharedItems containsNonDate="0" containsString="0" containsBlank="1"/>
    </cacheField>
    <cacheField name="Q23a | dz. Total | a. Without children" numFmtId="0">
      <sharedItems containsNonDate="0" containsString="0" containsBlank="1"/>
    </cacheField>
    <cacheField name="Q23a | dz. Total | b. With children and adults" numFmtId="0">
      <sharedItems containsNonDate="0" containsString="0" containsBlank="1"/>
    </cacheField>
    <cacheField name="Q23a | dz. Total | c. With only children" numFmtId="0">
      <sharedItems containsNonDate="0" containsString="0" containsBlank="1"/>
    </cacheField>
    <cacheField name="Q23a | dz. Total | d. Unknown household type" numFmtId="0">
      <sharedItems containsNonDate="0" containsString="0" containsBlank="1"/>
    </cacheField>
    <cacheField name="Q23a | e. Total | Total" numFmtId="0">
      <sharedItems containsNonDate="0" containsString="0" containsBlank="1"/>
    </cacheField>
    <cacheField name="Q23a | e. Total | a. Without children" numFmtId="0">
      <sharedItems containsNonDate="0" containsString="0" containsBlank="1"/>
    </cacheField>
    <cacheField name="Q23a | e. Total | b. With children and adults" numFmtId="0">
      <sharedItems containsNonDate="0" containsString="0" containsBlank="1"/>
    </cacheField>
    <cacheField name="Q23a | e. Total | c. With only children" numFmtId="0">
      <sharedItems containsNonDate="0" containsString="0" containsBlank="1"/>
    </cacheField>
    <cacheField name="Q23a | e. Total | d. Unknown household type" numFmtId="0">
      <sharedItems containsNonDate="0" containsString="0" containsBlank="1"/>
    </cacheField>
    <cacheField name="Q23b | a. Able to maintain the housing they had at project entry--Without a subsidy | Total" numFmtId="0">
      <sharedItems containsNonDate="0" containsString="0" containsBlank="1"/>
    </cacheField>
    <cacheField name="Q23b | a. Able to maintain the housing they had at project entry--Without a subsidy | a. Without children" numFmtId="0">
      <sharedItems containsNonDate="0" containsString="0" containsBlank="1"/>
    </cacheField>
    <cacheField name="Q23b | a. Able to maintain the housing they had at project entry--Without a subsidy | b. With children and adults" numFmtId="0">
      <sharedItems containsNonDate="0" containsString="0" containsBlank="1"/>
    </cacheField>
    <cacheField name="Q23b | a. Able to maintain the housing they had at project entry--Without a subsidy | c. With only children" numFmtId="0">
      <sharedItems containsNonDate="0" containsString="0" containsBlank="1"/>
    </cacheField>
    <cacheField name="Q23b | a. Able to maintain the housing they had at project entry--Without a subsidy | d. Unknown household type" numFmtId="0">
      <sharedItems containsNonDate="0" containsString="0" containsBlank="1"/>
    </cacheField>
    <cacheField name="Q23b | b. Able to maintain the housing they had at project entry--With the subsidy they had at project entry | Total" numFmtId="0">
      <sharedItems containsNonDate="0" containsString="0" containsBlank="1"/>
    </cacheField>
    <cacheField name="Q23b | b. Able to maintain the housing they had at project entry--With the subsidy they had at project entry | a. Without children" numFmtId="0">
      <sharedItems containsNonDate="0" containsString="0" containsBlank="1"/>
    </cacheField>
    <cacheField name="Q23b | b. Able to maintain the housing they had at project entry--With the subsidy they had at project entry | b. With children and adults" numFmtId="0">
      <sharedItems containsNonDate="0" containsString="0" containsBlank="1"/>
    </cacheField>
    <cacheField name="Q23b | b. Able to maintain the housing they had at project entry--With the subsidy they had at project entry | c. With only children" numFmtId="0">
      <sharedItems containsNonDate="0" containsString="0" containsBlank="1"/>
    </cacheField>
    <cacheField name="Q23b | b. Able to maintain the housing they had at project entry--With the subsidy they had at project entry | d. Unknown household type" numFmtId="0">
      <sharedItems containsNonDate="0" containsString="0" containsBlank="1"/>
    </cacheField>
    <cacheField name="Q23b | c. Able to maintain the housing they had at project entry--With an on-going subsidy acquired since project entry | Total" numFmtId="0">
      <sharedItems containsNonDate="0" containsString="0" containsBlank="1"/>
    </cacheField>
    <cacheField name="Q23b | c. Able to maintain the housing they had at project entry--With an on-going subsidy acquired since project entry | a. Without children" numFmtId="0">
      <sharedItems containsNonDate="0" containsString="0" containsBlank="1"/>
    </cacheField>
    <cacheField name="Q23b | c. Able to maintain the housing they had at project entry--With an on-going subsidy acquired since project entry | b. With children and adults" numFmtId="0">
      <sharedItems containsNonDate="0" containsString="0" containsBlank="1"/>
    </cacheField>
    <cacheField name="Q23b | c. Able to maintain the housing they had at project entry--With an on-going subsidy acquired since project entry | c. With only children" numFmtId="0">
      <sharedItems containsNonDate="0" containsString="0" containsBlank="1"/>
    </cacheField>
    <cacheField name="Q23b | c. Able to maintain the housing they had at project entry--With an on-going subsidy acquired since project entry | d. Unknown household type" numFmtId="0">
      <sharedItems containsNonDate="0" containsString="0" containsBlank="1"/>
    </cacheField>
    <cacheField name="Q23b | d. Able to maintain the housing they had at project entry--Only with financial assistance other than a subsidy | Total" numFmtId="0">
      <sharedItems containsNonDate="0" containsString="0" containsBlank="1"/>
    </cacheField>
    <cacheField name="Q23b | d. Able to maintain the housing they had at project entry--Only with financial assistance other than a subsidy | a. Without children" numFmtId="0">
      <sharedItems containsNonDate="0" containsString="0" containsBlank="1"/>
    </cacheField>
    <cacheField name="Q23b | d. Able to maintain the housing they had at project entry--Only with financial assistance other than a subsidy | b. With children and adults" numFmtId="0">
      <sharedItems containsNonDate="0" containsString="0" containsBlank="1"/>
    </cacheField>
    <cacheField name="Q23b | d. Able to maintain the housing they had at project entry--Only with financial assistance other than a subsidy | c. With only children" numFmtId="0">
      <sharedItems containsNonDate="0" containsString="0" containsBlank="1"/>
    </cacheField>
    <cacheField name="Q23b | d. Able to maintain the housing they had at project entry--Only with financial assistance other than a subsidy | d. Unknown household type" numFmtId="0">
      <sharedItems containsNonDate="0" containsString="0" containsBlank="1"/>
    </cacheField>
    <cacheField name="Q23b | e. Moved to new housing unit--With on-going subsidy | Total" numFmtId="0">
      <sharedItems containsNonDate="0" containsString="0" containsBlank="1"/>
    </cacheField>
    <cacheField name="Q23b | e. Moved to new housing unit--With on-going subsidy | a. Without children" numFmtId="0">
      <sharedItems containsNonDate="0" containsString="0" containsBlank="1"/>
    </cacheField>
    <cacheField name="Q23b | e. Moved to new housing unit--With on-going subsidy | b. With children and adults" numFmtId="0">
      <sharedItems containsNonDate="0" containsString="0" containsBlank="1"/>
    </cacheField>
    <cacheField name="Q23b | e. Moved to new housing unit--With on-going subsidy | c. With only children" numFmtId="0">
      <sharedItems containsNonDate="0" containsString="0" containsBlank="1"/>
    </cacheField>
    <cacheField name="Q23b | e. Moved to new housing unit--With on-going subsidy | d. Unknown household type" numFmtId="0">
      <sharedItems containsNonDate="0" containsString="0" containsBlank="1"/>
    </cacheField>
    <cacheField name="Q23b | f. Moved to new housing unit--Without an on-going subsidy | Total" numFmtId="0">
      <sharedItems containsNonDate="0" containsString="0" containsBlank="1"/>
    </cacheField>
    <cacheField name="Q23b | f. Moved to new housing unit--Without an on-going subsidy | a. Without children" numFmtId="0">
      <sharedItems containsNonDate="0" containsString="0" containsBlank="1"/>
    </cacheField>
    <cacheField name="Q23b | f. Moved to new housing unit--Without an on-going subsidy | b. With children and adults" numFmtId="0">
      <sharedItems containsNonDate="0" containsString="0" containsBlank="1"/>
    </cacheField>
    <cacheField name="Q23b | f. Moved to new housing unit--Without an on-going subsidy | c. With only children" numFmtId="0">
      <sharedItems containsNonDate="0" containsString="0" containsBlank="1"/>
    </cacheField>
    <cacheField name="Q23b | f. Moved to new housing unit--Without an on-going subsidy | d. Unknown household type" numFmtId="0">
      <sharedItems containsNonDate="0" containsString="0" containsBlank="1"/>
    </cacheField>
    <cacheField name="Q23b | g. Moved in with family/friends on a temporary basis | Total" numFmtId="0">
      <sharedItems containsNonDate="0" containsString="0" containsBlank="1"/>
    </cacheField>
    <cacheField name="Q23b | g. Moved in with family/friends on a temporary basis | a. Without children" numFmtId="0">
      <sharedItems containsNonDate="0" containsString="0" containsBlank="1"/>
    </cacheField>
    <cacheField name="Q23b | g. Moved in with family/friends on a temporary basis | b. With children and adults" numFmtId="0">
      <sharedItems containsNonDate="0" containsString="0" containsBlank="1"/>
    </cacheField>
    <cacheField name="Q23b | g. Moved in with family/friends on a temporary basis | c. With only children" numFmtId="0">
      <sharedItems containsNonDate="0" containsString="0" containsBlank="1"/>
    </cacheField>
    <cacheField name="Q23b | g. Moved in with family/friends on a temporary basis | d. Unknown household type" numFmtId="0">
      <sharedItems containsNonDate="0" containsString="0" containsBlank="1"/>
    </cacheField>
    <cacheField name="Q23b | h. Moved in with family/friends on a permanent basis | Total" numFmtId="0">
      <sharedItems containsNonDate="0" containsString="0" containsBlank="1"/>
    </cacheField>
    <cacheField name="Q23b | h. Moved in with family/friends on a permanent basis | a. Without children" numFmtId="0">
      <sharedItems containsNonDate="0" containsString="0" containsBlank="1"/>
    </cacheField>
    <cacheField name="Q23b | h. Moved in with family/friends on a permanent basis | b. With children and adults" numFmtId="0">
      <sharedItems containsNonDate="0" containsString="0" containsBlank="1"/>
    </cacheField>
    <cacheField name="Q23b | h. Moved in with family/friends on a permanent basis | c. With only children" numFmtId="0">
      <sharedItems containsNonDate="0" containsString="0" containsBlank="1"/>
    </cacheField>
    <cacheField name="Q23b | h. Moved in with family/friends on a permanent basis | d. Unknown household type" numFmtId="0">
      <sharedItems containsNonDate="0" containsString="0" containsBlank="1"/>
    </cacheField>
    <cacheField name="Q23b | i. Moved to a transitional or temporary housing facility or program | Total" numFmtId="0">
      <sharedItems containsNonDate="0" containsString="0" containsBlank="1"/>
    </cacheField>
    <cacheField name="Q23b | i. Moved to a transitional or temporary housing facility or program | a. Without children" numFmtId="0">
      <sharedItems containsNonDate="0" containsString="0" containsBlank="1"/>
    </cacheField>
    <cacheField name="Q23b | i. Moved to a transitional or temporary housing facility or program | b. With children and adults" numFmtId="0">
      <sharedItems containsNonDate="0" containsString="0" containsBlank="1"/>
    </cacheField>
    <cacheField name="Q23b | i. Moved to a transitional or temporary housing facility or program | c. With only children" numFmtId="0">
      <sharedItems containsNonDate="0" containsString="0" containsBlank="1"/>
    </cacheField>
    <cacheField name="Q23b | i. Moved to a transitional or temporary housing facility or program | d. Unknown household type" numFmtId="0">
      <sharedItems containsNonDate="0" containsString="0" containsBlank="1"/>
    </cacheField>
    <cacheField name="Q23b | j. Client became homeless-moving to a shelter or other place unfit for human habitation | Total" numFmtId="0">
      <sharedItems containsNonDate="0" containsString="0" containsBlank="1"/>
    </cacheField>
    <cacheField name="Q23b | j. Client became homeless-moving to a shelter or other place unfit for human habitation | a. Without children" numFmtId="0">
      <sharedItems containsNonDate="0" containsString="0" containsBlank="1"/>
    </cacheField>
    <cacheField name="Q23b | j. Client became homeless-moving to a shelter or other place unfit for human habitation | b. With children and adults" numFmtId="0">
      <sharedItems containsNonDate="0" containsString="0" containsBlank="1"/>
    </cacheField>
    <cacheField name="Q23b | j. Client became homeless-moving to a shelter or other place unfit for human habitation | c. With only children" numFmtId="0">
      <sharedItems containsNonDate="0" containsString="0" containsBlank="1"/>
    </cacheField>
    <cacheField name="Q23b | j. Client became homeless-moving to a shelter or other place unfit for human habitation | d. Unknown household type" numFmtId="0">
      <sharedItems containsNonDate="0" containsString="0" containsBlank="1"/>
    </cacheField>
    <cacheField name="Q23b | k. Client went to jail/prison | Total" numFmtId="0">
      <sharedItems containsNonDate="0" containsString="0" containsBlank="1"/>
    </cacheField>
    <cacheField name="Q23b | k. Client went to jail/prison | a. Without children" numFmtId="0">
      <sharedItems containsNonDate="0" containsString="0" containsBlank="1"/>
    </cacheField>
    <cacheField name="Q23b | k. Client went to jail/prison | b. With children and adults" numFmtId="0">
      <sharedItems containsNonDate="0" containsString="0" containsBlank="1"/>
    </cacheField>
    <cacheField name="Q23b | k. Client went to jail/prison | c. With only children" numFmtId="0">
      <sharedItems containsNonDate="0" containsString="0" containsBlank="1"/>
    </cacheField>
    <cacheField name="Q23b | k. Client went to jail/prison | d. Unknown household type" numFmtId="0">
      <sharedItems containsNonDate="0" containsString="0" containsBlank="1"/>
    </cacheField>
    <cacheField name="Q23b | l. Client died | Total" numFmtId="0">
      <sharedItems containsNonDate="0" containsString="0" containsBlank="1"/>
    </cacheField>
    <cacheField name="Q23b | l. Client died | a. Without children" numFmtId="0">
      <sharedItems containsNonDate="0" containsString="0" containsBlank="1"/>
    </cacheField>
    <cacheField name="Q23b | l. Client died | b. With children and adults" numFmtId="0">
      <sharedItems containsNonDate="0" containsString="0" containsBlank="1"/>
    </cacheField>
    <cacheField name="Q23b | l. Client died | c. With only children" numFmtId="0">
      <sharedItems containsNonDate="0" containsString="0" containsBlank="1"/>
    </cacheField>
    <cacheField name="Q23b | l. Client died | d. Unknown household type" numFmtId="0">
      <sharedItems containsNonDate="0" containsString="0" containsBlank="1"/>
    </cacheField>
    <cacheField name="Q23b | m. Client doesn't know/Client refused | Total" numFmtId="0">
      <sharedItems containsNonDate="0" containsString="0" containsBlank="1"/>
    </cacheField>
    <cacheField name="Q23b | m. Client doesn't know/Client refused | a. Without children" numFmtId="0">
      <sharedItems containsNonDate="0" containsString="0" containsBlank="1"/>
    </cacheField>
    <cacheField name="Q23b | m. Client doesn't know/Client refused | b. With children and adults" numFmtId="0">
      <sharedItems containsNonDate="0" containsString="0" containsBlank="1"/>
    </cacheField>
    <cacheField name="Q23b | m. Client doesn't know/Client refused | c. With only children" numFmtId="0">
      <sharedItems containsNonDate="0" containsString="0" containsBlank="1"/>
    </cacheField>
    <cacheField name="Q23b | m. Client doesn't know/Client refused | d. Unknown household type" numFmtId="0">
      <sharedItems containsNonDate="0" containsString="0" containsBlank="1"/>
    </cacheField>
    <cacheField name="Q23b | n. Data not collected (no exit interview completed) | Total" numFmtId="0">
      <sharedItems containsNonDate="0" containsString="0" containsBlank="1"/>
    </cacheField>
    <cacheField name="Q23b | n. Data not collected (no exit interview completed) | a. Without children" numFmtId="0">
      <sharedItems containsNonDate="0" containsString="0" containsBlank="1"/>
    </cacheField>
    <cacheField name="Q23b | n. Data not collected (no exit interview completed) | b. With children and adults" numFmtId="0">
      <sharedItems containsNonDate="0" containsString="0" containsBlank="1"/>
    </cacheField>
    <cacheField name="Q23b | n. Data not collected (no exit interview completed) | c. With only children" numFmtId="0">
      <sharedItems containsNonDate="0" containsString="0" containsBlank="1"/>
    </cacheField>
    <cacheField name="Q23b | n. Data not collected (no exit interview completed) | d. Unknown household type" numFmtId="0">
      <sharedItems containsNonDate="0" containsString="0" containsBlank="1"/>
    </cacheField>
    <cacheField name="Q23b | o. Total | Total" numFmtId="0">
      <sharedItems containsNonDate="0" containsString="0" containsBlank="1"/>
    </cacheField>
    <cacheField name="Q23b | o. Total | a. Without children" numFmtId="0">
      <sharedItems containsNonDate="0" containsString="0" containsBlank="1"/>
    </cacheField>
    <cacheField name="Q23b | o. Total | b. With children and adults" numFmtId="0">
      <sharedItems containsNonDate="0" containsString="0" containsBlank="1"/>
    </cacheField>
    <cacheField name="Q23b | o. Total | c. With only children" numFmtId="0">
      <sharedItems containsNonDate="0" containsString="0" containsBlank="1"/>
    </cacheField>
    <cacheField name="Q23b | o. Total | d. Unknown household type" numFmtId="0">
      <sharedItems containsNonDate="0" containsString="0" containsBlank="1"/>
    </cacheField>
    <cacheField name="Q24 | a. Permanent destinations | Total" numFmtId="0">
      <sharedItems containsNonDate="0" containsString="0" containsBlank="1"/>
    </cacheField>
    <cacheField name="Q24 | a. Permanent destinations | a. Without children" numFmtId="0">
      <sharedItems containsNonDate="0" containsString="0" containsBlank="1"/>
    </cacheField>
    <cacheField name="Q24 | a. Permanent destinations | b. With children and adults" numFmtId="0">
      <sharedItems containsNonDate="0" containsString="0" containsBlank="1"/>
    </cacheField>
    <cacheField name="Q24 | a. Permanent destinations | c. With only children" numFmtId="0">
      <sharedItems containsNonDate="0" containsString="0" containsBlank="1"/>
    </cacheField>
    <cacheField name="Q24 | a. Permanent destinations | d. Unknown household type" numFmtId="0">
      <sharedItems containsNonDate="0" containsString="0" containsBlank="1"/>
    </cacheField>
    <cacheField name="Q24 | a01. Moved from one HOPWA funded project to HOPWA PH | Total" numFmtId="0">
      <sharedItems containsNonDate="0" containsString="0" containsBlank="1"/>
    </cacheField>
    <cacheField name="Q24 | a01. Moved from one HOPWA funded project to HOPWA PH | a. Without children" numFmtId="0">
      <sharedItems containsNonDate="0" containsString="0" containsBlank="1"/>
    </cacheField>
    <cacheField name="Q24 | a01. Moved from one HOPWA funded project to HOPWA PH | b. With children and adults" numFmtId="0">
      <sharedItems containsNonDate="0" containsString="0" containsBlank="1"/>
    </cacheField>
    <cacheField name="Q24 | a01. Moved from one HOPWA funded project to HOPWA PH | c. With only children" numFmtId="0">
      <sharedItems containsNonDate="0" containsString="0" containsBlank="1"/>
    </cacheField>
    <cacheField name="Q24 | a01. Moved from one HOPWA funded project to HOPWA PH | d. Unknown household type" numFmtId="0">
      <sharedItems containsNonDate="0" containsString="0" containsBlank="1"/>
    </cacheField>
    <cacheField name="Q24 | a02. Owned by client, no ongoing subsidy | Total" numFmtId="0">
      <sharedItems containsNonDate="0" containsString="0" containsBlank="1"/>
    </cacheField>
    <cacheField name="Q24 | a02. Owned by client, no ongoing subsidy | a. Without children" numFmtId="0">
      <sharedItems containsNonDate="0" containsString="0" containsBlank="1"/>
    </cacheField>
    <cacheField name="Q24 | a02. Owned by client, no ongoing subsidy | b. With children and adults" numFmtId="0">
      <sharedItems containsNonDate="0" containsString="0" containsBlank="1"/>
    </cacheField>
    <cacheField name="Q24 | a02. Owned by client, no ongoing subsidy | c. With only children" numFmtId="0">
      <sharedItems containsNonDate="0" containsString="0" containsBlank="1"/>
    </cacheField>
    <cacheField name="Q24 | a02. Owned by client, no ongoing subsidy | d. Unknown household type" numFmtId="0">
      <sharedItems containsNonDate="0" containsString="0" containsBlank="1"/>
    </cacheField>
    <cacheField name="Q24 | a03. Owned by client, with ongoing subsidy | Total" numFmtId="0">
      <sharedItems containsNonDate="0" containsString="0" containsBlank="1"/>
    </cacheField>
    <cacheField name="Q24 | a03. Owned by client, with ongoing subsidy | a. Without children" numFmtId="0">
      <sharedItems containsNonDate="0" containsString="0" containsBlank="1"/>
    </cacheField>
    <cacheField name="Q24 | a03. Owned by client, with ongoing subsidy | b. With children and adults" numFmtId="0">
      <sharedItems containsNonDate="0" containsString="0" containsBlank="1"/>
    </cacheField>
    <cacheField name="Q24 | a03. Owned by client, with ongoing subsidy | c. With only children" numFmtId="0">
      <sharedItems containsNonDate="0" containsString="0" containsBlank="1"/>
    </cacheField>
    <cacheField name="Q24 | a03. Owned by client, with ongoing subsidy | d. Unknown household type" numFmtId="0">
      <sharedItems containsNonDate="0" containsString="0" containsBlank="1"/>
    </cacheField>
    <cacheField name="Q24 | a04. Rental by client, no ongoing subsidy | Total" numFmtId="0">
      <sharedItems containsNonDate="0" containsString="0" containsBlank="1"/>
    </cacheField>
    <cacheField name="Q24 | a04. Rental by client, no ongoing subsidy | a. Without children" numFmtId="0">
      <sharedItems containsNonDate="0" containsString="0" containsBlank="1"/>
    </cacheField>
    <cacheField name="Q24 | a04. Rental by client, no ongoing subsidy | b. With children and adults" numFmtId="0">
      <sharedItems containsNonDate="0" containsString="0" containsBlank="1"/>
    </cacheField>
    <cacheField name="Q24 | a04. Rental by client, no ongoing subsidy | c. With only children" numFmtId="0">
      <sharedItems containsNonDate="0" containsString="0" containsBlank="1"/>
    </cacheField>
    <cacheField name="Q24 | a04. Rental by client, no ongoing subsidy | d. Unknown household type" numFmtId="0">
      <sharedItems containsNonDate="0" containsString="0" containsBlank="1"/>
    </cacheField>
    <cacheField name="Q24 | a05. Rental by client, VASH subsidy | Total" numFmtId="0">
      <sharedItems containsNonDate="0" containsString="0" containsBlank="1"/>
    </cacheField>
    <cacheField name="Q24 | a05. Rental by client, VASH subsidy | a. Without children" numFmtId="0">
      <sharedItems containsNonDate="0" containsString="0" containsBlank="1"/>
    </cacheField>
    <cacheField name="Q24 | a05. Rental by client, VASH subsidy | b. With children and adults" numFmtId="0">
      <sharedItems containsNonDate="0" containsString="0" containsBlank="1"/>
    </cacheField>
    <cacheField name="Q24 | a05. Rental by client, VASH subsidy | c. With only children" numFmtId="0">
      <sharedItems containsNonDate="0" containsString="0" containsBlank="1"/>
    </cacheField>
    <cacheField name="Q24 | a05. Rental by client, VASH subsidy | d. Unknown household type" numFmtId="0">
      <sharedItems containsNonDate="0" containsString="0" containsBlank="1"/>
    </cacheField>
    <cacheField name="Q24 | a06. Rental by client, with GPD TIP housing subsidy | Total" numFmtId="0">
      <sharedItems containsNonDate="0" containsString="0" containsBlank="1"/>
    </cacheField>
    <cacheField name="Q24 | a06. Rental by client, with GPD TIP housing subsidy | a. Without children" numFmtId="0">
      <sharedItems containsNonDate="0" containsString="0" containsBlank="1"/>
    </cacheField>
    <cacheField name="Q24 | a06. Rental by client, with GPD TIP housing subsidy | b. With children and adults" numFmtId="0">
      <sharedItems containsNonDate="0" containsString="0" containsBlank="1"/>
    </cacheField>
    <cacheField name="Q24 | a06. Rental by client, with GPD TIP housing subsidy | c. With only children" numFmtId="0">
      <sharedItems containsNonDate="0" containsString="0" containsBlank="1"/>
    </cacheField>
    <cacheField name="Q24 | a06. Rental by client, with GPD TIP housing subsidy | d. Unknown household type" numFmtId="0">
      <sharedItems containsNonDate="0" containsString="0" containsBlank="1"/>
    </cacheField>
    <cacheField name="Q24 | a07. Rental by client, other ongoing subsidy | Total" numFmtId="0">
      <sharedItems containsNonDate="0" containsString="0" containsBlank="1"/>
    </cacheField>
    <cacheField name="Q24 | a07. Rental by client, other ongoing subsidy | a. Without children" numFmtId="0">
      <sharedItems containsNonDate="0" containsString="0" containsBlank="1"/>
    </cacheField>
    <cacheField name="Q24 | a07. Rental by client, other ongoing subsidy | b. With children and adults" numFmtId="0">
      <sharedItems containsNonDate="0" containsString="0" containsBlank="1"/>
    </cacheField>
    <cacheField name="Q24 | a07. Rental by client, other ongoing subsidy | c. With only children" numFmtId="0">
      <sharedItems containsNonDate="0" containsString="0" containsBlank="1"/>
    </cacheField>
    <cacheField name="Q24 | a07. Rental by client, other ongoing subsidy | d. Unknown household type" numFmtId="0">
      <sharedItems containsNonDate="0" containsString="0" containsBlank="1"/>
    </cacheField>
    <cacheField name="Q24 | a08. Permanent housing for homeless persons | Total" numFmtId="0">
      <sharedItems containsNonDate="0" containsString="0" containsBlank="1"/>
    </cacheField>
    <cacheField name="Q24 | a08. Permanent housing for homeless persons | a. Without children" numFmtId="0">
      <sharedItems containsNonDate="0" containsString="0" containsBlank="1"/>
    </cacheField>
    <cacheField name="Q24 | a08. Permanent housing for homeless persons | b. With children and adults" numFmtId="0">
      <sharedItems containsNonDate="0" containsString="0" containsBlank="1"/>
    </cacheField>
    <cacheField name="Q24 | a08. Permanent housing for homeless persons | c. With only children" numFmtId="0">
      <sharedItems containsNonDate="0" containsString="0" containsBlank="1"/>
    </cacheField>
    <cacheField name="Q24 | a08. Permanent housing for homeless persons | d. Unknown household type" numFmtId="0">
      <sharedItems containsNonDate="0" containsString="0" containsBlank="1"/>
    </cacheField>
    <cacheField name="Q24 | a09. Staying or living with family, permanent tenure | Total" numFmtId="0">
      <sharedItems containsNonDate="0" containsString="0" containsBlank="1"/>
    </cacheField>
    <cacheField name="Q24 | a09. Staying or living with family, permanent tenure | a. Without children" numFmtId="0">
      <sharedItems containsNonDate="0" containsString="0" containsBlank="1"/>
    </cacheField>
    <cacheField name="Q24 | a09. Staying or living with family, permanent tenure | b. With children and adults" numFmtId="0">
      <sharedItems containsNonDate="0" containsString="0" containsBlank="1"/>
    </cacheField>
    <cacheField name="Q24 | a09. Staying or living with family, permanent tenure | c. With only children" numFmtId="0">
      <sharedItems containsNonDate="0" containsString="0" containsBlank="1"/>
    </cacheField>
    <cacheField name="Q24 | a09. Staying or living with family, permanent tenure | d. Unknown household type" numFmtId="0">
      <sharedItems containsNonDate="0" containsString="0" containsBlank="1"/>
    </cacheField>
    <cacheField name="Q24 | a10. Staying or living with friends, permanent tenure | Total" numFmtId="0">
      <sharedItems containsNonDate="0" containsString="0" containsBlank="1"/>
    </cacheField>
    <cacheField name="Q24 | a10. Staying or living with friends, permanent tenure | a. Without children" numFmtId="0">
      <sharedItems containsNonDate="0" containsString="0" containsBlank="1"/>
    </cacheField>
    <cacheField name="Q24 | a10. Staying or living with friends, permanent tenure | b. With children and adults" numFmtId="0">
      <sharedItems containsNonDate="0" containsString="0" containsBlank="1"/>
    </cacheField>
    <cacheField name="Q24 | a10. Staying or living with friends, permanent tenure | c. With only children" numFmtId="0">
      <sharedItems containsNonDate="0" containsString="0" containsBlank="1"/>
    </cacheField>
    <cacheField name="Q24 | a10. Staying or living with friends, permanent tenure | d. Unknown household type" numFmtId="0">
      <sharedItems containsNonDate="0" containsString="0" containsBlank="1"/>
    </cacheField>
    <cacheField name="Q24 | az. Total | Total" numFmtId="0">
      <sharedItems containsNonDate="0" containsString="0" containsBlank="1"/>
    </cacheField>
    <cacheField name="Q24 | az. Total | a. Without children" numFmtId="0">
      <sharedItems containsNonDate="0" containsString="0" containsBlank="1"/>
    </cacheField>
    <cacheField name="Q24 | az. Total | b. With children and adults" numFmtId="0">
      <sharedItems containsNonDate="0" containsString="0" containsBlank="1"/>
    </cacheField>
    <cacheField name="Q24 | az. Total | c. With only children" numFmtId="0">
      <sharedItems containsNonDate="0" containsString="0" containsBlank="1"/>
    </cacheField>
    <cacheField name="Q24 | az. Total | d. Unknown household type" numFmtId="0">
      <sharedItems containsNonDate="0" containsString="0" containsBlank="1"/>
    </cacheField>
    <cacheField name="Q24 | b. Temporary destinations | Total" numFmtId="0">
      <sharedItems containsNonDate="0" containsString="0" containsBlank="1"/>
    </cacheField>
    <cacheField name="Q24 | b. Temporary destinations | a. Without children" numFmtId="0">
      <sharedItems containsNonDate="0" containsString="0" containsBlank="1"/>
    </cacheField>
    <cacheField name="Q24 | b. Temporary destinations | b. With children and adults" numFmtId="0">
      <sharedItems containsNonDate="0" containsString="0" containsBlank="1"/>
    </cacheField>
    <cacheField name="Q24 | b. Temporary destinations | c. With only children" numFmtId="0">
      <sharedItems containsNonDate="0" containsString="0" containsBlank="1"/>
    </cacheField>
    <cacheField name="Q24 | b. Temporary destinations | d. Unknown household type" numFmtId="0">
      <sharedItems containsNonDate="0" containsString="0" containsBlank="1"/>
    </cacheField>
    <cacheField name="Q24 | b1. Emergency shelter | Total" numFmtId="0">
      <sharedItems containsNonDate="0" containsString="0" containsBlank="1"/>
    </cacheField>
    <cacheField name="Q24 | b1. Emergency shelter | a. Without children" numFmtId="0">
      <sharedItems containsNonDate="0" containsString="0" containsBlank="1"/>
    </cacheField>
    <cacheField name="Q24 | b1. Emergency shelter | b. With children and adults" numFmtId="0">
      <sharedItems containsNonDate="0" containsString="0" containsBlank="1"/>
    </cacheField>
    <cacheField name="Q24 | b1. Emergency shelter | c. With only children" numFmtId="0">
      <sharedItems containsNonDate="0" containsString="0" containsBlank="1"/>
    </cacheField>
    <cacheField name="Q24 | b1. Emergency shelter | d. Unknown household type" numFmtId="0">
      <sharedItems containsNonDate="0" containsString="0" containsBlank="1"/>
    </cacheField>
    <cacheField name="Q24 | b2. Moved from one HOPWA  funded project to HOPWA TH | Total" numFmtId="0">
      <sharedItems containsNonDate="0" containsString="0" containsBlank="1"/>
    </cacheField>
    <cacheField name="Q24 | b2. Moved from one HOPWA  funded project to HOPWA TH | a. Without children" numFmtId="0">
      <sharedItems containsNonDate="0" containsString="0" containsBlank="1"/>
    </cacheField>
    <cacheField name="Q24 | b2. Moved from one HOPWA  funded project to HOPWA TH | b. With children and adults" numFmtId="0">
      <sharedItems containsNonDate="0" containsString="0" containsBlank="1"/>
    </cacheField>
    <cacheField name="Q24 | b2. Moved from one HOPWA  funded project to HOPWA TH | c. With only children" numFmtId="0">
      <sharedItems containsNonDate="0" containsString="0" containsBlank="1"/>
    </cacheField>
    <cacheField name="Q24 | b2. Moved from one HOPWA  funded project to HOPWA TH | d. Unknown household type" numFmtId="0">
      <sharedItems containsNonDate="0" containsString="0" containsBlank="1"/>
    </cacheField>
    <cacheField name="Q24 | b3. Transitional housing for homeless persons | Total" numFmtId="0">
      <sharedItems containsNonDate="0" containsString="0" containsBlank="1"/>
    </cacheField>
    <cacheField name="Q24 | b3. Transitional housing for homeless persons | a. Without children" numFmtId="0">
      <sharedItems containsNonDate="0" containsString="0" containsBlank="1"/>
    </cacheField>
    <cacheField name="Q24 | b3. Transitional housing for homeless persons | b. With children and adults" numFmtId="0">
      <sharedItems containsNonDate="0" containsString="0" containsBlank="1"/>
    </cacheField>
    <cacheField name="Q24 | b3. Transitional housing for homeless persons | c. With only children" numFmtId="0">
      <sharedItems containsNonDate="0" containsString="0" containsBlank="1"/>
    </cacheField>
    <cacheField name="Q24 | b3. Transitional housing for homeless persons | d. Unknown household type" numFmtId="0">
      <sharedItems containsNonDate="0" containsString="0" containsBlank="1"/>
    </cacheField>
    <cacheField name="Q24 | b4. Staying with family, temporary tenure | Total" numFmtId="0">
      <sharedItems containsNonDate="0" containsString="0" containsBlank="1"/>
    </cacheField>
    <cacheField name="Q24 | b4. Staying with family, temporary tenure | a. Without children" numFmtId="0">
      <sharedItems containsNonDate="0" containsString="0" containsBlank="1"/>
    </cacheField>
    <cacheField name="Q24 | b4. Staying with family, temporary tenure | b. With children and adults" numFmtId="0">
      <sharedItems containsNonDate="0" containsString="0" containsBlank="1"/>
    </cacheField>
    <cacheField name="Q24 | b4. Staying with family, temporary tenure | c. With only children" numFmtId="0">
      <sharedItems containsNonDate="0" containsString="0" containsBlank="1"/>
    </cacheField>
    <cacheField name="Q24 | b4. Staying with family, temporary tenure | d. Unknown household type" numFmtId="0">
      <sharedItems containsNonDate="0" containsString="0" containsBlank="1"/>
    </cacheField>
    <cacheField name="Q24 | b5. Staying with friends, temporary tenure | Total" numFmtId="0">
      <sharedItems containsNonDate="0" containsString="0" containsBlank="1"/>
    </cacheField>
    <cacheField name="Q24 | b5. Staying with friends, temporary tenure | a. Without children" numFmtId="0">
      <sharedItems containsNonDate="0" containsString="0" containsBlank="1"/>
    </cacheField>
    <cacheField name="Q24 | b5. Staying with friends, temporary tenure | b. With children and adults" numFmtId="0">
      <sharedItems containsNonDate="0" containsString="0" containsBlank="1"/>
    </cacheField>
    <cacheField name="Q24 | b5. Staying with friends, temporary tenure | c. With only children" numFmtId="0">
      <sharedItems containsNonDate="0" containsString="0" containsBlank="1"/>
    </cacheField>
    <cacheField name="Q24 | b5. Staying with friends, temporary tenure | d. Unknown household type" numFmtId="0">
      <sharedItems containsNonDate="0" containsString="0" containsBlank="1"/>
    </cacheField>
    <cacheField name="Q24 | b6. Place not meant for human habitation | Total" numFmtId="0">
      <sharedItems containsNonDate="0" containsString="0" containsBlank="1"/>
    </cacheField>
    <cacheField name="Q24 | b6. Place not meant for human habitation | a. Without children" numFmtId="0">
      <sharedItems containsNonDate="0" containsString="0" containsBlank="1"/>
    </cacheField>
    <cacheField name="Q24 | b6. Place not meant for human habitation | b. With children and adults" numFmtId="0">
      <sharedItems containsNonDate="0" containsString="0" containsBlank="1"/>
    </cacheField>
    <cacheField name="Q24 | b6. Place not meant for human habitation | c. With only children" numFmtId="0">
      <sharedItems containsNonDate="0" containsString="0" containsBlank="1"/>
    </cacheField>
    <cacheField name="Q24 | b6. Place not meant for human habitation | d. Unknown household type" numFmtId="0">
      <sharedItems containsNonDate="0" containsString="0" containsBlank="1"/>
    </cacheField>
    <cacheField name="Q24 | b7. Safe Haven | Total" numFmtId="0">
      <sharedItems containsNonDate="0" containsString="0" containsBlank="1"/>
    </cacheField>
    <cacheField name="Q24 | b7. Safe Haven | a. Without children" numFmtId="0">
      <sharedItems containsNonDate="0" containsString="0" containsBlank="1"/>
    </cacheField>
    <cacheField name="Q24 | b7. Safe Haven | b. With children and adults" numFmtId="0">
      <sharedItems containsNonDate="0" containsString="0" containsBlank="1"/>
    </cacheField>
    <cacheField name="Q24 | b7. Safe Haven | c. With only children" numFmtId="0">
      <sharedItems containsNonDate="0" containsString="0" containsBlank="1"/>
    </cacheField>
    <cacheField name="Q24 | b7. Safe Haven | d. Unknown household type" numFmtId="0">
      <sharedItems containsNonDate="0" containsString="0" containsBlank="1"/>
    </cacheField>
    <cacheField name="Q24 | b8. Hotel or motel paid by client | Total" numFmtId="0">
      <sharedItems containsNonDate="0" containsString="0" containsBlank="1"/>
    </cacheField>
    <cacheField name="Q24 | b8. Hotel or motel paid by client | a. Without children" numFmtId="0">
      <sharedItems containsNonDate="0" containsString="0" containsBlank="1"/>
    </cacheField>
    <cacheField name="Q24 | b8. Hotel or motel paid by client | b. With children and adults" numFmtId="0">
      <sharedItems containsNonDate="0" containsString="0" containsBlank="1"/>
    </cacheField>
    <cacheField name="Q24 | b8. Hotel or motel paid by client | c. With only children" numFmtId="0">
      <sharedItems containsNonDate="0" containsString="0" containsBlank="1"/>
    </cacheField>
    <cacheField name="Q24 | b8. Hotel or motel paid by client | d. Unknown household type" numFmtId="0">
      <sharedItems containsNonDate="0" containsString="0" containsBlank="1"/>
    </cacheField>
    <cacheField name="Q24 | bz. Total | Total" numFmtId="0">
      <sharedItems containsNonDate="0" containsString="0" containsBlank="1"/>
    </cacheField>
    <cacheField name="Q24 | bz. Total | a. Without children" numFmtId="0">
      <sharedItems containsNonDate="0" containsString="0" containsBlank="1"/>
    </cacheField>
    <cacheField name="Q24 | bz. Total | b. With children and adults" numFmtId="0">
      <sharedItems containsNonDate="0" containsString="0" containsBlank="1"/>
    </cacheField>
    <cacheField name="Q24 | bz. Total | c. With only children" numFmtId="0">
      <sharedItems containsNonDate="0" containsString="0" containsBlank="1"/>
    </cacheField>
    <cacheField name="Q24 | bz. Total | d. Unknown household type" numFmtId="0">
      <sharedItems containsNonDate="0" containsString="0" containsBlank="1"/>
    </cacheField>
    <cacheField name="Q24 | c. Institutional settings | Total" numFmtId="0">
      <sharedItems containsNonDate="0" containsString="0" containsBlank="1"/>
    </cacheField>
    <cacheField name="Q24 | c. Institutional settings | a. Without children" numFmtId="0">
      <sharedItems containsNonDate="0" containsString="0" containsBlank="1"/>
    </cacheField>
    <cacheField name="Q24 | c. Institutional settings | b. With children and adults" numFmtId="0">
      <sharedItems containsNonDate="0" containsString="0" containsBlank="1"/>
    </cacheField>
    <cacheField name="Q24 | c. Institutional settings | c. With only children" numFmtId="0">
      <sharedItems containsNonDate="0" containsString="0" containsBlank="1"/>
    </cacheField>
    <cacheField name="Q24 | c. Institutional settings | d. Unknown household type" numFmtId="0">
      <sharedItems containsNonDate="0" containsString="0" containsBlank="1"/>
    </cacheField>
    <cacheField name="Q24 | c1. Foster care home or group foster care home | Total" numFmtId="0">
      <sharedItems containsNonDate="0" containsString="0" containsBlank="1"/>
    </cacheField>
    <cacheField name="Q24 | c1. Foster care home or group foster care home | a. Without children" numFmtId="0">
      <sharedItems containsNonDate="0" containsString="0" containsBlank="1"/>
    </cacheField>
    <cacheField name="Q24 | c1. Foster care home or group foster care home | b. With children and adults" numFmtId="0">
      <sharedItems containsNonDate="0" containsString="0" containsBlank="1"/>
    </cacheField>
    <cacheField name="Q24 | c1. Foster care home or group foster care home | c. With only children" numFmtId="0">
      <sharedItems containsNonDate="0" containsString="0" containsBlank="1"/>
    </cacheField>
    <cacheField name="Q24 | c1. Foster care home or group foster care home | d. Unknown household type" numFmtId="0">
      <sharedItems containsNonDate="0" containsString="0" containsBlank="1"/>
    </cacheField>
    <cacheField name="Q24 | c2. Psychiatric hospital or other psychiatric facility | Total" numFmtId="0">
      <sharedItems containsNonDate="0" containsString="0" containsBlank="1"/>
    </cacheField>
    <cacheField name="Q24 | c2. Psychiatric hospital or other psychiatric facility | a. Without children" numFmtId="0">
      <sharedItems containsNonDate="0" containsString="0" containsBlank="1"/>
    </cacheField>
    <cacheField name="Q24 | c2. Psychiatric hospital or other psychiatric facility | b. With children and adults" numFmtId="0">
      <sharedItems containsNonDate="0" containsString="0" containsBlank="1"/>
    </cacheField>
    <cacheField name="Q24 | c2. Psychiatric hospital or other psychiatric facility | c. With only children" numFmtId="0">
      <sharedItems containsNonDate="0" containsString="0" containsBlank="1"/>
    </cacheField>
    <cacheField name="Q24 | c2. Psychiatric hospital or other psychiatric facility | d. Unknown household type" numFmtId="0">
      <sharedItems containsNonDate="0" containsString="0" containsBlank="1"/>
    </cacheField>
    <cacheField name="Q24 | c3. Substance abuse treatment facility or detox center | Total" numFmtId="0">
      <sharedItems containsNonDate="0" containsString="0" containsBlank="1"/>
    </cacheField>
    <cacheField name="Q24 | c3. Substance abuse treatment facility or detox center | a. Without children" numFmtId="0">
      <sharedItems containsNonDate="0" containsString="0" containsBlank="1"/>
    </cacheField>
    <cacheField name="Q24 | c3. Substance abuse treatment facility or detox center | b. With children and adults" numFmtId="0">
      <sharedItems containsNonDate="0" containsString="0" containsBlank="1"/>
    </cacheField>
    <cacheField name="Q24 | c3. Substance abuse treatment facility or detox center | c. With only children" numFmtId="0">
      <sharedItems containsNonDate="0" containsString="0" containsBlank="1"/>
    </cacheField>
    <cacheField name="Q24 | c3. Substance abuse treatment facility or detox center | d. Unknown household type" numFmtId="0">
      <sharedItems containsNonDate="0" containsString="0" containsBlank="1"/>
    </cacheField>
    <cacheField name="Q24 | c4. Hospital or other residential non-psychiatric medical facility | Total" numFmtId="0">
      <sharedItems containsNonDate="0" containsString="0" containsBlank="1"/>
    </cacheField>
    <cacheField name="Q24 | c4. Hospital or other residential non-psychiatric medical facility | a. Without children" numFmtId="0">
      <sharedItems containsNonDate="0" containsString="0" containsBlank="1"/>
    </cacheField>
    <cacheField name="Q24 | c4. Hospital or other residential non-psychiatric medical facility | b. With children and adults" numFmtId="0">
      <sharedItems containsNonDate="0" containsString="0" containsBlank="1"/>
    </cacheField>
    <cacheField name="Q24 | c4. Hospital or other residential non-psychiatric medical facility | c. With only children" numFmtId="0">
      <sharedItems containsNonDate="0" containsString="0" containsBlank="1"/>
    </cacheField>
    <cacheField name="Q24 | c4. Hospital or other residential non-psychiatric medical facility | d. Unknown household type" numFmtId="0">
      <sharedItems containsNonDate="0" containsString="0" containsBlank="1"/>
    </cacheField>
    <cacheField name="Q24 | c5. Jail, prison or juvenile detention facility | Total" numFmtId="0">
      <sharedItems containsNonDate="0" containsString="0" containsBlank="1"/>
    </cacheField>
    <cacheField name="Q24 | c5. Jail, prison or juvenile detention facility | a. Without children" numFmtId="0">
      <sharedItems containsNonDate="0" containsString="0" containsBlank="1"/>
    </cacheField>
    <cacheField name="Q24 | c5. Jail, prison or juvenile detention facility | b. With children and adults" numFmtId="0">
      <sharedItems containsNonDate="0" containsString="0" containsBlank="1"/>
    </cacheField>
    <cacheField name="Q24 | c5. Jail, prison or juvenile detention facility | c. With only children" numFmtId="0">
      <sharedItems containsNonDate="0" containsString="0" containsBlank="1"/>
    </cacheField>
    <cacheField name="Q24 | c5. Jail, prison or juvenile detention facility | d. Unknown household type" numFmtId="0">
      <sharedItems containsNonDate="0" containsString="0" containsBlank="1"/>
    </cacheField>
    <cacheField name="Q24 | c6. Long term care facility or nursing home | Total" numFmtId="0">
      <sharedItems containsNonDate="0" containsString="0" containsBlank="1"/>
    </cacheField>
    <cacheField name="Q24 | c6. Long term care facility or nursing home | a. Without children" numFmtId="0">
      <sharedItems containsNonDate="0" containsString="0" containsBlank="1"/>
    </cacheField>
    <cacheField name="Q24 | c6. Long term care facility or nursing home | b. With children and adults" numFmtId="0">
      <sharedItems containsNonDate="0" containsString="0" containsBlank="1"/>
    </cacheField>
    <cacheField name="Q24 | c6. Long term care facility or nursing home | c. With only children" numFmtId="0">
      <sharedItems containsNonDate="0" containsString="0" containsBlank="1"/>
    </cacheField>
    <cacheField name="Q24 | c6. Long term care facility or nursing home | d. Unknown household type" numFmtId="0">
      <sharedItems containsNonDate="0" containsString="0" containsBlank="1"/>
    </cacheField>
    <cacheField name="Q24 | cz. Total | Total" numFmtId="0">
      <sharedItems containsNonDate="0" containsString="0" containsBlank="1"/>
    </cacheField>
    <cacheField name="Q24 | cz. Total | a. Without children" numFmtId="0">
      <sharedItems containsNonDate="0" containsString="0" containsBlank="1"/>
    </cacheField>
    <cacheField name="Q24 | cz. Total | b. With children and adults" numFmtId="0">
      <sharedItems containsNonDate="0" containsString="0" containsBlank="1"/>
    </cacheField>
    <cacheField name="Q24 | cz. Total | c. With only children" numFmtId="0">
      <sharedItems containsNonDate="0" containsString="0" containsBlank="1"/>
    </cacheField>
    <cacheField name="Q24 | cz. Total | d. Unknown household type" numFmtId="0">
      <sharedItems containsNonDate="0" containsString="0" containsBlank="1"/>
    </cacheField>
    <cacheField name="Q24 | d. Other destinations | Total" numFmtId="0">
      <sharedItems containsNonDate="0" containsString="0" containsBlank="1"/>
    </cacheField>
    <cacheField name="Q24 | d. Other destinations | a. Without children" numFmtId="0">
      <sharedItems containsNonDate="0" containsString="0" containsBlank="1"/>
    </cacheField>
    <cacheField name="Q24 | d. Other destinations | b. With children and adults" numFmtId="0">
      <sharedItems containsNonDate="0" containsString="0" containsBlank="1"/>
    </cacheField>
    <cacheField name="Q24 | d. Other destinations | c. With only children" numFmtId="0">
      <sharedItems containsNonDate="0" containsString="0" containsBlank="1"/>
    </cacheField>
    <cacheField name="Q24 | d. Other destinations | d. Unknown household type" numFmtId="0">
      <sharedItems containsNonDate="0" containsString="0" containsBlank="1"/>
    </cacheField>
    <cacheField name="Q24 | d1. Residential project or halfway house with no homeless criteria | Total" numFmtId="0">
      <sharedItems containsNonDate="0" containsString="0" containsBlank="1"/>
    </cacheField>
    <cacheField name="Q24 | d1. Residential project or halfway house with no homeless criteria | a. Without children" numFmtId="0">
      <sharedItems containsNonDate="0" containsString="0" containsBlank="1"/>
    </cacheField>
    <cacheField name="Q24 | d1. Residential project or halfway house with no homeless criteria | b. With children and adults" numFmtId="0">
      <sharedItems containsNonDate="0" containsString="0" containsBlank="1"/>
    </cacheField>
    <cacheField name="Q24 | d1. Residential project or halfway house with no homeless criteria | c. With only children" numFmtId="0">
      <sharedItems containsNonDate="0" containsString="0" containsBlank="1"/>
    </cacheField>
    <cacheField name="Q24 | d1. Residential project or halfway house with no homeless criteria | d. Unknown household type" numFmtId="0">
      <sharedItems containsNonDate="0" containsString="0" containsBlank="1"/>
    </cacheField>
    <cacheField name="Q24 | d2. Deceased | Total" numFmtId="0">
      <sharedItems containsNonDate="0" containsString="0" containsBlank="1"/>
    </cacheField>
    <cacheField name="Q24 | d2. Deceased | a. Without children" numFmtId="0">
      <sharedItems containsNonDate="0" containsString="0" containsBlank="1"/>
    </cacheField>
    <cacheField name="Q24 | d2. Deceased | b. With children and adults" numFmtId="0">
      <sharedItems containsNonDate="0" containsString="0" containsBlank="1"/>
    </cacheField>
    <cacheField name="Q24 | d2. Deceased | c. With only children" numFmtId="0">
      <sharedItems containsNonDate="0" containsString="0" containsBlank="1"/>
    </cacheField>
    <cacheField name="Q24 | d2. Deceased | d. Unknown household type" numFmtId="0">
      <sharedItems containsNonDate="0" containsString="0" containsBlank="1"/>
    </cacheField>
    <cacheField name="Q24 | d3. Other | Total" numFmtId="0">
      <sharedItems containsNonDate="0" containsString="0" containsBlank="1"/>
    </cacheField>
    <cacheField name="Q24 | d3. Other | a. Without children" numFmtId="0">
      <sharedItems containsNonDate="0" containsString="0" containsBlank="1"/>
    </cacheField>
    <cacheField name="Q24 | d3. Other | b. With children and adults" numFmtId="0">
      <sharedItems containsNonDate="0" containsString="0" containsBlank="1"/>
    </cacheField>
    <cacheField name="Q24 | d3. Other | c. With only children" numFmtId="0">
      <sharedItems containsNonDate="0" containsString="0" containsBlank="1"/>
    </cacheField>
    <cacheField name="Q24 | d3. Other | d. Unknown household type" numFmtId="0">
      <sharedItems containsNonDate="0" containsString="0" containsBlank="1"/>
    </cacheField>
    <cacheField name="Q24 | d4. Don't know / refused | Total" numFmtId="0">
      <sharedItems containsNonDate="0" containsString="0" containsBlank="1"/>
    </cacheField>
    <cacheField name="Q24 | d4. Don't know / refused | a. Without children" numFmtId="0">
      <sharedItems containsNonDate="0" containsString="0" containsBlank="1"/>
    </cacheField>
    <cacheField name="Q24 | d4. Don't know / refused | b. With children and adults" numFmtId="0">
      <sharedItems containsNonDate="0" containsString="0" containsBlank="1"/>
    </cacheField>
    <cacheField name="Q24 | d4. Don't know / refused | c. With only children" numFmtId="0">
      <sharedItems containsNonDate="0" containsString="0" containsBlank="1"/>
    </cacheField>
    <cacheField name="Q24 | d4. Don't know / refused | d. Unknown household type" numFmtId="0">
      <sharedItems containsNonDate="0" containsString="0" containsBlank="1"/>
    </cacheField>
    <cacheField name="Q24 | d5. Information missing | Total" numFmtId="0">
      <sharedItems containsNonDate="0" containsString="0" containsBlank="1"/>
    </cacheField>
    <cacheField name="Q24 | d5. Information missing | a. Without children" numFmtId="0">
      <sharedItems containsNonDate="0" containsString="0" containsBlank="1"/>
    </cacheField>
    <cacheField name="Q24 | d5. Information missing | b. With children and adults" numFmtId="0">
      <sharedItems containsNonDate="0" containsString="0" containsBlank="1"/>
    </cacheField>
    <cacheField name="Q24 | d5. Information missing | c. With only children" numFmtId="0">
      <sharedItems containsNonDate="0" containsString="0" containsBlank="1"/>
    </cacheField>
    <cacheField name="Q24 | d5. Information missing | d. Unknown household type" numFmtId="0">
      <sharedItems containsNonDate="0" containsString="0" containsBlank="1"/>
    </cacheField>
    <cacheField name="Q24 | dz. Total | Total" numFmtId="0">
      <sharedItems containsNonDate="0" containsString="0" containsBlank="1"/>
    </cacheField>
    <cacheField name="Q24 | dz. Total | a. Without children" numFmtId="0">
      <sharedItems containsNonDate="0" containsString="0" containsBlank="1"/>
    </cacheField>
    <cacheField name="Q24 | dz. Total | b. With children and adults" numFmtId="0">
      <sharedItems containsNonDate="0" containsString="0" containsBlank="1"/>
    </cacheField>
    <cacheField name="Q24 | dz. Total | c. With only children" numFmtId="0">
      <sharedItems containsNonDate="0" containsString="0" containsBlank="1"/>
    </cacheField>
    <cacheField name="Q24 | dz. Total | d. Unknown household type" numFmtId="0">
      <sharedItems containsNonDate="0" containsString="0" containsBlank="1"/>
    </cacheField>
    <cacheField name="Q24 | e. Total | Total" numFmtId="0">
      <sharedItems containsNonDate="0" containsString="0" containsBlank="1"/>
    </cacheField>
    <cacheField name="Q24 | e. Total | a. Without children" numFmtId="0">
      <sharedItems containsNonDate="0" containsString="0" containsBlank="1"/>
    </cacheField>
    <cacheField name="Q24 | e. Total | b. With children and adults" numFmtId="0">
      <sharedItems containsNonDate="0" containsString="0" containsBlank="1"/>
    </cacheField>
    <cacheField name="Q24 | e. Total | c. With only children" numFmtId="0">
      <sharedItems containsNonDate="0" containsString="0" containsBlank="1"/>
    </cacheField>
    <cacheField name="Q24 | e. Total | d. Unknown household type" numFmtId="0">
      <sharedItems containsNonDate="0" containsString="0" containsBlank="1"/>
    </cacheField>
    <cacheField name="Q25a | a. Chronically homeless veteran | Total" numFmtId="0">
      <sharedItems containsNonDate="0" containsString="0" containsBlank="1"/>
    </cacheField>
    <cacheField name="Q25a | a. Chronically homeless veteran | a. Without children" numFmtId="0">
      <sharedItems containsNonDate="0" containsString="0" containsBlank="1"/>
    </cacheField>
    <cacheField name="Q25a | a. Chronically homeless veteran | b. With children and adults" numFmtId="0">
      <sharedItems containsNonDate="0" containsString="0" containsBlank="1"/>
    </cacheField>
    <cacheField name="Q25a | a. Chronically homeless veteran | c. Unknown household type" numFmtId="0">
      <sharedItems containsNonDate="0" containsString="0" containsBlank="1"/>
    </cacheField>
    <cacheField name="Q25a | b. Non-chronically homeless veteran | Total" numFmtId="0">
      <sharedItems containsNonDate="0" containsString="0" containsBlank="1"/>
    </cacheField>
    <cacheField name="Q25a | b. Non-chronically homeless veteran | a. Without children" numFmtId="0">
      <sharedItems containsNonDate="0" containsString="0" containsBlank="1"/>
    </cacheField>
    <cacheField name="Q25a | b. Non-chronically homeless veteran | b. With children and adults" numFmtId="0">
      <sharedItems containsNonDate="0" containsString="0" containsBlank="1"/>
    </cacheField>
    <cacheField name="Q25a | b. Non-chronically homeless veteran | c. Unknown household type" numFmtId="0">
      <sharedItems containsNonDate="0" containsString="0" containsBlank="1"/>
    </cacheField>
    <cacheField name="Q25a | c. Not a veteran | Total" numFmtId="0">
      <sharedItems containsNonDate="0" containsString="0" containsBlank="1"/>
    </cacheField>
    <cacheField name="Q25a | c. Not a veteran | a. Without children" numFmtId="0">
      <sharedItems containsNonDate="0" containsString="0" containsBlank="1"/>
    </cacheField>
    <cacheField name="Q25a | c. Not a veteran | b. With children and adults" numFmtId="0">
      <sharedItems containsNonDate="0" containsString="0" containsBlank="1"/>
    </cacheField>
    <cacheField name="Q25a | c. Not a veteran | c. Unknown household type" numFmtId="0">
      <sharedItems containsNonDate="0" containsString="0" containsBlank="1"/>
    </cacheField>
    <cacheField name="Q25a | d. Client Doesn't Know/Client Refused | Total" numFmtId="0">
      <sharedItems containsNonDate="0" containsString="0" containsBlank="1"/>
    </cacheField>
    <cacheField name="Q25a | d. Client Doesn't Know/Client Refused | a. Without children" numFmtId="0">
      <sharedItems containsNonDate="0" containsString="0" containsBlank="1"/>
    </cacheField>
    <cacheField name="Q25a | d. Client Doesn't Know/Client Refused | b. With children and adults" numFmtId="0">
      <sharedItems containsNonDate="0" containsString="0" containsBlank="1"/>
    </cacheField>
    <cacheField name="Q25a | d. Client Doesn't Know/Client Refused | c. Unknown household type" numFmtId="0">
      <sharedItems containsNonDate="0" containsString="0" containsBlank="1"/>
    </cacheField>
    <cacheField name="Q25a | e. Data Not Collected | Total" numFmtId="0">
      <sharedItems containsNonDate="0" containsString="0" containsBlank="1"/>
    </cacheField>
    <cacheField name="Q25a | e. Data Not Collected | a. Without children" numFmtId="0">
      <sharedItems containsNonDate="0" containsString="0" containsBlank="1"/>
    </cacheField>
    <cacheField name="Q25a | e. Data Not Collected | b. With children and adults" numFmtId="0">
      <sharedItems containsNonDate="0" containsString="0" containsBlank="1"/>
    </cacheField>
    <cacheField name="Q25a | e. Data Not Collected | c. Unknown household type" numFmtId="0">
      <sharedItems containsNonDate="0" containsString="0" containsBlank="1"/>
    </cacheField>
    <cacheField name="Q25a | f. Total | Total" numFmtId="0">
      <sharedItems containsNonDate="0" containsString="0" containsBlank="1"/>
    </cacheField>
    <cacheField name="Q25a | f. Total | a. Without children" numFmtId="0">
      <sharedItems containsNonDate="0" containsString="0" containsBlank="1"/>
    </cacheField>
    <cacheField name="Q25a | f. Total | b. With children and adults" numFmtId="0">
      <sharedItems containsNonDate="0" containsString="0" containsBlank="1"/>
    </cacheField>
    <cacheField name="Q25a | f. Total | c. Unknown household type" numFmtId="0">
      <sharedItems containsNonDate="0" containsString="0" containsBlank="1"/>
    </cacheField>
    <cacheField name="Q26b | a. Chronically homeless | Total" numFmtId="0">
      <sharedItems containsNonDate="0" containsString="0" containsBlank="1"/>
    </cacheField>
    <cacheField name="Q26b | a. Chronically homeless | a. Without children" numFmtId="0">
      <sharedItems containsNonDate="0" containsString="0" containsBlank="1"/>
    </cacheField>
    <cacheField name="Q26b | a. Chronically homeless | b. With children and adults" numFmtId="0">
      <sharedItems containsNonDate="0" containsString="0" containsBlank="1"/>
    </cacheField>
    <cacheField name="Q26b | a. Chronically homeless | c. With only children" numFmtId="0">
      <sharedItems containsNonDate="0" containsString="0" containsBlank="1"/>
    </cacheField>
    <cacheField name="Q26b | a. Chronically homeless | d. Unknown household type" numFmtId="0">
      <sharedItems containsNonDate="0" containsString="0" containsBlank="1"/>
    </cacheField>
    <cacheField name="Q26b | b. Not chronically homeless | Total" numFmtId="0">
      <sharedItems containsNonDate="0" containsString="0" containsBlank="1"/>
    </cacheField>
    <cacheField name="Q26b | b. Not chronically homeless | a. Without children" numFmtId="0">
      <sharedItems containsNonDate="0" containsString="0" containsBlank="1"/>
    </cacheField>
    <cacheField name="Q26b | b. Not chronically homeless | b. With children and adults" numFmtId="0">
      <sharedItems containsNonDate="0" containsString="0" containsBlank="1"/>
    </cacheField>
    <cacheField name="Q26b | b. Not chronically homeless | c. With only children" numFmtId="0">
      <sharedItems containsNonDate="0" containsString="0" containsBlank="1"/>
    </cacheField>
    <cacheField name="Q26b | b. Not chronically homeless | d. Unknown household type" numFmtId="0">
      <sharedItems containsNonDate="0" containsString="0" containsBlank="1"/>
    </cacheField>
    <cacheField name="Q26b | c. Client Doesn't Know/Client Refused | Total" numFmtId="0">
      <sharedItems containsNonDate="0" containsString="0" containsBlank="1"/>
    </cacheField>
    <cacheField name="Q26b | c. Client Doesn't Know/Client Refused | a. Without children" numFmtId="0">
      <sharedItems containsNonDate="0" containsString="0" containsBlank="1"/>
    </cacheField>
    <cacheField name="Q26b | c. Client Doesn't Know/Client Refused | b. With children and adults" numFmtId="0">
      <sharedItems containsNonDate="0" containsString="0" containsBlank="1"/>
    </cacheField>
    <cacheField name="Q26b | c. Client Doesn't Know/Client Refused | c. With only children" numFmtId="0">
      <sharedItems containsNonDate="0" containsString="0" containsBlank="1"/>
    </cacheField>
    <cacheField name="Q26b | c. Client Doesn't Know/Client Refused | d. Unknown household type" numFmtId="0">
      <sharedItems containsNonDate="0" containsString="0" containsBlank="1"/>
    </cacheField>
    <cacheField name="Q26b | d. Data Not Collected | Total" numFmtId="0">
      <sharedItems containsNonDate="0" containsString="0" containsBlank="1"/>
    </cacheField>
    <cacheField name="Q26b | d. Data Not Collected | a. Without children" numFmtId="0">
      <sharedItems containsNonDate="0" containsString="0" containsBlank="1"/>
    </cacheField>
    <cacheField name="Q26b | d. Data Not Collected | b. With children and adults" numFmtId="0">
      <sharedItems containsNonDate="0" containsString="0" containsBlank="1"/>
    </cacheField>
    <cacheField name="Q26b | d. Data Not Collected | c. With only children" numFmtId="0">
      <sharedItems containsNonDate="0" containsString="0" containsBlank="1"/>
    </cacheField>
    <cacheField name="Q26b | d. Data Not Collected | d. Unknown household type" numFmtId="0">
      <sharedItems containsNonDate="0" containsString="0" containsBlank="1"/>
    </cacheField>
    <cacheField name="Q26b | e. Total | Total" numFmtId="0">
      <sharedItems containsNonDate="0" containsString="0" containsBlank="1"/>
    </cacheField>
    <cacheField name="Q26b | e. Total | a. Without children" numFmtId="0">
      <sharedItems containsNonDate="0" containsString="0" containsBlank="1"/>
    </cacheField>
    <cacheField name="Q26b | e. Total | b. With children and adults" numFmtId="0">
      <sharedItems containsNonDate="0" containsString="0" containsBlank="1"/>
    </cacheField>
    <cacheField name="Q26b | e. Total | c. With only children" numFmtId="0">
      <sharedItems containsNonDate="0" containsString="0" containsBlank="1"/>
    </cacheField>
    <cacheField name="Q26b | e. Total | d. Unknown household type" numFmtId="0">
      <sharedItems containsNonDate="0" containsString="0" containsBlank="1"/>
    </cacheField>
    <cacheField name="ID" numFmtId="0">
      <sharedItems containsSemiMixedTypes="0" containsString="0" containsNumber="1" containsInteger="1" minValue="0" maxValue="29" count="21">
        <n v="11"/>
        <n v="0" u="1"/>
        <n v="13" u="1"/>
        <n v="14" u="1"/>
        <n v="15" u="1"/>
        <n v="16" u="1"/>
        <n v="17" u="1"/>
        <n v="18" u="1"/>
        <n v="19" u="1"/>
        <n v="20" u="1"/>
        <n v="21" u="1"/>
        <n v="22" u="1"/>
        <n v="1" u="1"/>
        <n v="23" u="1"/>
        <n v="24" u="1"/>
        <n v="25" u="1"/>
        <n v="26" u="1"/>
        <n v="27" u="1"/>
        <n v="28" u="1"/>
        <n v="29" u="1"/>
        <n v="12" u="1"/>
      </sharedItems>
    </cacheField>
    <cacheField name="xFilter" numFmtId="0">
      <sharedItems/>
    </cacheField>
    <cacheField name="Duplicate" numFmtId="0">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
  <r>
    <m/>
    <m/>
    <m/>
    <m/>
    <m/>
    <m/>
    <m/>
    <m/>
    <m/>
    <m/>
    <m/>
    <m/>
    <m/>
    <m/>
    <x v="0"/>
    <m/>
    <x v="0"/>
    <m/>
    <m/>
    <m/>
    <x v="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x v="0"/>
    <b v="1"/>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A3:A5" firstHeaderRow="1" firstDataRow="1" firstDataCol="1"/>
  <pivotFields count="1712">
    <pivotField showAll="0"/>
    <pivotField numFmtId="14" showAll="0"/>
    <pivotField numFmtId="14" showAll="0"/>
    <pivotField showAll="0"/>
    <pivotField showAll="0"/>
    <pivotField showAll="0"/>
    <pivotField showAll="0"/>
    <pivotField showAll="0"/>
    <pivotField showAll="0"/>
    <pivotField numFmtId="164" showAll="0"/>
    <pivotField showAll="0"/>
    <pivotField numFmtId="167" showAll="0"/>
    <pivotField showAll="0"/>
    <pivotField showAll="0"/>
    <pivotField showAll="0">
      <items count="17">
        <item m="1" x="5"/>
        <item m="1" x="12"/>
        <item m="1" x="14"/>
        <item m="1" x="4"/>
        <item m="1" x="13"/>
        <item m="1" x="15"/>
        <item m="1" x="7"/>
        <item m="1" x="9"/>
        <item m="1" x="1"/>
        <item m="1" x="8"/>
        <item m="1" x="2"/>
        <item m="1" x="11"/>
        <item m="1" x="6"/>
        <item m="1" x="10"/>
        <item m="1" x="3"/>
        <item x="0"/>
        <item t="default"/>
      </items>
    </pivotField>
    <pivotField showAll="0"/>
    <pivotField showAll="0">
      <items count="3">
        <item m="1" x="1"/>
        <item x="0"/>
        <item t="default"/>
      </items>
    </pivotField>
    <pivotField showAll="0"/>
    <pivotField showAll="0"/>
    <pivotField showAll="0"/>
    <pivotField showAll="0">
      <items count="3">
        <item m="1" x="1"/>
        <item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defaultSubtotal="0"/>
    <pivotField showAll="0" defaultSubtotal="0"/>
    <pivotField showAll="0" defaultSubtotal="0"/>
    <pivotField showAll="0" defaultSubtotal="0"/>
    <pivotField showAll="0" defaultSubtotal="0"/>
    <pivotField showAll="0"/>
    <pivotField showAll="0"/>
    <pivotField showAll="0"/>
    <pivotField showAll="0"/>
    <pivotField showAll="0"/>
    <pivotField showAll="0"/>
    <pivotField showAll="0"/>
    <pivotField showAll="0"/>
    <pivotField showAll="0"/>
    <pivotField showAll="0"/>
    <pivotField axis="axisRow" showAll="0" defaultSubtotal="0">
      <items count="21">
        <item x="0"/>
        <item m="1" x="20"/>
        <item m="1" x="2"/>
        <item m="1" x="3"/>
        <item m="1" x="4"/>
        <item m="1" x="5"/>
        <item m="1" x="6"/>
        <item m="1" x="7"/>
        <item m="1" x="8"/>
        <item m="1" x="9"/>
        <item m="1" x="1"/>
        <item m="1" x="10"/>
        <item m="1" x="11"/>
        <item m="1" x="13"/>
        <item m="1" x="14"/>
        <item m="1" x="15"/>
        <item m="1" x="16"/>
        <item m="1" x="17"/>
        <item m="1" x="18"/>
        <item m="1" x="19"/>
        <item m="1" x="12"/>
      </items>
    </pivotField>
    <pivotField showAll="0" defaultSubtotal="0"/>
    <pivotField showAll="0" defaultSubtotal="0"/>
  </pivotFields>
  <rowFields count="1">
    <field x="1709"/>
  </rowFields>
  <rowItems count="2">
    <i>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Q4a___Project_name" sourceName="Q4a | Project name | ">
  <pivotTables>
    <pivotTable tabId="50" name="PivotTable1"/>
  </pivotTables>
  <data>
    <tabular pivotCacheId="1" showMissing="0">
      <items count="2">
        <i x="0" s="1"/>
        <i x="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Project_Type" sourceName="Project Type">
  <pivotTables>
    <pivotTable tabId="50" name="PivotTable1"/>
  </pivotTables>
  <data>
    <tabular pivotCacheId="1" showMissing="0">
      <items count="2">
        <i x="0" s="1"/>
        <i x="1"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Organization" sourceName="Organization">
  <pivotTables>
    <pivotTable tabId="50" name="PivotTable1"/>
  </pivotTables>
  <data>
    <tabular pivotCacheId="1" showMissing="0">
      <items count="16">
        <i x="0" s="1"/>
        <i x="5" s="1" nd="1"/>
        <i x="12" s="1" nd="1"/>
        <i x="14" s="1" nd="1"/>
        <i x="4" s="1" nd="1"/>
        <i x="13" s="1" nd="1"/>
        <i x="15" s="1" nd="1"/>
        <i x="7" s="1" nd="1"/>
        <i x="9" s="1" nd="1"/>
        <i x="1" s="1" nd="1"/>
        <i x="8" s="1" nd="1"/>
        <i x="2" s="1" nd="1"/>
        <i x="11" s="1" nd="1"/>
        <i x="6" s="1" nd="1"/>
        <i x="10" s="1" nd="1"/>
        <i x="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ject name" cache="Slicer_Q4a___Project_name" caption="Project name" style="SlicerStyleDark5" rowHeight="241300"/>
  <slicer name="Project Type" cache="Slicer_Project_Type" caption="Project Type" columnCount="3" style="SlicerStyleDark5" rowHeight="241300"/>
  <slicer name="Organization" cache="Slicer_Organization" caption="Organization" style="SlicerStyleDark5" rowHeight="241300"/>
</slicers>
</file>

<file path=xl/tables/table1.xml><?xml version="1.0" encoding="utf-8"?>
<table xmlns="http://schemas.openxmlformats.org/spreadsheetml/2006/main" id="3" name="detail_table" displayName="detail_table" ref="A10:BMV11" headerRowDxfId="20">
  <autoFilter ref="A10:BMV1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filterColumn colId="114" hiddenButton="1"/>
    <filterColumn colId="115" hiddenButton="1"/>
    <filterColumn colId="116" hiddenButton="1"/>
    <filterColumn colId="117" hiddenButton="1"/>
    <filterColumn colId="118" hiddenButton="1"/>
    <filterColumn colId="119" hiddenButton="1"/>
    <filterColumn colId="120" hiddenButton="1"/>
    <filterColumn colId="121" hiddenButton="1"/>
    <filterColumn colId="122" hiddenButton="1"/>
    <filterColumn colId="123" hiddenButton="1"/>
    <filterColumn colId="124" hiddenButton="1"/>
    <filterColumn colId="125" hiddenButton="1"/>
    <filterColumn colId="126" hiddenButton="1"/>
    <filterColumn colId="127" hiddenButton="1"/>
    <filterColumn colId="128" hiddenButton="1"/>
    <filterColumn colId="129" hiddenButton="1"/>
    <filterColumn colId="130" hiddenButton="1"/>
    <filterColumn colId="131" hiddenButton="1"/>
    <filterColumn colId="132" hiddenButton="1"/>
    <filterColumn colId="133" hiddenButton="1"/>
    <filterColumn colId="134" hiddenButton="1"/>
    <filterColumn colId="135" hiddenButton="1"/>
    <filterColumn colId="136" hiddenButton="1"/>
    <filterColumn colId="137" hiddenButton="1"/>
    <filterColumn colId="138" hiddenButton="1"/>
    <filterColumn colId="139" hiddenButton="1"/>
    <filterColumn colId="140" hiddenButton="1"/>
    <filterColumn colId="141" hiddenButton="1"/>
    <filterColumn colId="142" hiddenButton="1"/>
    <filterColumn colId="143" hiddenButton="1"/>
    <filterColumn colId="144" hiddenButton="1"/>
    <filterColumn colId="145" hiddenButton="1"/>
    <filterColumn colId="146" hiddenButton="1"/>
    <filterColumn colId="147" hiddenButton="1"/>
    <filterColumn colId="148" hiddenButton="1"/>
    <filterColumn colId="149" hiddenButton="1"/>
    <filterColumn colId="150" hiddenButton="1"/>
    <filterColumn colId="151" hiddenButton="1"/>
    <filterColumn colId="152" hiddenButton="1"/>
    <filterColumn colId="153" hiddenButton="1"/>
    <filterColumn colId="154" hiddenButton="1"/>
    <filterColumn colId="155" hiddenButton="1"/>
    <filterColumn colId="156" hiddenButton="1"/>
    <filterColumn colId="157" hiddenButton="1"/>
    <filterColumn colId="158" hiddenButton="1"/>
    <filterColumn colId="159" hiddenButton="1"/>
    <filterColumn colId="160" hiddenButton="1"/>
    <filterColumn colId="161" hiddenButton="1"/>
    <filterColumn colId="162" hiddenButton="1"/>
    <filterColumn colId="163" hiddenButton="1"/>
    <filterColumn colId="164" hiddenButton="1"/>
    <filterColumn colId="165" hiddenButton="1"/>
    <filterColumn colId="166" hiddenButton="1"/>
    <filterColumn colId="167" hiddenButton="1"/>
    <filterColumn colId="168" hiddenButton="1"/>
    <filterColumn colId="169" hiddenButton="1"/>
    <filterColumn colId="170" hiddenButton="1"/>
    <filterColumn colId="171" hiddenButton="1"/>
    <filterColumn colId="172" hiddenButton="1"/>
    <filterColumn colId="173" hiddenButton="1"/>
    <filterColumn colId="174" hiddenButton="1"/>
    <filterColumn colId="175" hiddenButton="1"/>
    <filterColumn colId="176" hiddenButton="1"/>
    <filterColumn colId="177" hiddenButton="1"/>
    <filterColumn colId="178" hiddenButton="1"/>
    <filterColumn colId="179" hiddenButton="1"/>
    <filterColumn colId="180" hiddenButton="1"/>
    <filterColumn colId="181" hiddenButton="1"/>
    <filterColumn colId="182" hiddenButton="1"/>
    <filterColumn colId="183" hiddenButton="1"/>
    <filterColumn colId="184" hiddenButton="1"/>
    <filterColumn colId="185" hiddenButton="1"/>
    <filterColumn colId="186" hiddenButton="1"/>
    <filterColumn colId="187" hiddenButton="1"/>
    <filterColumn colId="188" hiddenButton="1"/>
    <filterColumn colId="189" hiddenButton="1"/>
    <filterColumn colId="190" hiddenButton="1"/>
    <filterColumn colId="191" hiddenButton="1"/>
    <filterColumn colId="192" hiddenButton="1"/>
    <filterColumn colId="193" hiddenButton="1"/>
    <filterColumn colId="194" hiddenButton="1"/>
    <filterColumn colId="195" hiddenButton="1"/>
    <filterColumn colId="196" hiddenButton="1"/>
    <filterColumn colId="197" hiddenButton="1"/>
    <filterColumn colId="198" hiddenButton="1"/>
    <filterColumn colId="199" hiddenButton="1"/>
    <filterColumn colId="200" hiddenButton="1"/>
    <filterColumn colId="201" hiddenButton="1"/>
    <filterColumn colId="202" hiddenButton="1"/>
    <filterColumn colId="203" hiddenButton="1"/>
    <filterColumn colId="204" hiddenButton="1"/>
    <filterColumn colId="205" hiddenButton="1"/>
    <filterColumn colId="206" hiddenButton="1"/>
    <filterColumn colId="207" hiddenButton="1"/>
    <filterColumn colId="208" hiddenButton="1"/>
    <filterColumn colId="209" hiddenButton="1"/>
    <filterColumn colId="210" hiddenButton="1"/>
    <filterColumn colId="211" hiddenButton="1"/>
    <filterColumn colId="212" hiddenButton="1"/>
    <filterColumn colId="213" hiddenButton="1"/>
    <filterColumn colId="214" hiddenButton="1"/>
    <filterColumn colId="215" hiddenButton="1"/>
    <filterColumn colId="216" hiddenButton="1"/>
    <filterColumn colId="217" hiddenButton="1"/>
    <filterColumn colId="218" hiddenButton="1"/>
    <filterColumn colId="219" hiddenButton="1"/>
    <filterColumn colId="220" hiddenButton="1"/>
    <filterColumn colId="221" hiddenButton="1"/>
    <filterColumn colId="222" hiddenButton="1"/>
    <filterColumn colId="223" hiddenButton="1"/>
    <filterColumn colId="224" hiddenButton="1"/>
    <filterColumn colId="225" hiddenButton="1"/>
    <filterColumn colId="226" hiddenButton="1"/>
    <filterColumn colId="227" hiddenButton="1"/>
    <filterColumn colId="228" hiddenButton="1"/>
    <filterColumn colId="229" hiddenButton="1"/>
    <filterColumn colId="230" hiddenButton="1"/>
    <filterColumn colId="231" hiddenButton="1"/>
    <filterColumn colId="232" hiddenButton="1"/>
    <filterColumn colId="233" hiddenButton="1"/>
    <filterColumn colId="234" hiddenButton="1"/>
    <filterColumn colId="235" hiddenButton="1"/>
    <filterColumn colId="236" hiddenButton="1"/>
    <filterColumn colId="237" hiddenButton="1"/>
    <filterColumn colId="238" hiddenButton="1"/>
    <filterColumn colId="239" hiddenButton="1"/>
    <filterColumn colId="240" hiddenButton="1"/>
    <filterColumn colId="241" hiddenButton="1"/>
    <filterColumn colId="242" hiddenButton="1"/>
    <filterColumn colId="243" hiddenButton="1"/>
    <filterColumn colId="244" hiddenButton="1"/>
    <filterColumn colId="245" hiddenButton="1"/>
    <filterColumn colId="246" hiddenButton="1"/>
    <filterColumn colId="247" hiddenButton="1"/>
    <filterColumn colId="248" hiddenButton="1"/>
    <filterColumn colId="249" hiddenButton="1"/>
    <filterColumn colId="250" hiddenButton="1"/>
    <filterColumn colId="251" hiddenButton="1"/>
    <filterColumn colId="252" hiddenButton="1"/>
    <filterColumn colId="253" hiddenButton="1"/>
    <filterColumn colId="254" hiddenButton="1"/>
    <filterColumn colId="255" hiddenButton="1"/>
    <filterColumn colId="256" hiddenButton="1"/>
    <filterColumn colId="257" hiddenButton="1"/>
    <filterColumn colId="258" hiddenButton="1"/>
    <filterColumn colId="259" hiddenButton="1"/>
    <filterColumn colId="260" hiddenButton="1"/>
    <filterColumn colId="261" hiddenButton="1"/>
    <filterColumn colId="262" hiddenButton="1"/>
    <filterColumn colId="263" hiddenButton="1"/>
    <filterColumn colId="264" hiddenButton="1"/>
    <filterColumn colId="265" hiddenButton="1"/>
    <filterColumn colId="266" hiddenButton="1"/>
    <filterColumn colId="267" hiddenButton="1"/>
    <filterColumn colId="268" hiddenButton="1"/>
    <filterColumn colId="269" hiddenButton="1"/>
    <filterColumn colId="270" hiddenButton="1"/>
    <filterColumn colId="271" hiddenButton="1"/>
    <filterColumn colId="272" hiddenButton="1"/>
    <filterColumn colId="273" hiddenButton="1"/>
    <filterColumn colId="274" hiddenButton="1"/>
    <filterColumn colId="275" hiddenButton="1"/>
    <filterColumn colId="276" hiddenButton="1"/>
    <filterColumn colId="277" hiddenButton="1"/>
    <filterColumn colId="278" hiddenButton="1"/>
    <filterColumn colId="279" hiddenButton="1"/>
    <filterColumn colId="280" hiddenButton="1"/>
    <filterColumn colId="281" hiddenButton="1"/>
    <filterColumn colId="282" hiddenButton="1"/>
    <filterColumn colId="283" hiddenButton="1"/>
    <filterColumn colId="284" hiddenButton="1"/>
    <filterColumn colId="285" hiddenButton="1"/>
    <filterColumn colId="286" hiddenButton="1"/>
    <filterColumn colId="287" hiddenButton="1"/>
    <filterColumn colId="302" hiddenButton="1"/>
    <filterColumn colId="303" hiddenButton="1"/>
    <filterColumn colId="304" hiddenButton="1"/>
    <filterColumn colId="305" hiddenButton="1"/>
    <filterColumn colId="306" hiddenButton="1"/>
    <filterColumn colId="307" hiddenButton="1"/>
    <filterColumn colId="308" hiddenButton="1"/>
    <filterColumn colId="309" hiddenButton="1"/>
    <filterColumn colId="310" hiddenButton="1"/>
    <filterColumn colId="311" hiddenButton="1"/>
    <filterColumn colId="312" hiddenButton="1"/>
    <filterColumn colId="313" hiddenButton="1"/>
    <filterColumn colId="314" hiddenButton="1"/>
    <filterColumn colId="315" hiddenButton="1"/>
    <filterColumn colId="316" hiddenButton="1"/>
    <filterColumn colId="317" hiddenButton="1"/>
    <filterColumn colId="318" hiddenButton="1"/>
    <filterColumn colId="319" hiddenButton="1"/>
    <filterColumn colId="320" hiddenButton="1"/>
    <filterColumn colId="321" hiddenButton="1"/>
    <filterColumn colId="322" hiddenButton="1"/>
    <filterColumn colId="323" hiddenButton="1"/>
    <filterColumn colId="324" hiddenButton="1"/>
    <filterColumn colId="325" hiddenButton="1"/>
    <filterColumn colId="326" hiddenButton="1"/>
    <filterColumn colId="327" hiddenButton="1"/>
    <filterColumn colId="328" hiddenButton="1"/>
    <filterColumn colId="329" hiddenButton="1"/>
    <filterColumn colId="330" hiddenButton="1"/>
    <filterColumn colId="331" hiddenButton="1"/>
    <filterColumn colId="332" hiddenButton="1"/>
    <filterColumn colId="333" hiddenButton="1"/>
    <filterColumn colId="334" hiddenButton="1"/>
    <filterColumn colId="335" hiddenButton="1"/>
    <filterColumn colId="336" hiddenButton="1"/>
    <filterColumn colId="337" hiddenButton="1"/>
    <filterColumn colId="338" hiddenButton="1"/>
    <filterColumn colId="339" hiddenButton="1"/>
    <filterColumn colId="340" hiddenButton="1"/>
    <filterColumn colId="341" hiddenButton="1"/>
    <filterColumn colId="342" hiddenButton="1"/>
    <filterColumn colId="343" hiddenButton="1"/>
    <filterColumn colId="344" hiddenButton="1"/>
    <filterColumn colId="345" hiddenButton="1"/>
    <filterColumn colId="346" hiddenButton="1"/>
    <filterColumn colId="347" hiddenButton="1"/>
    <filterColumn colId="348" hiddenButton="1"/>
    <filterColumn colId="349" hiddenButton="1"/>
    <filterColumn colId="350" hiddenButton="1"/>
    <filterColumn colId="351" hiddenButton="1"/>
    <filterColumn colId="352" hiddenButton="1"/>
    <filterColumn colId="353" hiddenButton="1"/>
    <filterColumn colId="354" hiddenButton="1"/>
    <filterColumn colId="355" hiddenButton="1"/>
    <filterColumn colId="356" hiddenButton="1"/>
    <filterColumn colId="357" hiddenButton="1"/>
    <filterColumn colId="358" hiddenButton="1"/>
    <filterColumn colId="359" hiddenButton="1"/>
    <filterColumn colId="360" hiddenButton="1"/>
    <filterColumn colId="361" hiddenButton="1"/>
    <filterColumn colId="362" hiddenButton="1"/>
    <filterColumn colId="363" hiddenButton="1"/>
    <filterColumn colId="364" hiddenButton="1"/>
    <filterColumn colId="365" hiddenButton="1"/>
    <filterColumn colId="366" hiddenButton="1"/>
    <filterColumn colId="367" hiddenButton="1"/>
    <filterColumn colId="368" hiddenButton="1"/>
    <filterColumn colId="369" hiddenButton="1"/>
    <filterColumn colId="370" hiddenButton="1"/>
    <filterColumn colId="371" hiddenButton="1"/>
    <filterColumn colId="372" hiddenButton="1"/>
    <filterColumn colId="373" hiddenButton="1"/>
    <filterColumn colId="374" hiddenButton="1"/>
    <filterColumn colId="375" hiddenButton="1"/>
    <filterColumn colId="376" hiddenButton="1"/>
    <filterColumn colId="377" hiddenButton="1"/>
    <filterColumn colId="378" hiddenButton="1"/>
    <filterColumn colId="379" hiddenButton="1"/>
    <filterColumn colId="380" hiddenButton="1"/>
    <filterColumn colId="381" hiddenButton="1"/>
    <filterColumn colId="382" hiddenButton="1"/>
    <filterColumn colId="383" hiddenButton="1"/>
    <filterColumn colId="384" hiddenButton="1"/>
    <filterColumn colId="385" hiddenButton="1"/>
    <filterColumn colId="386" hiddenButton="1"/>
    <filterColumn colId="387" hiddenButton="1"/>
    <filterColumn colId="388" hiddenButton="1"/>
    <filterColumn colId="389" hiddenButton="1"/>
    <filterColumn colId="390" hiddenButton="1"/>
    <filterColumn colId="391" hiddenButton="1"/>
    <filterColumn colId="392" hiddenButton="1"/>
    <filterColumn colId="393" hiddenButton="1"/>
    <filterColumn colId="394" hiddenButton="1"/>
    <filterColumn colId="395" hiddenButton="1"/>
    <filterColumn colId="396" hiddenButton="1"/>
    <filterColumn colId="397" hiddenButton="1"/>
    <filterColumn colId="398" hiddenButton="1"/>
    <filterColumn colId="399" hiddenButton="1"/>
    <filterColumn colId="400" hiddenButton="1"/>
    <filterColumn colId="401" hiddenButton="1"/>
    <filterColumn colId="402" hiddenButton="1"/>
    <filterColumn colId="403" hiddenButton="1"/>
    <filterColumn colId="404" hiddenButton="1"/>
    <filterColumn colId="405" hiddenButton="1"/>
    <filterColumn colId="406" hiddenButton="1"/>
    <filterColumn colId="407" hiddenButton="1"/>
    <filterColumn colId="408" hiddenButton="1"/>
    <filterColumn colId="409" hiddenButton="1"/>
    <filterColumn colId="410" hiddenButton="1"/>
    <filterColumn colId="411" hiddenButton="1"/>
    <filterColumn colId="412" hiddenButton="1"/>
    <filterColumn colId="413" hiddenButton="1"/>
    <filterColumn colId="414" hiddenButton="1"/>
    <filterColumn colId="415" hiddenButton="1"/>
    <filterColumn colId="416" hiddenButton="1"/>
    <filterColumn colId="417" hiddenButton="1"/>
    <filterColumn colId="418" hiddenButton="1"/>
    <filterColumn colId="419" hiddenButton="1"/>
    <filterColumn colId="420" hiddenButton="1"/>
    <filterColumn colId="421" hiddenButton="1"/>
    <filterColumn colId="422" hiddenButton="1"/>
    <filterColumn colId="423" hiddenButton="1"/>
    <filterColumn colId="424" hiddenButton="1"/>
    <filterColumn colId="425" hiddenButton="1"/>
    <filterColumn colId="426" hiddenButton="1"/>
    <filterColumn colId="427" hiddenButton="1"/>
    <filterColumn colId="428" hiddenButton="1"/>
    <filterColumn colId="429" hiddenButton="1"/>
    <filterColumn colId="430" hiddenButton="1"/>
    <filterColumn colId="431" hiddenButton="1"/>
    <filterColumn colId="432" hiddenButton="1"/>
    <filterColumn colId="433" hiddenButton="1"/>
    <filterColumn colId="434" hiddenButton="1"/>
    <filterColumn colId="435" hiddenButton="1"/>
    <filterColumn colId="436" hiddenButton="1"/>
    <filterColumn colId="437" hiddenButton="1"/>
    <filterColumn colId="438" hiddenButton="1"/>
    <filterColumn colId="439" hiddenButton="1"/>
    <filterColumn colId="440" hiddenButton="1"/>
    <filterColumn colId="441" hiddenButton="1"/>
    <filterColumn colId="442" hiddenButton="1"/>
    <filterColumn colId="443" hiddenButton="1"/>
    <filterColumn colId="444" hiddenButton="1"/>
    <filterColumn colId="445" hiddenButton="1"/>
    <filterColumn colId="446" hiddenButton="1"/>
    <filterColumn colId="447" hiddenButton="1"/>
    <filterColumn colId="448" hiddenButton="1"/>
    <filterColumn colId="449" hiddenButton="1"/>
    <filterColumn colId="450" hiddenButton="1"/>
    <filterColumn colId="451" hiddenButton="1"/>
    <filterColumn colId="452" hiddenButton="1"/>
    <filterColumn colId="453" hiddenButton="1"/>
    <filterColumn colId="454" hiddenButton="1"/>
    <filterColumn colId="455" hiddenButton="1"/>
    <filterColumn colId="456" hiddenButton="1"/>
    <filterColumn colId="457" hiddenButton="1"/>
    <filterColumn colId="458" hiddenButton="1"/>
    <filterColumn colId="459" hiddenButton="1"/>
    <filterColumn colId="460" hiddenButton="1"/>
    <filterColumn colId="461" hiddenButton="1"/>
    <filterColumn colId="462" hiddenButton="1"/>
    <filterColumn colId="463" hiddenButton="1"/>
    <filterColumn colId="464" hiddenButton="1"/>
    <filterColumn colId="465" hiddenButton="1"/>
    <filterColumn colId="466" hiddenButton="1"/>
    <filterColumn colId="467" hiddenButton="1"/>
    <filterColumn colId="468" hiddenButton="1"/>
    <filterColumn colId="469" hiddenButton="1"/>
    <filterColumn colId="470" hiddenButton="1"/>
    <filterColumn colId="471" hiddenButton="1"/>
    <filterColumn colId="472" hiddenButton="1"/>
    <filterColumn colId="473" hiddenButton="1"/>
    <filterColumn colId="474" hiddenButton="1"/>
    <filterColumn colId="475" hiddenButton="1"/>
    <filterColumn colId="476" hiddenButton="1"/>
    <filterColumn colId="477" hiddenButton="1"/>
    <filterColumn colId="478" hiddenButton="1"/>
    <filterColumn colId="479" hiddenButton="1"/>
    <filterColumn colId="480" hiddenButton="1"/>
    <filterColumn colId="481" hiddenButton="1"/>
    <filterColumn colId="482" hiddenButton="1"/>
    <filterColumn colId="483" hiddenButton="1"/>
    <filterColumn colId="484" hiddenButton="1"/>
    <filterColumn colId="485" hiddenButton="1"/>
    <filterColumn colId="486" hiddenButton="1"/>
    <filterColumn colId="487" hiddenButton="1"/>
    <filterColumn colId="488" hiddenButton="1"/>
    <filterColumn colId="489" hiddenButton="1"/>
    <filterColumn colId="490" hiddenButton="1"/>
    <filterColumn colId="491" hiddenButton="1"/>
    <filterColumn colId="492" hiddenButton="1"/>
    <filterColumn colId="493" hiddenButton="1"/>
    <filterColumn colId="494" hiddenButton="1"/>
    <filterColumn colId="495" hiddenButton="1"/>
    <filterColumn colId="496" hiddenButton="1"/>
    <filterColumn colId="497" hiddenButton="1"/>
    <filterColumn colId="498" hiddenButton="1"/>
    <filterColumn colId="499" hiddenButton="1"/>
    <filterColumn colId="500" hiddenButton="1"/>
    <filterColumn colId="501" hiddenButton="1"/>
    <filterColumn colId="502" hiddenButton="1"/>
    <filterColumn colId="503" hiddenButton="1"/>
    <filterColumn colId="504" hiddenButton="1"/>
    <filterColumn colId="505" hiddenButton="1"/>
    <filterColumn colId="506" hiddenButton="1"/>
    <filterColumn colId="507" hiddenButton="1"/>
    <filterColumn colId="508" hiddenButton="1"/>
    <filterColumn colId="509" hiddenButton="1"/>
    <filterColumn colId="510" hiddenButton="1"/>
    <filterColumn colId="511" hiddenButton="1"/>
    <filterColumn colId="512" hiddenButton="1"/>
    <filterColumn colId="513" hiddenButton="1"/>
    <filterColumn colId="514" hiddenButton="1"/>
    <filterColumn colId="515" hiddenButton="1"/>
    <filterColumn colId="516" hiddenButton="1"/>
    <filterColumn colId="517" hiddenButton="1"/>
    <filterColumn colId="518" hiddenButton="1"/>
    <filterColumn colId="519" hiddenButton="1"/>
    <filterColumn colId="520" hiddenButton="1"/>
    <filterColumn colId="521" hiddenButton="1"/>
    <filterColumn colId="522" hiddenButton="1"/>
    <filterColumn colId="523" hiddenButton="1"/>
    <filterColumn colId="524" hiddenButton="1"/>
    <filterColumn colId="525" hiddenButton="1"/>
    <filterColumn colId="526" hiddenButton="1"/>
    <filterColumn colId="527" hiddenButton="1"/>
    <filterColumn colId="528" hiddenButton="1"/>
    <filterColumn colId="529" hiddenButton="1"/>
    <filterColumn colId="530" hiddenButton="1"/>
    <filterColumn colId="531" hiddenButton="1"/>
    <filterColumn colId="532" hiddenButton="1"/>
    <filterColumn colId="533" hiddenButton="1"/>
    <filterColumn colId="534" hiddenButton="1"/>
    <filterColumn colId="535" hiddenButton="1"/>
    <filterColumn colId="536" hiddenButton="1"/>
    <filterColumn colId="537" hiddenButton="1"/>
    <filterColumn colId="538" hiddenButton="1"/>
    <filterColumn colId="539" hiddenButton="1"/>
    <filterColumn colId="540" hiddenButton="1"/>
    <filterColumn colId="541" hiddenButton="1"/>
    <filterColumn colId="542" hiddenButton="1"/>
    <filterColumn colId="543" hiddenButton="1"/>
    <filterColumn colId="544" hiddenButton="1"/>
    <filterColumn colId="545" hiddenButton="1"/>
    <filterColumn colId="546" hiddenButton="1"/>
    <filterColumn colId="547" hiddenButton="1"/>
    <filterColumn colId="548" hiddenButton="1"/>
    <filterColumn colId="549" hiddenButton="1"/>
    <filterColumn colId="550" hiddenButton="1"/>
    <filterColumn colId="551" hiddenButton="1"/>
    <filterColumn colId="552" hiddenButton="1"/>
    <filterColumn colId="553" hiddenButton="1"/>
    <filterColumn colId="554" hiddenButton="1"/>
    <filterColumn colId="555" hiddenButton="1"/>
    <filterColumn colId="556" hiddenButton="1"/>
    <filterColumn colId="557" hiddenButton="1"/>
    <filterColumn colId="558" hiddenButton="1"/>
    <filterColumn colId="559" hiddenButton="1"/>
    <filterColumn colId="560" hiddenButton="1"/>
    <filterColumn colId="561" hiddenButton="1"/>
    <filterColumn colId="562" hiddenButton="1"/>
    <filterColumn colId="563" hiddenButton="1"/>
    <filterColumn colId="564" hiddenButton="1"/>
    <filterColumn colId="565" hiddenButton="1"/>
    <filterColumn colId="566" hiddenButton="1"/>
    <filterColumn colId="567" hiddenButton="1"/>
    <filterColumn colId="568" hiddenButton="1"/>
    <filterColumn colId="569" hiddenButton="1"/>
    <filterColumn colId="570" hiddenButton="1"/>
    <filterColumn colId="571" hiddenButton="1"/>
    <filterColumn colId="572" hiddenButton="1"/>
    <filterColumn colId="573" hiddenButton="1"/>
    <filterColumn colId="574" hiddenButton="1"/>
    <filterColumn colId="575" hiddenButton="1"/>
    <filterColumn colId="576" hiddenButton="1"/>
    <filterColumn colId="577" hiddenButton="1"/>
    <filterColumn colId="578" hiddenButton="1"/>
    <filterColumn colId="579" hiddenButton="1"/>
    <filterColumn colId="580" hiddenButton="1"/>
    <filterColumn colId="581" hiddenButton="1"/>
    <filterColumn colId="582" hiddenButton="1"/>
    <filterColumn colId="583" hiddenButton="1"/>
    <filterColumn colId="584" hiddenButton="1"/>
    <filterColumn colId="585" hiddenButton="1"/>
    <filterColumn colId="586" hiddenButton="1"/>
    <filterColumn colId="587" hiddenButton="1"/>
    <filterColumn colId="588" hiddenButton="1"/>
    <filterColumn colId="589" hiddenButton="1"/>
    <filterColumn colId="590" hiddenButton="1"/>
    <filterColumn colId="591" hiddenButton="1"/>
    <filterColumn colId="592" hiddenButton="1"/>
    <filterColumn colId="593" hiddenButton="1"/>
    <filterColumn colId="594" hiddenButton="1"/>
    <filterColumn colId="595" hiddenButton="1"/>
    <filterColumn colId="596" hiddenButton="1"/>
    <filterColumn colId="597" hiddenButton="1"/>
    <filterColumn colId="598" hiddenButton="1"/>
    <filterColumn colId="599" hiddenButton="1"/>
    <filterColumn colId="600" hiddenButton="1"/>
    <filterColumn colId="601" hiddenButton="1"/>
    <filterColumn colId="602" hiddenButton="1"/>
    <filterColumn colId="603" hiddenButton="1"/>
    <filterColumn colId="604" hiddenButton="1"/>
    <filterColumn colId="605" hiddenButton="1"/>
    <filterColumn colId="606" hiddenButton="1"/>
    <filterColumn colId="607" hiddenButton="1"/>
    <filterColumn colId="608" hiddenButton="1"/>
    <filterColumn colId="609" hiddenButton="1"/>
    <filterColumn colId="610" hiddenButton="1"/>
    <filterColumn colId="611" hiddenButton="1"/>
    <filterColumn colId="612" hiddenButton="1"/>
    <filterColumn colId="613" hiddenButton="1"/>
    <filterColumn colId="614" hiddenButton="1"/>
    <filterColumn colId="615" hiddenButton="1"/>
    <filterColumn colId="616" hiddenButton="1"/>
    <filterColumn colId="617" hiddenButton="1"/>
    <filterColumn colId="618" hiddenButton="1"/>
    <filterColumn colId="619" hiddenButton="1"/>
    <filterColumn colId="620" hiddenButton="1"/>
    <filterColumn colId="621" hiddenButton="1"/>
    <filterColumn colId="622" hiddenButton="1"/>
    <filterColumn colId="623" hiddenButton="1"/>
    <filterColumn colId="624" hiddenButton="1"/>
    <filterColumn colId="625" hiddenButton="1"/>
    <filterColumn colId="626" hiddenButton="1"/>
    <filterColumn colId="627" hiddenButton="1"/>
    <filterColumn colId="628" hiddenButton="1"/>
    <filterColumn colId="629" hiddenButton="1"/>
    <filterColumn colId="630" hiddenButton="1"/>
    <filterColumn colId="631" hiddenButton="1"/>
    <filterColumn colId="632" hiddenButton="1"/>
    <filterColumn colId="633" hiddenButton="1"/>
    <filterColumn colId="634" hiddenButton="1"/>
    <filterColumn colId="635" hiddenButton="1"/>
    <filterColumn colId="636" hiddenButton="1"/>
    <filterColumn colId="637" hiddenButton="1"/>
    <filterColumn colId="638" hiddenButton="1"/>
    <filterColumn colId="639" hiddenButton="1"/>
    <filterColumn colId="640" hiddenButton="1"/>
    <filterColumn colId="641" hiddenButton="1"/>
    <filterColumn colId="642" hiddenButton="1"/>
    <filterColumn colId="643" hiddenButton="1"/>
    <filterColumn colId="644" hiddenButton="1"/>
    <filterColumn colId="645" hiddenButton="1"/>
    <filterColumn colId="646" hiddenButton="1"/>
    <filterColumn colId="647" hiddenButton="1"/>
    <filterColumn colId="648" hiddenButton="1"/>
    <filterColumn colId="649" hiddenButton="1"/>
    <filterColumn colId="650" hiddenButton="1"/>
    <filterColumn colId="651" hiddenButton="1"/>
    <filterColumn colId="652" hiddenButton="1"/>
    <filterColumn colId="653" hiddenButton="1"/>
    <filterColumn colId="654" hiddenButton="1"/>
    <filterColumn colId="655" hiddenButton="1"/>
    <filterColumn colId="656" hiddenButton="1"/>
    <filterColumn colId="657" hiddenButton="1"/>
    <filterColumn colId="658" hiddenButton="1"/>
    <filterColumn colId="659" hiddenButton="1"/>
    <filterColumn colId="660" hiddenButton="1"/>
    <filterColumn colId="661" hiddenButton="1"/>
    <filterColumn colId="662" hiddenButton="1"/>
    <filterColumn colId="663" hiddenButton="1"/>
    <filterColumn colId="664" hiddenButton="1"/>
    <filterColumn colId="665" hiddenButton="1"/>
    <filterColumn colId="666" hiddenButton="1"/>
    <filterColumn colId="667" hiddenButton="1"/>
    <filterColumn colId="668" hiddenButton="1"/>
    <filterColumn colId="669" hiddenButton="1"/>
    <filterColumn colId="670" hiddenButton="1"/>
    <filterColumn colId="671" hiddenButton="1"/>
    <filterColumn colId="672" hiddenButton="1"/>
    <filterColumn colId="673" hiddenButton="1"/>
    <filterColumn colId="674" hiddenButton="1"/>
    <filterColumn colId="675" hiddenButton="1"/>
    <filterColumn colId="676" hiddenButton="1"/>
    <filterColumn colId="677" hiddenButton="1"/>
    <filterColumn colId="678" hiddenButton="1"/>
    <filterColumn colId="679" hiddenButton="1"/>
    <filterColumn colId="680" hiddenButton="1"/>
    <filterColumn colId="681" hiddenButton="1"/>
    <filterColumn colId="682" hiddenButton="1"/>
    <filterColumn colId="683" hiddenButton="1"/>
    <filterColumn colId="684" hiddenButton="1"/>
    <filterColumn colId="685" hiddenButton="1"/>
    <filterColumn colId="686" hiddenButton="1"/>
    <filterColumn colId="687" hiddenButton="1"/>
    <filterColumn colId="688" hiddenButton="1"/>
    <filterColumn colId="689" hiddenButton="1"/>
    <filterColumn colId="690" hiddenButton="1"/>
    <filterColumn colId="691" hiddenButton="1"/>
    <filterColumn colId="692" hiddenButton="1"/>
    <filterColumn colId="693" hiddenButton="1"/>
    <filterColumn colId="694" hiddenButton="1"/>
    <filterColumn colId="695" hiddenButton="1"/>
    <filterColumn colId="696" hiddenButton="1"/>
    <filterColumn colId="697" hiddenButton="1"/>
    <filterColumn colId="698" hiddenButton="1"/>
    <filterColumn colId="699" hiddenButton="1"/>
    <filterColumn colId="700" hiddenButton="1"/>
    <filterColumn colId="701" hiddenButton="1"/>
    <filterColumn colId="702" hiddenButton="1"/>
    <filterColumn colId="703" hiddenButton="1"/>
    <filterColumn colId="704" hiddenButton="1"/>
    <filterColumn colId="705" hiddenButton="1"/>
    <filterColumn colId="706" hiddenButton="1"/>
    <filterColumn colId="707" hiddenButton="1"/>
    <filterColumn colId="708" hiddenButton="1"/>
    <filterColumn colId="709" hiddenButton="1"/>
    <filterColumn colId="710" hiddenButton="1"/>
    <filterColumn colId="711" hiddenButton="1"/>
    <filterColumn colId="712" hiddenButton="1"/>
    <filterColumn colId="713" hiddenButton="1"/>
    <filterColumn colId="714" hiddenButton="1"/>
    <filterColumn colId="715" hiddenButton="1"/>
    <filterColumn colId="716" hiddenButton="1"/>
    <filterColumn colId="717" hiddenButton="1"/>
    <filterColumn colId="718" hiddenButton="1"/>
    <filterColumn colId="719" hiddenButton="1"/>
    <filterColumn colId="720" hiddenButton="1"/>
    <filterColumn colId="721" hiddenButton="1"/>
    <filterColumn colId="722" hiddenButton="1"/>
    <filterColumn colId="723" hiddenButton="1"/>
    <filterColumn colId="724" hiddenButton="1"/>
    <filterColumn colId="725" hiddenButton="1"/>
    <filterColumn colId="726" hiddenButton="1"/>
    <filterColumn colId="727" hiddenButton="1"/>
    <filterColumn colId="728" hiddenButton="1"/>
    <filterColumn colId="729" hiddenButton="1"/>
    <filterColumn colId="730" hiddenButton="1"/>
    <filterColumn colId="731" hiddenButton="1"/>
    <filterColumn colId="732" hiddenButton="1"/>
    <filterColumn colId="733" hiddenButton="1"/>
    <filterColumn colId="734" hiddenButton="1"/>
    <filterColumn colId="735" hiddenButton="1"/>
    <filterColumn colId="736" hiddenButton="1"/>
    <filterColumn colId="737" hiddenButton="1"/>
    <filterColumn colId="738" hiddenButton="1"/>
    <filterColumn colId="739" hiddenButton="1"/>
    <filterColumn colId="740" hiddenButton="1"/>
    <filterColumn colId="741" hiddenButton="1"/>
    <filterColumn colId="742" hiddenButton="1"/>
    <filterColumn colId="743" hiddenButton="1"/>
    <filterColumn colId="744" hiddenButton="1"/>
    <filterColumn colId="745" hiddenButton="1"/>
    <filterColumn colId="746" hiddenButton="1"/>
    <filterColumn colId="747" hiddenButton="1"/>
    <filterColumn colId="748" hiddenButton="1"/>
    <filterColumn colId="749" hiddenButton="1"/>
    <filterColumn colId="750" hiddenButton="1"/>
    <filterColumn colId="751" hiddenButton="1"/>
    <filterColumn colId="752" hiddenButton="1"/>
    <filterColumn colId="753" hiddenButton="1"/>
    <filterColumn colId="754" hiddenButton="1"/>
    <filterColumn colId="755" hiddenButton="1"/>
    <filterColumn colId="756" hiddenButton="1"/>
    <filterColumn colId="757" hiddenButton="1"/>
    <filterColumn colId="758" hiddenButton="1"/>
    <filterColumn colId="759" hiddenButton="1"/>
    <filterColumn colId="760" hiddenButton="1"/>
    <filterColumn colId="761" hiddenButton="1"/>
    <filterColumn colId="762" hiddenButton="1"/>
    <filterColumn colId="763" hiddenButton="1"/>
    <filterColumn colId="764" hiddenButton="1"/>
    <filterColumn colId="765" hiddenButton="1"/>
    <filterColumn colId="766" hiddenButton="1"/>
    <filterColumn colId="767" hiddenButton="1"/>
    <filterColumn colId="768" hiddenButton="1"/>
    <filterColumn colId="769" hiddenButton="1"/>
    <filterColumn colId="770" hiddenButton="1"/>
    <filterColumn colId="771" hiddenButton="1"/>
    <filterColumn colId="772" hiddenButton="1"/>
    <filterColumn colId="773" hiddenButton="1"/>
    <filterColumn colId="774" hiddenButton="1"/>
    <filterColumn colId="775" hiddenButton="1"/>
    <filterColumn colId="776" hiddenButton="1"/>
    <filterColumn colId="777" hiddenButton="1"/>
    <filterColumn colId="778" hiddenButton="1"/>
    <filterColumn colId="779" hiddenButton="1"/>
    <filterColumn colId="780" hiddenButton="1"/>
    <filterColumn colId="781" hiddenButton="1"/>
    <filterColumn colId="782" hiddenButton="1"/>
    <filterColumn colId="783" hiddenButton="1"/>
    <filterColumn colId="784" hiddenButton="1"/>
    <filterColumn colId="785" hiddenButton="1"/>
    <filterColumn colId="786" hiddenButton="1"/>
    <filterColumn colId="787" hiddenButton="1"/>
    <filterColumn colId="788" hiddenButton="1"/>
    <filterColumn colId="789" hiddenButton="1"/>
    <filterColumn colId="790" hiddenButton="1"/>
    <filterColumn colId="791" hiddenButton="1"/>
    <filterColumn colId="792" hiddenButton="1"/>
    <filterColumn colId="793" hiddenButton="1"/>
    <filterColumn colId="794" hiddenButton="1"/>
    <filterColumn colId="795" hiddenButton="1"/>
    <filterColumn colId="796" hiddenButton="1"/>
    <filterColumn colId="797" hiddenButton="1"/>
    <filterColumn colId="798" hiddenButton="1"/>
    <filterColumn colId="799" hiddenButton="1"/>
    <filterColumn colId="800" hiddenButton="1"/>
    <filterColumn colId="801" hiddenButton="1"/>
    <filterColumn colId="802" hiddenButton="1"/>
    <filterColumn colId="803" hiddenButton="1"/>
    <filterColumn colId="804" hiddenButton="1"/>
    <filterColumn colId="805" hiddenButton="1"/>
    <filterColumn colId="806" hiddenButton="1"/>
    <filterColumn colId="807" hiddenButton="1"/>
    <filterColumn colId="808" hiddenButton="1"/>
    <filterColumn colId="809" hiddenButton="1"/>
    <filterColumn colId="810" hiddenButton="1"/>
    <filterColumn colId="811" hiddenButton="1"/>
    <filterColumn colId="812" hiddenButton="1"/>
    <filterColumn colId="813" hiddenButton="1"/>
    <filterColumn colId="814" hiddenButton="1"/>
    <filterColumn colId="815" hiddenButton="1"/>
    <filterColumn colId="816" hiddenButton="1"/>
    <filterColumn colId="817" hiddenButton="1"/>
    <filterColumn colId="818" hiddenButton="1"/>
    <filterColumn colId="819" hiddenButton="1"/>
    <filterColumn colId="820" hiddenButton="1"/>
    <filterColumn colId="821" hiddenButton="1"/>
    <filterColumn colId="822" hiddenButton="1"/>
    <filterColumn colId="823" hiddenButton="1"/>
    <filterColumn colId="824" hiddenButton="1"/>
    <filterColumn colId="825" hiddenButton="1"/>
    <filterColumn colId="826" hiddenButton="1"/>
    <filterColumn colId="827" hiddenButton="1"/>
    <filterColumn colId="828" hiddenButton="1"/>
    <filterColumn colId="829" hiddenButton="1"/>
    <filterColumn colId="830" hiddenButton="1"/>
    <filterColumn colId="831" hiddenButton="1"/>
    <filterColumn colId="832" hiddenButton="1"/>
    <filterColumn colId="833" hiddenButton="1"/>
    <filterColumn colId="834" hiddenButton="1"/>
    <filterColumn colId="835" hiddenButton="1"/>
    <filterColumn colId="836" hiddenButton="1"/>
    <filterColumn colId="837" hiddenButton="1"/>
    <filterColumn colId="838" hiddenButton="1"/>
    <filterColumn colId="839" hiddenButton="1"/>
    <filterColumn colId="840" hiddenButton="1"/>
    <filterColumn colId="841" hiddenButton="1"/>
    <filterColumn colId="842" hiddenButton="1"/>
    <filterColumn colId="843" hiddenButton="1"/>
    <filterColumn colId="844" hiddenButton="1"/>
    <filterColumn colId="845" hiddenButton="1"/>
    <filterColumn colId="846" hiddenButton="1"/>
    <filterColumn colId="847" hiddenButton="1"/>
    <filterColumn colId="848" hiddenButton="1"/>
    <filterColumn colId="849" hiddenButton="1"/>
    <filterColumn colId="850" hiddenButton="1"/>
    <filterColumn colId="851" hiddenButton="1"/>
    <filterColumn colId="852" hiddenButton="1"/>
    <filterColumn colId="853" hiddenButton="1"/>
    <filterColumn colId="854" hiddenButton="1"/>
    <filterColumn colId="855" hiddenButton="1"/>
    <filterColumn colId="856" hiddenButton="1"/>
    <filterColumn colId="857" hiddenButton="1"/>
    <filterColumn colId="858" hiddenButton="1"/>
    <filterColumn colId="859" hiddenButton="1"/>
    <filterColumn colId="860" hiddenButton="1"/>
    <filterColumn colId="861" hiddenButton="1"/>
    <filterColumn colId="862" hiddenButton="1"/>
    <filterColumn colId="863" hiddenButton="1"/>
    <filterColumn colId="864" hiddenButton="1"/>
    <filterColumn colId="865" hiddenButton="1"/>
    <filterColumn colId="866" hiddenButton="1"/>
    <filterColumn colId="867" hiddenButton="1"/>
    <filterColumn colId="868" hiddenButton="1"/>
    <filterColumn colId="869" hiddenButton="1"/>
    <filterColumn colId="870" hiddenButton="1"/>
    <filterColumn colId="871" hiddenButton="1"/>
    <filterColumn colId="872" hiddenButton="1"/>
    <filterColumn colId="873" hiddenButton="1"/>
    <filterColumn colId="874" hiddenButton="1"/>
    <filterColumn colId="875" hiddenButton="1"/>
    <filterColumn colId="876" hiddenButton="1"/>
    <filterColumn colId="877" hiddenButton="1"/>
    <filterColumn colId="878" hiddenButton="1"/>
    <filterColumn colId="879" hiddenButton="1"/>
    <filterColumn colId="880" hiddenButton="1"/>
    <filterColumn colId="881" hiddenButton="1"/>
    <filterColumn colId="882" hiddenButton="1"/>
    <filterColumn colId="883" hiddenButton="1"/>
    <filterColumn colId="884" hiddenButton="1"/>
    <filterColumn colId="885" hiddenButton="1"/>
    <filterColumn colId="886" hiddenButton="1"/>
    <filterColumn colId="887" hiddenButton="1"/>
    <filterColumn colId="888" hiddenButton="1"/>
    <filterColumn colId="889" hiddenButton="1"/>
    <filterColumn colId="890" hiddenButton="1"/>
    <filterColumn colId="891" hiddenButton="1"/>
    <filterColumn colId="892" hiddenButton="1"/>
    <filterColumn colId="893" hiddenButton="1"/>
    <filterColumn colId="894" hiddenButton="1"/>
    <filterColumn colId="895" hiddenButton="1"/>
    <filterColumn colId="896" hiddenButton="1"/>
    <filterColumn colId="897" hiddenButton="1"/>
    <filterColumn colId="898" hiddenButton="1"/>
    <filterColumn colId="899" hiddenButton="1"/>
    <filterColumn colId="900" hiddenButton="1"/>
    <filterColumn colId="901" hiddenButton="1"/>
    <filterColumn colId="902" hiddenButton="1"/>
    <filterColumn colId="903" hiddenButton="1"/>
    <filterColumn colId="904" hiddenButton="1"/>
    <filterColumn colId="905" hiddenButton="1"/>
    <filterColumn colId="906" hiddenButton="1"/>
    <filterColumn colId="907" hiddenButton="1"/>
    <filterColumn colId="908" hiddenButton="1"/>
    <filterColumn colId="909" hiddenButton="1"/>
    <filterColumn colId="910" hiddenButton="1"/>
    <filterColumn colId="911" hiddenButton="1"/>
    <filterColumn colId="912" hiddenButton="1"/>
    <filterColumn colId="913" hiddenButton="1"/>
    <filterColumn colId="914" hiddenButton="1"/>
    <filterColumn colId="915" hiddenButton="1"/>
    <filterColumn colId="916" hiddenButton="1"/>
    <filterColumn colId="917" hiddenButton="1"/>
    <filterColumn colId="918" hiddenButton="1"/>
    <filterColumn colId="919" hiddenButton="1"/>
    <filterColumn colId="920" hiddenButton="1"/>
    <filterColumn colId="921" hiddenButton="1"/>
    <filterColumn colId="922" hiddenButton="1"/>
    <filterColumn colId="923" hiddenButton="1"/>
    <filterColumn colId="924" hiddenButton="1"/>
    <filterColumn colId="925" hiddenButton="1"/>
    <filterColumn colId="926" hiddenButton="1"/>
    <filterColumn colId="927" hiddenButton="1"/>
    <filterColumn colId="928" hiddenButton="1"/>
    <filterColumn colId="929" hiddenButton="1"/>
    <filterColumn colId="930" hiddenButton="1"/>
    <filterColumn colId="931" hiddenButton="1"/>
    <filterColumn colId="932" hiddenButton="1"/>
    <filterColumn colId="933" hiddenButton="1"/>
    <filterColumn colId="934" hiddenButton="1"/>
    <filterColumn colId="935" hiddenButton="1"/>
    <filterColumn colId="936" hiddenButton="1"/>
    <filterColumn colId="937" hiddenButton="1"/>
    <filterColumn colId="938" hiddenButton="1"/>
    <filterColumn colId="939" hiddenButton="1"/>
    <filterColumn colId="940" hiddenButton="1"/>
    <filterColumn colId="941" hiddenButton="1"/>
    <filterColumn colId="942" hiddenButton="1"/>
    <filterColumn colId="943" hiddenButton="1"/>
    <filterColumn colId="944" hiddenButton="1"/>
    <filterColumn colId="945" hiddenButton="1"/>
    <filterColumn colId="946" hiddenButton="1"/>
    <filterColumn colId="947" hiddenButton="1"/>
    <filterColumn colId="948" hiddenButton="1"/>
    <filterColumn colId="949" hiddenButton="1"/>
    <filterColumn colId="950" hiddenButton="1"/>
    <filterColumn colId="951" hiddenButton="1"/>
    <filterColumn colId="952" hiddenButton="1"/>
    <filterColumn colId="953" hiddenButton="1"/>
    <filterColumn colId="954" hiddenButton="1"/>
    <filterColumn colId="955" hiddenButton="1"/>
    <filterColumn colId="956" hiddenButton="1"/>
    <filterColumn colId="957" hiddenButton="1"/>
    <filterColumn colId="958" hiddenButton="1"/>
    <filterColumn colId="959" hiddenButton="1"/>
    <filterColumn colId="960" hiddenButton="1"/>
    <filterColumn colId="961" hiddenButton="1"/>
    <filterColumn colId="962" hiddenButton="1"/>
    <filterColumn colId="963" hiddenButton="1"/>
    <filterColumn colId="964" hiddenButton="1"/>
    <filterColumn colId="965" hiddenButton="1"/>
    <filterColumn colId="966" hiddenButton="1"/>
    <filterColumn colId="967" hiddenButton="1"/>
    <filterColumn colId="968" hiddenButton="1"/>
    <filterColumn colId="969" hiddenButton="1"/>
    <filterColumn colId="970" hiddenButton="1"/>
    <filterColumn colId="971" hiddenButton="1"/>
    <filterColumn colId="972" hiddenButton="1"/>
    <filterColumn colId="973" hiddenButton="1"/>
    <filterColumn colId="974" hiddenButton="1"/>
    <filterColumn colId="975" hiddenButton="1"/>
    <filterColumn colId="976" hiddenButton="1"/>
    <filterColumn colId="977" hiddenButton="1"/>
    <filterColumn colId="978" hiddenButton="1"/>
    <filterColumn colId="979" hiddenButton="1"/>
    <filterColumn colId="980" hiddenButton="1"/>
    <filterColumn colId="981" hiddenButton="1"/>
    <filterColumn colId="982" hiddenButton="1"/>
    <filterColumn colId="983" hiddenButton="1"/>
    <filterColumn colId="984" hiddenButton="1"/>
    <filterColumn colId="985" hiddenButton="1"/>
    <filterColumn colId="986" hiddenButton="1"/>
    <filterColumn colId="987" hiddenButton="1"/>
    <filterColumn colId="988" hiddenButton="1"/>
    <filterColumn colId="989" hiddenButton="1"/>
    <filterColumn colId="990" hiddenButton="1"/>
    <filterColumn colId="991" hiddenButton="1"/>
    <filterColumn colId="992" hiddenButton="1"/>
    <filterColumn colId="993" hiddenButton="1"/>
    <filterColumn colId="994" hiddenButton="1"/>
    <filterColumn colId="995" hiddenButton="1"/>
    <filterColumn colId="996" hiddenButton="1"/>
    <filterColumn colId="997" hiddenButton="1"/>
    <filterColumn colId="998" hiddenButton="1"/>
    <filterColumn colId="999" hiddenButton="1"/>
    <filterColumn colId="1000" hiddenButton="1"/>
    <filterColumn colId="1001" hiddenButton="1"/>
    <filterColumn colId="1002" hiddenButton="1"/>
    <filterColumn colId="1003" hiddenButton="1"/>
    <filterColumn colId="1004" hiddenButton="1"/>
    <filterColumn colId="1005" hiddenButton="1"/>
    <filterColumn colId="1006" hiddenButton="1"/>
    <filterColumn colId="1007" hiddenButton="1"/>
    <filterColumn colId="1008" hiddenButton="1"/>
    <filterColumn colId="1009" hiddenButton="1"/>
    <filterColumn colId="1010" hiddenButton="1"/>
    <filterColumn colId="1011" hiddenButton="1"/>
    <filterColumn colId="1012" hiddenButton="1"/>
    <filterColumn colId="1013" hiddenButton="1"/>
    <filterColumn colId="1014" hiddenButton="1"/>
    <filterColumn colId="1015" hiddenButton="1"/>
    <filterColumn colId="1016" hiddenButton="1"/>
    <filterColumn colId="1017" hiddenButton="1"/>
    <filterColumn colId="1018" hiddenButton="1"/>
    <filterColumn colId="1019" hiddenButton="1"/>
    <filterColumn colId="1020" hiddenButton="1"/>
    <filterColumn colId="1021" hiddenButton="1"/>
    <filterColumn colId="1022" hiddenButton="1"/>
    <filterColumn colId="1023" hiddenButton="1"/>
    <filterColumn colId="1024" hiddenButton="1"/>
    <filterColumn colId="1025" hiddenButton="1"/>
    <filterColumn colId="1026" hiddenButton="1"/>
    <filterColumn colId="1027" hiddenButton="1"/>
    <filterColumn colId="1028" hiddenButton="1"/>
    <filterColumn colId="1029" hiddenButton="1"/>
    <filterColumn colId="1030" hiddenButton="1"/>
    <filterColumn colId="1031" hiddenButton="1"/>
    <filterColumn colId="1032" hiddenButton="1"/>
    <filterColumn colId="1033" hiddenButton="1"/>
    <filterColumn colId="1034" hiddenButton="1"/>
    <filterColumn colId="1035" hiddenButton="1"/>
    <filterColumn colId="1036" hiddenButton="1"/>
    <filterColumn colId="1037" hiddenButton="1"/>
    <filterColumn colId="1038" hiddenButton="1"/>
    <filterColumn colId="1039" hiddenButton="1"/>
    <filterColumn colId="1040" hiddenButton="1"/>
    <filterColumn colId="1041" hiddenButton="1"/>
    <filterColumn colId="1042" hiddenButton="1"/>
    <filterColumn colId="1043" hiddenButton="1"/>
    <filterColumn colId="1044" hiddenButton="1"/>
    <filterColumn colId="1045" hiddenButton="1"/>
    <filterColumn colId="1046" hiddenButton="1"/>
    <filterColumn colId="1047" hiddenButton="1"/>
    <filterColumn colId="1048" hiddenButton="1"/>
    <filterColumn colId="1049" hiddenButton="1"/>
    <filterColumn colId="1050" hiddenButton="1"/>
    <filterColumn colId="1051" hiddenButton="1"/>
    <filterColumn colId="1052" hiddenButton="1"/>
    <filterColumn colId="1053" hiddenButton="1"/>
    <filterColumn colId="1054" hiddenButton="1"/>
    <filterColumn colId="1055" hiddenButton="1"/>
    <filterColumn colId="1056" hiddenButton="1"/>
    <filterColumn colId="1057" hiddenButton="1"/>
    <filterColumn colId="1058" hiddenButton="1"/>
    <filterColumn colId="1059" hiddenButton="1"/>
    <filterColumn colId="1060" hiddenButton="1"/>
    <filterColumn colId="1061" hiddenButton="1"/>
    <filterColumn colId="1062" hiddenButton="1"/>
    <filterColumn colId="1063" hiddenButton="1"/>
    <filterColumn colId="1064" hiddenButton="1"/>
    <filterColumn colId="1065" hiddenButton="1"/>
    <filterColumn colId="1066" hiddenButton="1"/>
    <filterColumn colId="1067" hiddenButton="1"/>
    <filterColumn colId="1068" hiddenButton="1"/>
    <filterColumn colId="1069" hiddenButton="1"/>
    <filterColumn colId="1070" hiddenButton="1"/>
    <filterColumn colId="1071" hiddenButton="1"/>
    <filterColumn colId="1072" hiddenButton="1"/>
    <filterColumn colId="1073" hiddenButton="1"/>
    <filterColumn colId="1074" hiddenButton="1"/>
    <filterColumn colId="1075" hiddenButton="1"/>
    <filterColumn colId="1076" hiddenButton="1"/>
    <filterColumn colId="1077" hiddenButton="1"/>
    <filterColumn colId="1078" hiddenButton="1"/>
    <filterColumn colId="1079" hiddenButton="1"/>
    <filterColumn colId="1080" hiddenButton="1"/>
    <filterColumn colId="1081" hiddenButton="1"/>
    <filterColumn colId="1082" hiddenButton="1"/>
    <filterColumn colId="1083" hiddenButton="1"/>
    <filterColumn colId="1084" hiddenButton="1"/>
    <filterColumn colId="1085" hiddenButton="1"/>
    <filterColumn colId="1086" hiddenButton="1"/>
    <filterColumn colId="1087" hiddenButton="1"/>
    <filterColumn colId="1088" hiddenButton="1"/>
    <filterColumn colId="1089" hiddenButton="1"/>
    <filterColumn colId="1090" hiddenButton="1"/>
    <filterColumn colId="1091" hiddenButton="1"/>
    <filterColumn colId="1092" hiddenButton="1"/>
    <filterColumn colId="1093" hiddenButton="1"/>
    <filterColumn colId="1094" hiddenButton="1"/>
    <filterColumn colId="1095" hiddenButton="1"/>
    <filterColumn colId="1096" hiddenButton="1"/>
    <filterColumn colId="1097" hiddenButton="1"/>
    <filterColumn colId="1098" hiddenButton="1"/>
    <filterColumn colId="1099" hiddenButton="1"/>
    <filterColumn colId="1100" hiddenButton="1"/>
    <filterColumn colId="1101" hiddenButton="1"/>
    <filterColumn colId="1102" hiddenButton="1"/>
    <filterColumn colId="1103" hiddenButton="1"/>
    <filterColumn colId="1104" hiddenButton="1"/>
    <filterColumn colId="1105" hiddenButton="1"/>
    <filterColumn colId="1106" hiddenButton="1"/>
    <filterColumn colId="1107" hiddenButton="1"/>
    <filterColumn colId="1108" hiddenButton="1"/>
    <filterColumn colId="1109" hiddenButton="1"/>
    <filterColumn colId="1110" hiddenButton="1"/>
    <filterColumn colId="1111" hiddenButton="1"/>
    <filterColumn colId="1112" hiddenButton="1"/>
    <filterColumn colId="1113" hiddenButton="1"/>
    <filterColumn colId="1114" hiddenButton="1"/>
    <filterColumn colId="1115" hiddenButton="1"/>
    <filterColumn colId="1116" hiddenButton="1"/>
    <filterColumn colId="1117" hiddenButton="1"/>
    <filterColumn colId="1118" hiddenButton="1"/>
    <filterColumn colId="1119" hiddenButton="1"/>
    <filterColumn colId="1120" hiddenButton="1"/>
    <filterColumn colId="1121" hiddenButton="1"/>
    <filterColumn colId="1122" hiddenButton="1"/>
    <filterColumn colId="1123" hiddenButton="1"/>
    <filterColumn colId="1124" hiddenButton="1"/>
    <filterColumn colId="1125" hiddenButton="1"/>
    <filterColumn colId="1126" hiddenButton="1"/>
    <filterColumn colId="1127" hiddenButton="1"/>
    <filterColumn colId="1128" hiddenButton="1"/>
    <filterColumn colId="1129" hiddenButton="1"/>
    <filterColumn colId="1130" hiddenButton="1"/>
    <filterColumn colId="1131" hiddenButton="1"/>
    <filterColumn colId="1132" hiddenButton="1"/>
    <filterColumn colId="1133" hiddenButton="1"/>
    <filterColumn colId="1134" hiddenButton="1"/>
    <filterColumn colId="1135" hiddenButton="1"/>
    <filterColumn colId="1136" hiddenButton="1"/>
    <filterColumn colId="1137" hiddenButton="1"/>
    <filterColumn colId="1138" hiddenButton="1"/>
    <filterColumn colId="1139" hiddenButton="1"/>
    <filterColumn colId="1140" hiddenButton="1"/>
    <filterColumn colId="1141" hiddenButton="1"/>
    <filterColumn colId="1142" hiddenButton="1"/>
    <filterColumn colId="1143" hiddenButton="1"/>
    <filterColumn colId="1144" hiddenButton="1"/>
    <filterColumn colId="1145" hiddenButton="1"/>
    <filterColumn colId="1146" hiddenButton="1"/>
    <filterColumn colId="1147" hiddenButton="1"/>
    <filterColumn colId="1148" hiddenButton="1"/>
    <filterColumn colId="1149" hiddenButton="1"/>
    <filterColumn colId="1150" hiddenButton="1"/>
    <filterColumn colId="1151" hiddenButton="1"/>
    <filterColumn colId="1152" hiddenButton="1"/>
    <filterColumn colId="1153" hiddenButton="1"/>
    <filterColumn colId="1154" hiddenButton="1"/>
    <filterColumn colId="1155" hiddenButton="1"/>
    <filterColumn colId="1156" hiddenButton="1"/>
    <filterColumn colId="1157" hiddenButton="1"/>
    <filterColumn colId="1158" hiddenButton="1"/>
    <filterColumn colId="1159" hiddenButton="1"/>
    <filterColumn colId="1160" hiddenButton="1"/>
    <filterColumn colId="1161" hiddenButton="1"/>
    <filterColumn colId="1162" hiddenButton="1"/>
    <filterColumn colId="1163" hiddenButton="1"/>
    <filterColumn colId="1164" hiddenButton="1"/>
    <filterColumn colId="1165" hiddenButton="1"/>
    <filterColumn colId="1166" hiddenButton="1"/>
    <filterColumn colId="1167" hiddenButton="1"/>
    <filterColumn colId="1168" hiddenButton="1"/>
    <filterColumn colId="1169" hiddenButton="1"/>
    <filterColumn colId="1170" hiddenButton="1"/>
    <filterColumn colId="1171" hiddenButton="1"/>
    <filterColumn colId="1172" hiddenButton="1"/>
    <filterColumn colId="1173" hiddenButton="1"/>
    <filterColumn colId="1174" hiddenButton="1"/>
    <filterColumn colId="1175" hiddenButton="1"/>
    <filterColumn colId="1176" hiddenButton="1"/>
    <filterColumn colId="1177" hiddenButton="1"/>
    <filterColumn colId="1178" hiddenButton="1"/>
    <filterColumn colId="1179" hiddenButton="1"/>
    <filterColumn colId="1180" hiddenButton="1"/>
    <filterColumn colId="1181" hiddenButton="1"/>
    <filterColumn colId="1182" hiddenButton="1"/>
    <filterColumn colId="1183" hiddenButton="1"/>
    <filterColumn colId="1184" hiddenButton="1"/>
    <filterColumn colId="1185" hiddenButton="1"/>
    <filterColumn colId="1186" hiddenButton="1"/>
    <filterColumn colId="1187" hiddenButton="1"/>
    <filterColumn colId="1188" hiddenButton="1"/>
    <filterColumn colId="1189" hiddenButton="1"/>
    <filterColumn colId="1190" hiddenButton="1"/>
    <filterColumn colId="1191" hiddenButton="1"/>
    <filterColumn colId="1192" hiddenButton="1"/>
    <filterColumn colId="1193" hiddenButton="1"/>
    <filterColumn colId="1194" hiddenButton="1"/>
    <filterColumn colId="1195" hiddenButton="1"/>
    <filterColumn colId="1196" hiddenButton="1"/>
    <filterColumn colId="1197" hiddenButton="1"/>
    <filterColumn colId="1198" hiddenButton="1"/>
    <filterColumn colId="1199" hiddenButton="1"/>
    <filterColumn colId="1200" hiddenButton="1"/>
    <filterColumn colId="1201" hiddenButton="1"/>
    <filterColumn colId="1202" hiddenButton="1"/>
    <filterColumn colId="1203" hiddenButton="1"/>
    <filterColumn colId="1204" hiddenButton="1"/>
    <filterColumn colId="1205" hiddenButton="1"/>
    <filterColumn colId="1206" hiddenButton="1"/>
    <filterColumn colId="1207" hiddenButton="1"/>
    <filterColumn colId="1208" hiddenButton="1"/>
    <filterColumn colId="1209" hiddenButton="1"/>
    <filterColumn colId="1210" hiddenButton="1"/>
    <filterColumn colId="1211" hiddenButton="1"/>
    <filterColumn colId="1212" hiddenButton="1"/>
    <filterColumn colId="1213" hiddenButton="1"/>
    <filterColumn colId="1214" hiddenButton="1"/>
    <filterColumn colId="1215" hiddenButton="1"/>
    <filterColumn colId="1216" hiddenButton="1"/>
    <filterColumn colId="1217" hiddenButton="1"/>
    <filterColumn colId="1218" hiddenButton="1"/>
    <filterColumn colId="1219" hiddenButton="1"/>
    <filterColumn colId="1220" hiddenButton="1"/>
    <filterColumn colId="1221" hiddenButton="1"/>
    <filterColumn colId="1222" hiddenButton="1"/>
    <filterColumn colId="1223" hiddenButton="1"/>
    <filterColumn colId="1224" hiddenButton="1"/>
    <filterColumn colId="1225" hiddenButton="1"/>
    <filterColumn colId="1226" hiddenButton="1"/>
    <filterColumn colId="1227" hiddenButton="1"/>
    <filterColumn colId="1228" hiddenButton="1"/>
    <filterColumn colId="1229" hiddenButton="1"/>
    <filterColumn colId="1230" hiddenButton="1"/>
    <filterColumn colId="1231" hiddenButton="1"/>
    <filterColumn colId="1232" hiddenButton="1"/>
    <filterColumn colId="1233" hiddenButton="1"/>
    <filterColumn colId="1234" hiddenButton="1"/>
    <filterColumn colId="1235" hiddenButton="1"/>
    <filterColumn colId="1236" hiddenButton="1"/>
    <filterColumn colId="1237" hiddenButton="1"/>
    <filterColumn colId="1238" hiddenButton="1"/>
    <filterColumn colId="1239" hiddenButton="1"/>
    <filterColumn colId="1240" hiddenButton="1"/>
    <filterColumn colId="1241" hiddenButton="1"/>
    <filterColumn colId="1242" hiddenButton="1"/>
    <filterColumn colId="1243" hiddenButton="1"/>
    <filterColumn colId="1244" hiddenButton="1"/>
    <filterColumn colId="1245" hiddenButton="1"/>
    <filterColumn colId="1246" hiddenButton="1"/>
    <filterColumn colId="1247" hiddenButton="1"/>
    <filterColumn colId="1248" hiddenButton="1"/>
    <filterColumn colId="1249" hiddenButton="1"/>
    <filterColumn colId="1250" hiddenButton="1"/>
    <filterColumn colId="1251" hiddenButton="1"/>
    <filterColumn colId="1252" hiddenButton="1"/>
    <filterColumn colId="1253" hiddenButton="1"/>
    <filterColumn colId="1254" hiddenButton="1"/>
    <filterColumn colId="1255" hiddenButton="1"/>
    <filterColumn colId="1256" hiddenButton="1"/>
    <filterColumn colId="1257" hiddenButton="1"/>
    <filterColumn colId="1258" hiddenButton="1"/>
    <filterColumn colId="1259" hiddenButton="1"/>
    <filterColumn colId="1260" hiddenButton="1"/>
    <filterColumn colId="1261" hiddenButton="1"/>
    <filterColumn colId="1262" hiddenButton="1"/>
    <filterColumn colId="1263" hiddenButton="1"/>
    <filterColumn colId="1264" hiddenButton="1"/>
    <filterColumn colId="1265" hiddenButton="1"/>
    <filterColumn colId="1266" hiddenButton="1"/>
    <filterColumn colId="1267" hiddenButton="1"/>
    <filterColumn colId="1268" hiddenButton="1"/>
    <filterColumn colId="1269" hiddenButton="1"/>
    <filterColumn colId="1270" hiddenButton="1"/>
    <filterColumn colId="1271" hiddenButton="1"/>
    <filterColumn colId="1272" hiddenButton="1"/>
    <filterColumn colId="1273" hiddenButton="1"/>
    <filterColumn colId="1274" hiddenButton="1"/>
    <filterColumn colId="1275" hiddenButton="1"/>
    <filterColumn colId="1276" hiddenButton="1"/>
    <filterColumn colId="1277" hiddenButton="1"/>
    <filterColumn colId="1278" hiddenButton="1"/>
    <filterColumn colId="1279" hiddenButton="1"/>
    <filterColumn colId="1280" hiddenButton="1"/>
    <filterColumn colId="1281" hiddenButton="1"/>
    <filterColumn colId="1282" hiddenButton="1"/>
    <filterColumn colId="1283" hiddenButton="1"/>
    <filterColumn colId="1284" hiddenButton="1"/>
    <filterColumn colId="1285" hiddenButton="1"/>
    <filterColumn colId="1286" hiddenButton="1"/>
    <filterColumn colId="1287" hiddenButton="1"/>
    <filterColumn colId="1288" hiddenButton="1"/>
    <filterColumn colId="1289" hiddenButton="1"/>
    <filterColumn colId="1290" hiddenButton="1"/>
    <filterColumn colId="1291" hiddenButton="1"/>
    <filterColumn colId="1292" hiddenButton="1"/>
    <filterColumn colId="1293" hiddenButton="1"/>
    <filterColumn colId="1294" hiddenButton="1"/>
    <filterColumn colId="1295" hiddenButton="1"/>
    <filterColumn colId="1296" hiddenButton="1"/>
    <filterColumn colId="1297" hiddenButton="1"/>
    <filterColumn colId="1298" hiddenButton="1"/>
    <filterColumn colId="1299" hiddenButton="1"/>
    <filterColumn colId="1300" hiddenButton="1"/>
    <filterColumn colId="1301" hiddenButton="1"/>
    <filterColumn colId="1302" hiddenButton="1"/>
    <filterColumn colId="1303" hiddenButton="1"/>
    <filterColumn colId="1304" hiddenButton="1"/>
    <filterColumn colId="1305" hiddenButton="1"/>
    <filterColumn colId="1306" hiddenButton="1"/>
    <filterColumn colId="1307" hiddenButton="1"/>
    <filterColumn colId="1308" hiddenButton="1"/>
    <filterColumn colId="1309" hiddenButton="1"/>
    <filterColumn colId="1310" hiddenButton="1"/>
    <filterColumn colId="1311" hiddenButton="1"/>
    <filterColumn colId="1312" hiddenButton="1"/>
    <filterColumn colId="1313" hiddenButton="1"/>
    <filterColumn colId="1314" hiddenButton="1"/>
    <filterColumn colId="1315" hiddenButton="1"/>
    <filterColumn colId="1316" hiddenButton="1"/>
    <filterColumn colId="1317" hiddenButton="1"/>
    <filterColumn colId="1318" hiddenButton="1"/>
    <filterColumn colId="1319" hiddenButton="1"/>
    <filterColumn colId="1320" hiddenButton="1"/>
    <filterColumn colId="1321" hiddenButton="1"/>
    <filterColumn colId="1322" hiddenButton="1"/>
    <filterColumn colId="1323" hiddenButton="1"/>
    <filterColumn colId="1324" hiddenButton="1"/>
    <filterColumn colId="1325" hiddenButton="1"/>
    <filterColumn colId="1326" hiddenButton="1"/>
    <filterColumn colId="1327" hiddenButton="1"/>
    <filterColumn colId="1328" hiddenButton="1"/>
    <filterColumn colId="1329" hiddenButton="1"/>
    <filterColumn colId="1330" hiddenButton="1"/>
    <filterColumn colId="1331" hiddenButton="1"/>
    <filterColumn colId="1332" hiddenButton="1"/>
    <filterColumn colId="1333" hiddenButton="1"/>
    <filterColumn colId="1334" hiddenButton="1"/>
    <filterColumn colId="1335" hiddenButton="1"/>
    <filterColumn colId="1336" hiddenButton="1"/>
    <filterColumn colId="1337" hiddenButton="1"/>
    <filterColumn colId="1338" hiddenButton="1"/>
    <filterColumn colId="1339" hiddenButton="1"/>
    <filterColumn colId="1340" hiddenButton="1"/>
    <filterColumn colId="1341" hiddenButton="1"/>
    <filterColumn colId="1342" hiddenButton="1"/>
    <filterColumn colId="1343" hiddenButton="1"/>
    <filterColumn colId="1344" hiddenButton="1"/>
    <filterColumn colId="1345" hiddenButton="1"/>
    <filterColumn colId="1346" hiddenButton="1"/>
    <filterColumn colId="1347" hiddenButton="1"/>
    <filterColumn colId="1348" hiddenButton="1"/>
    <filterColumn colId="1349" hiddenButton="1"/>
    <filterColumn colId="1350" hiddenButton="1"/>
    <filterColumn colId="1351" hiddenButton="1"/>
    <filterColumn colId="1352" hiddenButton="1"/>
    <filterColumn colId="1353" hiddenButton="1"/>
    <filterColumn colId="1354" hiddenButton="1"/>
    <filterColumn colId="1355" hiddenButton="1"/>
    <filterColumn colId="1356" hiddenButton="1"/>
    <filterColumn colId="1357" hiddenButton="1"/>
    <filterColumn colId="1358" hiddenButton="1"/>
    <filterColumn colId="1359" hiddenButton="1"/>
    <filterColumn colId="1360" hiddenButton="1"/>
    <filterColumn colId="1361" hiddenButton="1"/>
    <filterColumn colId="1362" hiddenButton="1"/>
    <filterColumn colId="1363" hiddenButton="1"/>
    <filterColumn colId="1364" hiddenButton="1"/>
    <filterColumn colId="1365" hiddenButton="1"/>
    <filterColumn colId="1366" hiddenButton="1"/>
    <filterColumn colId="1367" hiddenButton="1"/>
    <filterColumn colId="1368" hiddenButton="1"/>
    <filterColumn colId="1369" hiddenButton="1"/>
    <filterColumn colId="1370" hiddenButton="1"/>
    <filterColumn colId="1371" hiddenButton="1"/>
    <filterColumn colId="1372" hiddenButton="1"/>
    <filterColumn colId="1373" hiddenButton="1"/>
    <filterColumn colId="1374" hiddenButton="1"/>
    <filterColumn colId="1375" hiddenButton="1"/>
    <filterColumn colId="1376" hiddenButton="1"/>
    <filterColumn colId="1377" hiddenButton="1"/>
    <filterColumn colId="1378" hiddenButton="1"/>
    <filterColumn colId="1379" hiddenButton="1"/>
    <filterColumn colId="1380" hiddenButton="1"/>
    <filterColumn colId="1381" hiddenButton="1"/>
    <filterColumn colId="1382" hiddenButton="1"/>
    <filterColumn colId="1383" hiddenButton="1"/>
    <filterColumn colId="1384" hiddenButton="1"/>
    <filterColumn colId="1385" hiddenButton="1"/>
    <filterColumn colId="1386" hiddenButton="1"/>
    <filterColumn colId="1387" hiddenButton="1"/>
    <filterColumn colId="1388" hiddenButton="1"/>
    <filterColumn colId="1389" hiddenButton="1"/>
    <filterColumn colId="1390" hiddenButton="1"/>
    <filterColumn colId="1391" hiddenButton="1"/>
    <filterColumn colId="1392" hiddenButton="1"/>
    <filterColumn colId="1393" hiddenButton="1"/>
    <filterColumn colId="1394" hiddenButton="1"/>
    <filterColumn colId="1395" hiddenButton="1"/>
    <filterColumn colId="1396" hiddenButton="1"/>
    <filterColumn colId="1397" hiddenButton="1"/>
    <filterColumn colId="1398" hiddenButton="1"/>
    <filterColumn colId="1399" hiddenButton="1"/>
    <filterColumn colId="1400" hiddenButton="1"/>
    <filterColumn colId="1401" hiddenButton="1"/>
    <filterColumn colId="1402" hiddenButton="1"/>
    <filterColumn colId="1403" hiddenButton="1"/>
    <filterColumn colId="1404" hiddenButton="1"/>
    <filterColumn colId="1405" hiddenButton="1"/>
    <filterColumn colId="1406" hiddenButton="1"/>
    <filterColumn colId="1407" hiddenButton="1"/>
    <filterColumn colId="1408" hiddenButton="1"/>
    <filterColumn colId="1409" hiddenButton="1"/>
    <filterColumn colId="1410" hiddenButton="1"/>
    <filterColumn colId="1411" hiddenButton="1"/>
    <filterColumn colId="1412" hiddenButton="1"/>
    <filterColumn colId="1413" hiddenButton="1"/>
    <filterColumn colId="1414" hiddenButton="1"/>
    <filterColumn colId="1415" hiddenButton="1"/>
    <filterColumn colId="1416" hiddenButton="1"/>
    <filterColumn colId="1417" hiddenButton="1"/>
    <filterColumn colId="1418" hiddenButton="1"/>
    <filterColumn colId="1419" hiddenButton="1"/>
    <filterColumn colId="1420" hiddenButton="1"/>
    <filterColumn colId="1421" hiddenButton="1"/>
    <filterColumn colId="1422" hiddenButton="1"/>
    <filterColumn colId="1423" hiddenButton="1"/>
    <filterColumn colId="1424" hiddenButton="1"/>
    <filterColumn colId="1425" hiddenButton="1"/>
    <filterColumn colId="1426" hiddenButton="1"/>
    <filterColumn colId="1427" hiddenButton="1"/>
    <filterColumn colId="1428" hiddenButton="1"/>
    <filterColumn colId="1429" hiddenButton="1"/>
    <filterColumn colId="1430" hiddenButton="1"/>
    <filterColumn colId="1431" hiddenButton="1"/>
    <filterColumn colId="1432" hiddenButton="1"/>
    <filterColumn colId="1433" hiddenButton="1"/>
    <filterColumn colId="1434" hiddenButton="1"/>
    <filterColumn colId="1435" hiddenButton="1"/>
    <filterColumn colId="1436" hiddenButton="1"/>
    <filterColumn colId="1437" hiddenButton="1"/>
    <filterColumn colId="1438" hiddenButton="1"/>
    <filterColumn colId="1439" hiddenButton="1"/>
    <filterColumn colId="1440" hiddenButton="1"/>
    <filterColumn colId="1441" hiddenButton="1"/>
    <filterColumn colId="1442" hiddenButton="1"/>
    <filterColumn colId="1443" hiddenButton="1"/>
    <filterColumn colId="1444" hiddenButton="1"/>
    <filterColumn colId="1445" hiddenButton="1"/>
    <filterColumn colId="1446" hiddenButton="1"/>
    <filterColumn colId="1447" hiddenButton="1"/>
    <filterColumn colId="1448" hiddenButton="1"/>
    <filterColumn colId="1449" hiddenButton="1"/>
    <filterColumn colId="1450" hiddenButton="1"/>
    <filterColumn colId="1451" hiddenButton="1"/>
    <filterColumn colId="1452" hiddenButton="1"/>
    <filterColumn colId="1453" hiddenButton="1"/>
    <filterColumn colId="1454" hiddenButton="1"/>
    <filterColumn colId="1455" hiddenButton="1"/>
    <filterColumn colId="1456" hiddenButton="1"/>
    <filterColumn colId="1457" hiddenButton="1"/>
    <filterColumn colId="1458" hiddenButton="1"/>
    <filterColumn colId="1459" hiddenButton="1"/>
    <filterColumn colId="1460" hiddenButton="1"/>
    <filterColumn colId="1461" hiddenButton="1"/>
    <filterColumn colId="1462" hiddenButton="1"/>
    <filterColumn colId="1463" hiddenButton="1"/>
    <filterColumn colId="1464" hiddenButton="1"/>
    <filterColumn colId="1465" hiddenButton="1"/>
    <filterColumn colId="1466" hiddenButton="1"/>
    <filterColumn colId="1467" hiddenButton="1"/>
    <filterColumn colId="1468" hiddenButton="1"/>
    <filterColumn colId="1469" hiddenButton="1"/>
    <filterColumn colId="1470" hiddenButton="1"/>
    <filterColumn colId="1471" hiddenButton="1"/>
    <filterColumn colId="1472" hiddenButton="1"/>
    <filterColumn colId="1473" hiddenButton="1"/>
    <filterColumn colId="1474" hiddenButton="1"/>
    <filterColumn colId="1475" hiddenButton="1"/>
    <filterColumn colId="1476" hiddenButton="1"/>
    <filterColumn colId="1477" hiddenButton="1"/>
    <filterColumn colId="1478" hiddenButton="1"/>
    <filterColumn colId="1479" hiddenButton="1"/>
    <filterColumn colId="1480" hiddenButton="1"/>
    <filterColumn colId="1481" hiddenButton="1"/>
    <filterColumn colId="1482" hiddenButton="1"/>
    <filterColumn colId="1483" hiddenButton="1"/>
    <filterColumn colId="1484" hiddenButton="1"/>
    <filterColumn colId="1485" hiddenButton="1"/>
    <filterColumn colId="1486" hiddenButton="1"/>
    <filterColumn colId="1487" hiddenButton="1"/>
    <filterColumn colId="1488" hiddenButton="1"/>
    <filterColumn colId="1489" hiddenButton="1"/>
    <filterColumn colId="1490" hiddenButton="1"/>
    <filterColumn colId="1491" hiddenButton="1"/>
    <filterColumn colId="1492" hiddenButton="1"/>
    <filterColumn colId="1493" hiddenButton="1"/>
    <filterColumn colId="1494" hiddenButton="1"/>
    <filterColumn colId="1495" hiddenButton="1"/>
    <filterColumn colId="1496" hiddenButton="1"/>
    <filterColumn colId="1497" hiddenButton="1"/>
    <filterColumn colId="1498" hiddenButton="1"/>
    <filterColumn colId="1499" hiddenButton="1"/>
    <filterColumn colId="1500" hiddenButton="1"/>
    <filterColumn colId="1501" hiddenButton="1"/>
    <filterColumn colId="1502" hiddenButton="1"/>
    <filterColumn colId="1503" hiddenButton="1"/>
    <filterColumn colId="1504" hiddenButton="1"/>
    <filterColumn colId="1505" hiddenButton="1"/>
    <filterColumn colId="1506" hiddenButton="1"/>
    <filterColumn colId="1507" hiddenButton="1"/>
    <filterColumn colId="1508" hiddenButton="1"/>
    <filterColumn colId="1509" hiddenButton="1"/>
    <filterColumn colId="1510" hiddenButton="1"/>
    <filterColumn colId="1511" hiddenButton="1"/>
    <filterColumn colId="1512" hiddenButton="1"/>
    <filterColumn colId="1513" hiddenButton="1"/>
    <filterColumn colId="1514" hiddenButton="1"/>
    <filterColumn colId="1515" hiddenButton="1"/>
    <filterColumn colId="1516" hiddenButton="1"/>
    <filterColumn colId="1517" hiddenButton="1"/>
    <filterColumn colId="1518" hiddenButton="1"/>
    <filterColumn colId="1519" hiddenButton="1"/>
    <filterColumn colId="1520" hiddenButton="1"/>
    <filterColumn colId="1521" hiddenButton="1"/>
    <filterColumn colId="1522" hiddenButton="1"/>
    <filterColumn colId="1523" hiddenButton="1"/>
    <filterColumn colId="1524" hiddenButton="1"/>
    <filterColumn colId="1525" hiddenButton="1"/>
    <filterColumn colId="1526" hiddenButton="1"/>
    <filterColumn colId="1527" hiddenButton="1"/>
    <filterColumn colId="1528" hiddenButton="1"/>
    <filterColumn colId="1529" hiddenButton="1"/>
    <filterColumn colId="1530" hiddenButton="1"/>
    <filterColumn colId="1531" hiddenButton="1"/>
    <filterColumn colId="1532" hiddenButton="1"/>
    <filterColumn colId="1533" hiddenButton="1"/>
    <filterColumn colId="1534" hiddenButton="1"/>
    <filterColumn colId="1535" hiddenButton="1"/>
    <filterColumn colId="1536" hiddenButton="1"/>
    <filterColumn colId="1537" hiddenButton="1"/>
    <filterColumn colId="1538" hiddenButton="1"/>
    <filterColumn colId="1539" hiddenButton="1"/>
    <filterColumn colId="1540" hiddenButton="1"/>
    <filterColumn colId="1541" hiddenButton="1"/>
    <filterColumn colId="1542" hiddenButton="1"/>
    <filterColumn colId="1543" hiddenButton="1"/>
    <filterColumn colId="1544" hiddenButton="1"/>
    <filterColumn colId="1545" hiddenButton="1"/>
    <filterColumn colId="1546" hiddenButton="1"/>
    <filterColumn colId="1547" hiddenButton="1"/>
    <filterColumn colId="1548" hiddenButton="1"/>
    <filterColumn colId="1549" hiddenButton="1"/>
    <filterColumn colId="1550" hiddenButton="1"/>
    <filterColumn colId="1551" hiddenButton="1"/>
    <filterColumn colId="1552" hiddenButton="1"/>
    <filterColumn colId="1553" hiddenButton="1"/>
    <filterColumn colId="1554" hiddenButton="1"/>
    <filterColumn colId="1555" hiddenButton="1"/>
    <filterColumn colId="1556" hiddenButton="1"/>
    <filterColumn colId="1557" hiddenButton="1"/>
    <filterColumn colId="1558" hiddenButton="1"/>
    <filterColumn colId="1559" hiddenButton="1"/>
    <filterColumn colId="1560" hiddenButton="1"/>
    <filterColumn colId="1561" hiddenButton="1"/>
    <filterColumn colId="1562" hiddenButton="1"/>
    <filterColumn colId="1563" hiddenButton="1"/>
    <filterColumn colId="1564" hiddenButton="1"/>
    <filterColumn colId="1565" hiddenButton="1"/>
    <filterColumn colId="1566" hiddenButton="1"/>
    <filterColumn colId="1567" hiddenButton="1"/>
    <filterColumn colId="1568" hiddenButton="1"/>
    <filterColumn colId="1569" hiddenButton="1"/>
    <filterColumn colId="1570" hiddenButton="1"/>
    <filterColumn colId="1571" hiddenButton="1"/>
    <filterColumn colId="1572" hiddenButton="1"/>
    <filterColumn colId="1573" hiddenButton="1"/>
    <filterColumn colId="1574" hiddenButton="1"/>
    <filterColumn colId="1575" hiddenButton="1"/>
    <filterColumn colId="1576" hiddenButton="1"/>
    <filterColumn colId="1577" hiddenButton="1"/>
    <filterColumn colId="1578" hiddenButton="1"/>
    <filterColumn colId="1579" hiddenButton="1"/>
    <filterColumn colId="1580" hiddenButton="1"/>
    <filterColumn colId="1581" hiddenButton="1"/>
    <filterColumn colId="1582" hiddenButton="1"/>
    <filterColumn colId="1583" hiddenButton="1"/>
    <filterColumn colId="1584" hiddenButton="1"/>
    <filterColumn colId="1585" hiddenButton="1"/>
    <filterColumn colId="1586" hiddenButton="1"/>
    <filterColumn colId="1587" hiddenButton="1"/>
    <filterColumn colId="1588" hiddenButton="1"/>
    <filterColumn colId="1589" hiddenButton="1"/>
    <filterColumn colId="1590" hiddenButton="1"/>
    <filterColumn colId="1591" hiddenButton="1"/>
    <filterColumn colId="1592" hiddenButton="1"/>
    <filterColumn colId="1593" hiddenButton="1"/>
    <filterColumn colId="1594" hiddenButton="1"/>
    <filterColumn colId="1595" hiddenButton="1"/>
    <filterColumn colId="1596" hiddenButton="1"/>
    <filterColumn colId="1597" hiddenButton="1"/>
    <filterColumn colId="1598" hiddenButton="1"/>
    <filterColumn colId="1599" hiddenButton="1"/>
    <filterColumn colId="1600" hiddenButton="1"/>
    <filterColumn colId="1601" hiddenButton="1"/>
    <filterColumn colId="1602" hiddenButton="1"/>
    <filterColumn colId="1603" hiddenButton="1"/>
    <filterColumn colId="1604" hiddenButton="1"/>
    <filterColumn colId="1605" hiddenButton="1"/>
    <filterColumn colId="1606" hiddenButton="1"/>
    <filterColumn colId="1607" hiddenButton="1"/>
    <filterColumn colId="1608" hiddenButton="1"/>
    <filterColumn colId="1609" hiddenButton="1"/>
    <filterColumn colId="1610" hiddenButton="1"/>
    <filterColumn colId="1611" hiddenButton="1"/>
    <filterColumn colId="1612" hiddenButton="1"/>
    <filterColumn colId="1613" hiddenButton="1"/>
    <filterColumn colId="1614" hiddenButton="1"/>
    <filterColumn colId="1615" hiddenButton="1"/>
    <filterColumn colId="1616" hiddenButton="1"/>
    <filterColumn colId="1617" hiddenButton="1"/>
    <filterColumn colId="1618" hiddenButton="1"/>
    <filterColumn colId="1619" hiddenButton="1"/>
    <filterColumn colId="1620" hiddenButton="1"/>
    <filterColumn colId="1621" hiddenButton="1"/>
    <filterColumn colId="1622" hiddenButton="1"/>
    <filterColumn colId="1623" hiddenButton="1"/>
    <filterColumn colId="1624" hiddenButton="1"/>
    <filterColumn colId="1625" hiddenButton="1"/>
    <filterColumn colId="1626" hiddenButton="1"/>
    <filterColumn colId="1627" hiddenButton="1"/>
    <filterColumn colId="1628" hiddenButton="1"/>
    <filterColumn colId="1629" hiddenButton="1"/>
    <filterColumn colId="1630" hiddenButton="1"/>
    <filterColumn colId="1631" hiddenButton="1"/>
    <filterColumn colId="1632" hiddenButton="1"/>
    <filterColumn colId="1633" hiddenButton="1"/>
    <filterColumn colId="1634" hiddenButton="1"/>
    <filterColumn colId="1635" hiddenButton="1"/>
    <filterColumn colId="1636" hiddenButton="1"/>
    <filterColumn colId="1637" hiddenButton="1"/>
    <filterColumn colId="1638" hiddenButton="1"/>
    <filterColumn colId="1639" hiddenButton="1"/>
    <filterColumn colId="1640" hiddenButton="1"/>
    <filterColumn colId="1641" hiddenButton="1"/>
    <filterColumn colId="1642" hiddenButton="1"/>
    <filterColumn colId="1643" hiddenButton="1"/>
    <filterColumn colId="1644" hiddenButton="1"/>
    <filterColumn colId="1645" hiddenButton="1"/>
    <filterColumn colId="1646" hiddenButton="1"/>
    <filterColumn colId="1647" hiddenButton="1"/>
    <filterColumn colId="1648" hiddenButton="1"/>
    <filterColumn colId="1649" hiddenButton="1"/>
    <filterColumn colId="1650" hiddenButton="1"/>
    <filterColumn colId="1651" hiddenButton="1"/>
    <filterColumn colId="1652" hiddenButton="1"/>
    <filterColumn colId="1653" hiddenButton="1"/>
    <filterColumn colId="1654" hiddenButton="1"/>
    <filterColumn colId="1655" hiddenButton="1"/>
    <filterColumn colId="1656" hiddenButton="1"/>
    <filterColumn colId="1657" hiddenButton="1"/>
    <filterColumn colId="1658" hiddenButton="1"/>
    <filterColumn colId="1659" hiddenButton="1"/>
    <filterColumn colId="1660" hiddenButton="1"/>
    <filterColumn colId="1661" hiddenButton="1"/>
    <filterColumn colId="1662" hiddenButton="1"/>
    <filterColumn colId="1663" hiddenButton="1"/>
    <filterColumn colId="1664" hiddenButton="1"/>
    <filterColumn colId="1665" hiddenButton="1"/>
    <filterColumn colId="1666" hiddenButton="1"/>
    <filterColumn colId="1667" hiddenButton="1"/>
    <filterColumn colId="1668" hiddenButton="1"/>
    <filterColumn colId="1669" hiddenButton="1"/>
    <filterColumn colId="1670" hiddenButton="1"/>
    <filterColumn colId="1671" hiddenButton="1"/>
    <filterColumn colId="1672" hiddenButton="1"/>
    <filterColumn colId="1673" hiddenButton="1"/>
    <filterColumn colId="1674" hiddenButton="1"/>
    <filterColumn colId="1675" hiddenButton="1"/>
    <filterColumn colId="1676" hiddenButton="1"/>
    <filterColumn colId="1677" hiddenButton="1"/>
    <filterColumn colId="1678" hiddenButton="1"/>
    <filterColumn colId="1679" hiddenButton="1"/>
    <filterColumn colId="1680" hiddenButton="1"/>
    <filterColumn colId="1681" hiddenButton="1"/>
    <filterColumn colId="1682" hiddenButton="1"/>
    <filterColumn colId="1683" hiddenButton="1"/>
    <filterColumn colId="1684" hiddenButton="1"/>
    <filterColumn colId="1685" hiddenButton="1"/>
    <filterColumn colId="1686" hiddenButton="1"/>
    <filterColumn colId="1687" hiddenButton="1"/>
    <filterColumn colId="1688" hiddenButton="1"/>
    <filterColumn colId="1689" hiddenButton="1"/>
    <filterColumn colId="1690" hiddenButton="1"/>
    <filterColumn colId="1691" hiddenButton="1"/>
    <filterColumn colId="1692" hiddenButton="1"/>
    <filterColumn colId="1693" hiddenButton="1"/>
    <filterColumn colId="1694" hiddenButton="1"/>
    <filterColumn colId="1695" hiddenButton="1"/>
    <filterColumn colId="1696" hiddenButton="1"/>
    <filterColumn colId="1697" hiddenButton="1"/>
    <filterColumn colId="1698" hiddenButton="1"/>
    <filterColumn colId="1699" hiddenButton="1"/>
    <filterColumn colId="1700" hiddenButton="1"/>
    <filterColumn colId="1701" hiddenButton="1"/>
    <filterColumn colId="1702" hiddenButton="1"/>
    <filterColumn colId="1703" hiddenButton="1"/>
    <filterColumn colId="1704" hiddenButton="1"/>
    <filterColumn colId="1705" hiddenButton="1"/>
    <filterColumn colId="1706" hiddenButton="1"/>
    <filterColumn colId="1707" hiddenButton="1"/>
    <filterColumn colId="1708" hiddenButton="1"/>
    <filterColumn colId="1710">
      <filters>
        <filter val="TRUE"/>
      </filters>
    </filterColumn>
  </autoFilter>
  <tableColumns count="1712">
    <tableColumn id="1" name="Reporting Jurisdiction" totalsRowLabel="Total" totalsRowDxfId="19"/>
    <tableColumn id="2" name="Program Year Start Date" totalsRowDxfId="18"/>
    <tableColumn id="3" name="Program Year End Date" totalsRowDxfId="17"/>
    <tableColumn id="4" name="ContactName" totalsRowDxfId="16"/>
    <tableColumn id="5" name="Title:" totalsRowDxfId="15"/>
    <tableColumn id="6" name="Street Address 1:" totalsRowDxfId="14"/>
    <tableColumn id="7" name="Street Address 2:" totalsRowDxfId="13"/>
    <tableColumn id="8" name="City:" totalsRowDxfId="12"/>
    <tableColumn id="9" name="State:" totalsRowDxfId="11"/>
    <tableColumn id="10" name="Zip Code:" totalsRowDxfId="10"/>
    <tableColumn id="11" name="E-mail address:" totalsRowDxfId="9"/>
    <tableColumn id="12" name="Phone Number:" totalsRowDxfId="8"/>
    <tableColumn id="13" name="Ext" totalsRowDxfId="7"/>
    <tableColumn id="14" name="Fax Number:" totalsRowDxfId="6"/>
    <tableColumn id="15" name="Organization"/>
    <tableColumn id="16" name="Q4a | Organization ID | "/>
    <tableColumn id="17" name="Q4a | Project name | "/>
    <tableColumn id="18" name="Q4a | Project ID | "/>
    <tableColumn id="19" name="Q4a | HMIS Project Type | "/>
    <tableColumn id="20" name="Q4a | Method of tracking ES | "/>
    <tableColumn id="21" name="Project Type"/>
    <tableColumn id="22" name="Q4a | If HMIS Project ID = 6 (S Only), is the Services Only (HMIS Project Type 6) affiliated with a residential project? | "/>
    <tableColumn id="23" name="Q4a | Identify the Project ID's of the housing projects this project is affiliated with | "/>
    <tableColumn id="24" name="Q5a | First name | Client Doesn't Know or Client Refused"/>
    <tableColumn id="25" name="Q5a | First name | Data not collected" totalsRowFunction="sum"/>
    <tableColumn id="26" name="Q5a | Last name | Client Doesn't Know or Client Refused"/>
    <tableColumn id="27" name="Q5a | Last name | Data not collected"/>
    <tableColumn id="28" name="Q5a | SSN | Client Doesn't Know or Client Refused"/>
    <tableColumn id="29" name="Q5a | SSN | Data not collected"/>
    <tableColumn id="30" name="Q5a | Date of Birth | Client Doesn't Know or Client Refused"/>
    <tableColumn id="31" name="Q5a | Date of Birth | Data not collected"/>
    <tableColumn id="32" name="Q5a | Race | Client Doesn't Know or Client Refused"/>
    <tableColumn id="33" name="Q5a | Race | Data not collected"/>
    <tableColumn id="34" name="Q5a | Ethnicity | Client Doesn't Know or Client Refused"/>
    <tableColumn id="35" name="Q5a | Ethnicity | Data not collected"/>
    <tableColumn id="36" name="Q5a | Gender | Client Doesn't Know or Client Refused"/>
    <tableColumn id="37" name="Q5a | Gender | Data not collected"/>
    <tableColumn id="38" name="Q5a | Veteran Status | Client Doesn't Know or Client Refused"/>
    <tableColumn id="39" name="Q5a | Veteran Status | Data not collected"/>
    <tableColumn id="40" name="Q5a | Disabling condition | Client Doesn't Know or Client Refused"/>
    <tableColumn id="41" name="Q5a | Disabling condition | Data not collected"/>
    <tableColumn id="42" name="Q5a | Residence Prior to Entry | Client Doesn't Know or Client Refused"/>
    <tableColumn id="43" name="Q5a | Residence Prior to Entry | Data not collected"/>
    <tableColumn id="44" name="Q5a | Relationship to Head of Household | Client Doesn't Know or Client Refused"/>
    <tableColumn id="45" name="Q5a | Relationship to Head of Household | Data not collected"/>
    <tableColumn id="46" name="Q5a | Destination | Client Doesn't Know or Client Refused"/>
    <tableColumn id="47" name="Q5a | Destination | Data not collected"/>
    <tableColumn id="48" name="Q5a | Client location for project entry | Client Doesn't Know or Client Refused"/>
    <tableColumn id="49" name="Q5a | Client location for project entry | Data not collected"/>
    <tableColumn id="50" name="Q5a | Length of Time on Street, in ES or SH | Client Doesn't Know or Client Refused"/>
    <tableColumn id="51" name="Q5a | Length of Time on Street, in ES or SH | Data not collected"/>
    <tableColumn id="1724" name="Q6a | a. Total number of persons served"/>
    <tableColumn id="52" name="Q6a | b. Number of adults (age 18 or over)"/>
    <tableColumn id="53" name="Q6a | c. Number of children (under age 18)"/>
    <tableColumn id="54" name="Q6a | d. Number of persons with unknown age"/>
    <tableColumn id="55" name="Q6a | e. Total number of leavers"/>
    <tableColumn id="56" name="Q6a | f. Total number of adult leavers"/>
    <tableColumn id="57" name="Q6a | g. Total number of stayers"/>
    <tableColumn id="58" name="Q6a | h. Total number of adult stayers"/>
    <tableColumn id="59" name="Q6a | i. Number of veterans"/>
    <tableColumn id="60" name="Q6a | j. Number of chronically homeless persons"/>
    <tableColumn id="61" name="Q6a | k. Number of adult heads of household"/>
    <tableColumn id="62" name="Q6a | l. Number of child heads of household"/>
    <tableColumn id="64" name="Q6a | m. Number of unaccompanied youth under age 25"/>
    <tableColumn id="65" name="Q6a | n. Number of parenting youth under age 25 with children"/>
    <tableColumn id="66" name="Q6b | a. Adults | Total"/>
    <tableColumn id="67" name="Q6b | a. Adults | a. Without children"/>
    <tableColumn id="68" name="Q6b | a. Adults | b. With children and adults"/>
    <tableColumn id="69" name="Q6b | a. Adults | c. With only children"/>
    <tableColumn id="70" name="Q6b | a. Adults | d. Unknown household type"/>
    <tableColumn id="71" name="Q6b | b. Children | Total"/>
    <tableColumn id="72" name="Q6b | b. Children | a. Without children"/>
    <tableColumn id="73" name="Q6b | b. Children | b. With children and adults"/>
    <tableColumn id="74" name="Q6b | b. Children | c. With only children"/>
    <tableColumn id="75" name="Q6b | b. Children | d. Unknown household type"/>
    <tableColumn id="76" name="Q6b | c. Don't know / refused | Total"/>
    <tableColumn id="77" name="Q6b | c. Don't know / refused | a. Without children"/>
    <tableColumn id="78" name="Q6b | c. Don't know / refused | b. With children and adults"/>
    <tableColumn id="79" name="Q6b | c. Don't know / refused | c. With only children"/>
    <tableColumn id="80" name="Q6b | c. Don't know / refused | d. Unknown household type"/>
    <tableColumn id="81" name="Q6b | d. Information missing | Total"/>
    <tableColumn id="82" name="Q6b | d. Information missing | a. Without children"/>
    <tableColumn id="83" name="Q6b | d. Information missing | b. With children and adults"/>
    <tableColumn id="84" name="Q6b | d. Information missing | c. With only children"/>
    <tableColumn id="85" name="Q6b | d. Information missing | d. Unknown household type"/>
    <tableColumn id="86" name="Q6b | e. Total | Total"/>
    <tableColumn id="87" name="Q6b | e. Total | a. Without children"/>
    <tableColumn id="88" name="Q6b | e. Total | b. With children and adults"/>
    <tableColumn id="89" name="Q6b | e. Total | c. With only children"/>
    <tableColumn id="90" name="Q6b | e. Total | d. Unknown household type"/>
    <tableColumn id="91" name="Q7a | Total households | Total"/>
    <tableColumn id="92" name="Q7a | Total households | a. Without children"/>
    <tableColumn id="93" name="Q7a | Total households | b. With children and adults"/>
    <tableColumn id="94" name="Q7a | Total households | c. With only children"/>
    <tableColumn id="95" name="Q7a | Total households | d. Unknown household type"/>
    <tableColumn id="96" name="Q7b | January | Total"/>
    <tableColumn id="97" name="Q7b | January | a. Without children"/>
    <tableColumn id="98" name="Q7b | January | b. With children and adults"/>
    <tableColumn id="99" name="Q7b | January | c. With only children"/>
    <tableColumn id="100" name="Q7b | January | d. Unknown household type"/>
    <tableColumn id="101" name="Q7b | April | Total"/>
    <tableColumn id="102" name="Q7b | April | a. Without children"/>
    <tableColumn id="103" name="Q7b | April | b. With children and adults"/>
    <tableColumn id="104" name="Q7b | April | c. With only children"/>
    <tableColumn id="105" name="Q7b | April | d. Unknown household type"/>
    <tableColumn id="106" name="Q7b | July | Total"/>
    <tableColumn id="107" name="Q7b | July | a. Without children"/>
    <tableColumn id="108" name="Q7b | July | b. With children and adults"/>
    <tableColumn id="109" name="Q7b | July | c. With only children"/>
    <tableColumn id="110" name="Q7b | July | d. Unknown household type"/>
    <tableColumn id="111" name="Q7b | October | Total"/>
    <tableColumn id="112" name="Q7b | October | a. Without children"/>
    <tableColumn id="113" name="Q7b | October | b. With children and adults"/>
    <tableColumn id="114" name="Q7b | October | c. With only children"/>
    <tableColumn id="115" name="Q7b | October | d. Unknown household type"/>
    <tableColumn id="116" name="Q9a | a1. Contacted once? | Total"/>
    <tableColumn id="117" name="Q9a | a1. Contacted once? | a. First contact was at a place not meant for human habitation"/>
    <tableColumn id="118" name="Q9a | a1. Contacted once? | b. First contact was at a non-residential service setting"/>
    <tableColumn id="119" name="Q9a | a1. Contacted once? | c. First contact was at a residential service setting"/>
    <tableColumn id="120" name="Q9a | a1. Contacted once? | d. First contact place was missing"/>
    <tableColumn id="121" name="Q9a | a2. Contacted 2-5 times? | Total"/>
    <tableColumn id="122" name="Q9a | a2. Contacted 2-5 times? | a. First contact was at a place not meant for human habitation"/>
    <tableColumn id="123" name="Q9a | a2. Contacted 2-5 times? | b. First contact was at a non-residential service setting"/>
    <tableColumn id="124" name="Q9a | a2. Contacted 2-5 times? | c. First contact was at a residential service setting"/>
    <tableColumn id="125" name="Q9a | a2. Contacted 2-5 times? | d. First contact place was missing"/>
    <tableColumn id="126" name="Q9a | a3. Contacted 6-9 times? | Total"/>
    <tableColumn id="127" name="Q9a | a3. Contacted 6-9 times? | a. First contact was at a place not meant for human habitation"/>
    <tableColumn id="128" name="Q9a | a3. Contacted 6-9 times? | b. First contact was at a non-residential service setting"/>
    <tableColumn id="129" name="Q9a | a3. Contacted 6-9 times? | c. First contact was at a residential service setting"/>
    <tableColumn id="130" name="Q9a | a3. Contacted 6-9 times? | d. First contact place was missing"/>
    <tableColumn id="131" name="Q9a | a4. Contacted 10 or more times? | Total"/>
    <tableColumn id="132" name="Q9a | a4. Contacted 10 or more times? | a. First contact was at a place not meant for human habitation"/>
    <tableColumn id="133" name="Q9a | a4. Contacted 10 or more times? | b. First contact was at a non-residential service setting"/>
    <tableColumn id="134" name="Q9a | a4. Contacted 10 or more times? | c. First contact was at a residential service setting"/>
    <tableColumn id="135" name="Q9a | a4. Contacted 10 or more times? | d. First contact place was missing"/>
    <tableColumn id="136" name="Q9a | az. Total persons contacted | Total"/>
    <tableColumn id="137" name="Q9a | az. Total persons contacted | a. First contact was at a place not meant for human habitation"/>
    <tableColumn id="138" name="Q9a | az. Total persons contacted | b. First contact was at a non-residential service setting"/>
    <tableColumn id="139" name="Q9a | az. Total persons contacted | c. First contact was at a residential service setting"/>
    <tableColumn id="140" name="Q9a | az. Total persons contacted | d. First contact place was missing"/>
    <tableColumn id="141" name="Q9b | b1. Engaged after 1 contact? | Total"/>
    <tableColumn id="142" name="Q9b | b1. Engaged after 1 contact? | a. First contact was at a place not meant for human habitation"/>
    <tableColumn id="143" name="Q9b | b1. Engaged after 1 contact? | b. First contact was at a non-residential service setting"/>
    <tableColumn id="144" name="Q9b | b1. Engaged after 1 contact? | c. First contact was at a residential service setting"/>
    <tableColumn id="145" name="Q9b | b1. Engaged after 1 contact? | d. First contact place was missing"/>
    <tableColumn id="146" name="Q9b | b2. Engaged after 2-5 contacts? | Total"/>
    <tableColumn id="147" name="Q9b | b2. Engaged after 2-5 contacts? | a. First contact was at a place not meant for human habitation"/>
    <tableColumn id="148" name="Q9b | b2. Engaged after 2-5 contacts? | b. First contact was at a non-residential service setting"/>
    <tableColumn id="149" name="Q9b | b2. Engaged after 2-5 contacts? | c. First contact was at a residential service setting"/>
    <tableColumn id="150" name="Q9b | b2. Engaged after 2-5 contacts? | d. First contact place was missing"/>
    <tableColumn id="151" name="Q9b | b3. Engaged after 6-9 contacts? | Total"/>
    <tableColumn id="152" name="Q9b | b3. Engaged after 6-9 contacts? | a. First contact was at a place not meant for human habitation"/>
    <tableColumn id="153" name="Q9b | b3. Engaged after 6-9 contacts? | b. First contact was at a non-residential service setting"/>
    <tableColumn id="154" name="Q9b | b3. Engaged after 6-9 contacts? | c. First contact was at a residential service setting"/>
    <tableColumn id="155" name="Q9b | b3. Engaged after 6-9 contacts? | d. First contact place was missing"/>
    <tableColumn id="156" name="Q9b | b4. Engaged after 10 or more contacts? | Total"/>
    <tableColumn id="157" name="Q9b | b4. Engaged after 10 or more contacts? | a. First contact was at a place not meant for human habitation"/>
    <tableColumn id="158" name="Q9b | b4. Engaged after 10 or more contacts? | b. First contact was at a non-residential service setting"/>
    <tableColumn id="159" name="Q9b | b4. Engaged after 10 or more contacts? | c. First contact was at a residential service setting"/>
    <tableColumn id="160" name="Q9b | b4. Engaged after 10 or more contacts? | d. First contact place was missing"/>
    <tableColumn id="161" name="Q9b | bz. Total persons engaged | Total"/>
    <tableColumn id="162" name="Q9b | bz. Total persons engaged | a. First contact was at a place not meant for human habitation"/>
    <tableColumn id="163" name="Q9b | bz. Total persons engaged | b. First contact was at a non-residential service setting"/>
    <tableColumn id="164" name="Q9b | bz. Total persons engaged | c. First contact was at a residential service setting"/>
    <tableColumn id="165" name="Q9b | bz. Total persons engaged | d. First contact place was missing"/>
    <tableColumn id="166" name="Q9b | c. Rate of engagement (%) | Total"/>
    <tableColumn id="167" name="Q9b | c. Rate of engagement (%) | a. First contact was at a place not meant for human habitation"/>
    <tableColumn id="168" name="Q9b | c. Rate of engagement (%) | b. First contact was at a non-residential service setting"/>
    <tableColumn id="169" name="Q9b | c. Rate of engagement (%) | c. First contact was at a residential service setting"/>
    <tableColumn id="170" name="Q9b | c. Rate of engagement (%) | d. First contact place was missing"/>
    <tableColumn id="171" name="Q10a | a. Male | Total"/>
    <tableColumn id="172" name="Q10a | a. Male | a. Without children"/>
    <tableColumn id="173" name="Q10a | a. Male | b. With children and adults"/>
    <tableColumn id="174" name="Q10a | a. Male | c. Unknown household type"/>
    <tableColumn id="175" name="Q10a | b. Female | Total"/>
    <tableColumn id="176" name="Q10a | b. Female | a. Without children"/>
    <tableColumn id="177" name="Q10a | b. Female | b. With children and adults"/>
    <tableColumn id="178" name="Q10a | b. Female | c. Unknown household type"/>
    <tableColumn id="179" name="Q10a | c. Transgender male to female | Total"/>
    <tableColumn id="180" name="Q10a | c. Transgender male to female | a. Without children"/>
    <tableColumn id="181" name="Q10a | c. Transgender male to female | b. With children and adults"/>
    <tableColumn id="182" name="Q10a | c. Transgender male to female | c. Unknown household type"/>
    <tableColumn id="183" name="Q10a | d. Transgender female to male | Total"/>
    <tableColumn id="184" name="Q10a | d. Transgender female to male | a. Without children"/>
    <tableColumn id="185" name="Q10a | d. Transgender female to male | b. With children and adults"/>
    <tableColumn id="186" name="Q10a | d. Transgender female to male | c. Unknown household type"/>
    <tableColumn id="187" name="Q10a | e. Other | Total"/>
    <tableColumn id="188" name="Q10a | e. Other | a. Without children"/>
    <tableColumn id="189" name="Q10a | e. Other | b. With children and adults"/>
    <tableColumn id="190" name="Q10a | e. Other | c. Unknown household type"/>
    <tableColumn id="191" name="Q10a | f. Don't know / refused | Total"/>
    <tableColumn id="192" name="Q10a | f. Don't know / refused | a. Without children"/>
    <tableColumn id="193" name="Q10a | f. Don't know / refused | b. With children and adults"/>
    <tableColumn id="194" name="Q10a | f. Don't know / refused | c. Unknown household type"/>
    <tableColumn id="195" name="Q10a | g. Information missing | Total"/>
    <tableColumn id="196" name="Q10a | g. Information missing | a. Without children"/>
    <tableColumn id="197" name="Q10a | g. Information missing | b. With children and adults"/>
    <tableColumn id="198" name="Q10a | g. Information missing | c. Unknown household type"/>
    <tableColumn id="199" name="Q10a | h. Subtotal | Total"/>
    <tableColumn id="200" name="Q10a | h. Subtotal | a. Without children"/>
    <tableColumn id="201" name="Q10a | h. Subtotal | b. With children and adults"/>
    <tableColumn id="202" name="Q10a | h. Subtotal | c. Unknown household type"/>
    <tableColumn id="203" name="Q10b | a. Male | Total"/>
    <tableColumn id="204" name="Q10b | a. Male | a. With children and adults"/>
    <tableColumn id="205" name="Q10b | a. Male | b. With only children"/>
    <tableColumn id="206" name="Q10b | a. Male | c. Unknown household type"/>
    <tableColumn id="207" name="Q10b | b. Female | Total"/>
    <tableColumn id="208" name="Q10b | b. Female | a. With children and adults"/>
    <tableColumn id="209" name="Q10b | b. Female | b. With only children"/>
    <tableColumn id="210" name="Q10b | b. Female | c. Unknown household type"/>
    <tableColumn id="211" name="Q10b | c. Transgender male to female | Total"/>
    <tableColumn id="212" name="Q10b | c. Transgender male to female | a. With children and adults"/>
    <tableColumn id="213" name="Q10b | c. Transgender male to female | b. With only children"/>
    <tableColumn id="214" name="Q10b | c. Transgender male to female | c. Unknown household type"/>
    <tableColumn id="215" name="Q10b | d. Transgender female to male | Total"/>
    <tableColumn id="216" name="Q10b | d. Transgender female to male | a. With children and adults"/>
    <tableColumn id="217" name="Q10b | d. Transgender female to male | b. With only children"/>
    <tableColumn id="218" name="Q10b | d. Transgender female to male | c. Unknown household type"/>
    <tableColumn id="219" name="Q10b | e. Other | Total"/>
    <tableColumn id="220" name="Q10b | e. Other | a. With children and adults"/>
    <tableColumn id="221" name="Q10b | e. Other | b. With only children"/>
    <tableColumn id="222" name="Q10b | e. Other | c. Unknown household type"/>
    <tableColumn id="223" name="Q10b | f. Don't know / refused | Total"/>
    <tableColumn id="224" name="Q10b | f. Don't know / refused | a. With children and adults"/>
    <tableColumn id="225" name="Q10b | f. Don't know / refused | b. With only children"/>
    <tableColumn id="226" name="Q10b | f. Don't know / refused | c. Unknown household type"/>
    <tableColumn id="227" name="Q10b | g. Information missing | Total"/>
    <tableColumn id="228" name="Q10b | g. Information missing | a. With children and adults"/>
    <tableColumn id="229" name="Q10b | g. Information missing | b. With only children"/>
    <tableColumn id="230" name="Q10b | g. Information missing | c. Unknown household type"/>
    <tableColumn id="231" name="Q10b | h. Subtotal | Total"/>
    <tableColumn id="232" name="Q10b | h. Subtotal | a. With children and adults"/>
    <tableColumn id="233" name="Q10b | h. Subtotal | b. With only children"/>
    <tableColumn id="234" name="Q10b | h. Subtotal | c. Unknown household type"/>
    <tableColumn id="235" name="Q10c | a. Male | Total"/>
    <tableColumn id="236" name="Q10c | a. Male | a. Without children"/>
    <tableColumn id="237" name="Q10c | a. Male | b. With children and adults"/>
    <tableColumn id="238" name="Q10c | a. Male | c. With only children"/>
    <tableColumn id="239" name="Q10c | a. Male | d. Unknown household type"/>
    <tableColumn id="240" name="Q10c | b. Female | Total"/>
    <tableColumn id="241" name="Q10c | b. Female | a. Without children"/>
    <tableColumn id="242" name="Q10c | b. Female | b. With children and adults"/>
    <tableColumn id="243" name="Q10c | b. Female | c. With only children"/>
    <tableColumn id="244" name="Q10c | b. Female | d. Unknown household type"/>
    <tableColumn id="245" name="Q10c | c. Transgender male to female | Total"/>
    <tableColumn id="246" name="Q10c | c. Transgender male to female | a. Without children"/>
    <tableColumn id="247" name="Q10c | c. Transgender male to female | b. With children and adults"/>
    <tableColumn id="248" name="Q10c | c. Transgender male to female | c. With only children"/>
    <tableColumn id="249" name="Q10c | c. Transgender male to female | d. Unknown household type"/>
    <tableColumn id="250" name="Q10c | d. Transgender female to male | Total"/>
    <tableColumn id="251" name="Q10c | d. Transgender female to male | a. Without children"/>
    <tableColumn id="252" name="Q10c | d. Transgender female to male | b. With children and adults"/>
    <tableColumn id="253" name="Q10c | d. Transgender female to male | c. With only children"/>
    <tableColumn id="254" name="Q10c | d. Transgender female to male | d. Unknown household type"/>
    <tableColumn id="255" name="Q10c | e. Other | Total"/>
    <tableColumn id="256" name="Q10c | e. Other | a. Without children"/>
    <tableColumn id="257" name="Q10c | e. Other | b. With children and adults"/>
    <tableColumn id="258" name="Q10c | e. Other | c. With only children"/>
    <tableColumn id="259" name="Q10c | e. Other | d. Unknown household type"/>
    <tableColumn id="260" name="Q10c | f. Don't know / refused | Total"/>
    <tableColumn id="261" name="Q10c | f. Don't know / refused | a. Without children"/>
    <tableColumn id="262" name="Q10c | f. Don't know / refused | b. With children and adults"/>
    <tableColumn id="263" name="Q10c | f. Don't know / refused | c. With only children"/>
    <tableColumn id="264" name="Q10c | f. Don't know / refused | d. Unknown household type"/>
    <tableColumn id="265" name="Q10c | g. Information missing | Total"/>
    <tableColumn id="266" name="Q10c | g. Information missing | a. Without children"/>
    <tableColumn id="267" name="Q10c | g. Information missing | b. With children and adults"/>
    <tableColumn id="268" name="Q10c | g. Information missing | c. With only children"/>
    <tableColumn id="269" name="Q10c | g. Information missing | d. Unknown household type"/>
    <tableColumn id="270" name="Q10c | h. Subtotal | Total"/>
    <tableColumn id="271" name="Q10c | h. Subtotal | a. Without children"/>
    <tableColumn id="272" name="Q10c | h. Subtotal | b. With children and adults"/>
    <tableColumn id="273" name="Q10c | h. Subtotal | c. With only children"/>
    <tableColumn id="274" name="Q10c | h. Subtotal | d. Unknown household type"/>
    <tableColumn id="275" name="Q10d | a. Male | Total"/>
    <tableColumn id="276" name="Q10d | a. Male | a. Under age 18"/>
    <tableColumn id="277" name="Q10d | a. Male | b. Age 18-24"/>
    <tableColumn id="278" name="Q10d | a. Male | c. Age 25-61"/>
    <tableColumn id="279" name="Q10d | a. Male | d. Age 62 and over"/>
    <tableColumn id="280" name="Q10d | a. Male | e. Client Doesn't Know/Client Refused"/>
    <tableColumn id="281" name="Q10d | a. Male | f. Data not collected"/>
    <tableColumn id="282" name="Q10d | b. Female | Total"/>
    <tableColumn id="283" name="Q10d | b. Female | a. Under age 18"/>
    <tableColumn id="284" name="Q10d | b. Female | b. Age 18-24"/>
    <tableColumn id="285" name="Q10d | b. Female | c. Age 25-61"/>
    <tableColumn id="286" name="Q10d | b. Female | d. Age 62 and over"/>
    <tableColumn id="287" name="Q10d | b. Female | e. Client Doesn't Know/Client Refused"/>
    <tableColumn id="288" name="Q10d | b. Female | f. Data not collected"/>
    <tableColumn id="1654" name="Q10d | c. Transgender Male to Female | Total"/>
    <tableColumn id="1653" name="Q10d | c. Transgender Male to Female | a. Under age 18"/>
    <tableColumn id="1652" name="Q10d | c. Transgender Male to Female | b. Age 18-24"/>
    <tableColumn id="1386" name="Q10d | c. Transgender Male to Female | c. Age 25-61"/>
    <tableColumn id="1385" name="Q10d | c. Transgender Male to Female | d. Age 62 and over"/>
    <tableColumn id="1384" name="Q10d | c. Transgender Male to Female | e. Client Doesn't Know/Client Refused"/>
    <tableColumn id="1383" name="Q10d | c. Transgender Male to Female | f. Data not collected"/>
    <tableColumn id="1382" name="Q10d | d. Transgender female to male | Total"/>
    <tableColumn id="1191" name="Q10d | d. Transgender female to male | a. Under age 18"/>
    <tableColumn id="1190" name="Q10d | d. Transgender female to male | b. Age 18-24"/>
    <tableColumn id="1189" name="Q10d | d. Transgender female to male | c. Age 25-61"/>
    <tableColumn id="1188" name="Q10d | d. Transgender female to male | d. Age 62 and over"/>
    <tableColumn id="1187" name="Q10d | d. Transgender female to male | e. Client Doesn't Know/Client Refused"/>
    <tableColumn id="63" name="Q10d | d. Transgender female to male | f. Data not collected"/>
    <tableColumn id="296" name="Q10d | e. Other | Total"/>
    <tableColumn id="297" name="Q10d | e. Other | a. Under age 18"/>
    <tableColumn id="298" name="Q10d | e. Other | b. Age 18-24"/>
    <tableColumn id="299" name="Q10d | e. Other | c. Age 25-61"/>
    <tableColumn id="300" name="Q10d | e. Other | d. Age 62 and over"/>
    <tableColumn id="301" name="Q10d | e. Other | e. Client Doesn't Know/Client Refused"/>
    <tableColumn id="302" name="Q10d | e. Other | f. Data not collected"/>
    <tableColumn id="303" name="Q10d | f. Don't know / refused | Total"/>
    <tableColumn id="304" name="Q10d | f. Don't know / refused | a. Under age 18"/>
    <tableColumn id="305" name="Q10d | f. Don't know / refused | b. Age 18-24"/>
    <tableColumn id="306" name="Q10d | f. Don't know / refused | c. Age 25-61"/>
    <tableColumn id="307" name="Q10d | f. Don't know / refused | d. Age 62 and over"/>
    <tableColumn id="308" name="Q10d | f. Don't know / refused | e. Client Doesn't Know/Client Refused"/>
    <tableColumn id="309" name="Q10d | f. Don't know / refused | f. Data not collected"/>
    <tableColumn id="310" name="Q10d | g. Information missing | Total"/>
    <tableColumn id="311" name="Q10d | g. Information missing | a. Under age 18"/>
    <tableColumn id="312" name="Q10d | g. Information missing | b. Age 18-24"/>
    <tableColumn id="313" name="Q10d | g. Information missing | c. Age 25-61"/>
    <tableColumn id="314" name="Q10d | g. Information missing | d. Age 62 and over"/>
    <tableColumn id="315" name="Q10d | g. Information missing | e. Client Doesn't Know/Client Refused"/>
    <tableColumn id="316" name="Q10d | g. Information missing | f. Data not collected"/>
    <tableColumn id="317" name="Q10d | h. Total | Total"/>
    <tableColumn id="318" name="Q10d | h. Total | a. Under age 18"/>
    <tableColumn id="319" name="Q10d | h. Total | b. Age 18-24"/>
    <tableColumn id="320" name="Q10d | h. Total | c. Age 25-61"/>
    <tableColumn id="321" name="Q10d | h. Total | d. Age 62 and over"/>
    <tableColumn id="322" name="Q10d | h. Total | e. Client Doesn't Know/Client Refused"/>
    <tableColumn id="323" name="Q10d | h. Total | f. Data not collected"/>
    <tableColumn id="324" name="Q11 | a. Under 5 | Total"/>
    <tableColumn id="325" name="Q11 | a. Under 5 | a. Without children"/>
    <tableColumn id="326" name="Q11 | a. Under 5 | b. With children and adults"/>
    <tableColumn id="327" name="Q11 | a. Under 5 | c. With only children"/>
    <tableColumn id="328" name="Q11 | a. Under 5 | d. Unknown household type"/>
    <tableColumn id="329" name="Q11 | b. 5 - 12 | Total"/>
    <tableColumn id="330" name="Q11 | b. 5 - 12 | a. Without children"/>
    <tableColumn id="331" name="Q11 | b. 5 - 12 | b. With children and adults"/>
    <tableColumn id="332" name="Q11 | b. 5 - 12 | c. With only children"/>
    <tableColumn id="333" name="Q11 | b. 5 - 12 | d. Unknown household type"/>
    <tableColumn id="334" name="Q11 | c. 13 - 17 | Total"/>
    <tableColumn id="335" name="Q11 | c. 13 - 17 | a. Without children"/>
    <tableColumn id="336" name="Q11 | c. 13 - 17 | b. With children and adults"/>
    <tableColumn id="337" name="Q11 | c. 13 - 17 | c. With only children"/>
    <tableColumn id="338" name="Q11 | c. 13 - 17 | d. Unknown household type"/>
    <tableColumn id="339" name="Q11 | d. 18 - 24 | Total"/>
    <tableColumn id="340" name="Q11 | d. 18 - 24 | a. Without children"/>
    <tableColumn id="341" name="Q11 | d. 18 - 24 | b. With children and adults"/>
    <tableColumn id="342" name="Q11 | d. 18 - 24 | c. With only children"/>
    <tableColumn id="343" name="Q11 | d. 18 - 24 | d. Unknown household type"/>
    <tableColumn id="344" name="Q11 | e. 25 - 34 | Total"/>
    <tableColumn id="345" name="Q11 | e. 25 - 34 | a. Without children"/>
    <tableColumn id="346" name="Q11 | e. 25 - 34 | b. With children and adults"/>
    <tableColumn id="347" name="Q11 | e. 25 - 34 | c. With only children"/>
    <tableColumn id="348" name="Q11 | e. 25 - 34 | d. Unknown household type"/>
    <tableColumn id="349" name="Q11 | f. 35 - 44 | Total"/>
    <tableColumn id="350" name="Q11 | f. 35 - 44 | a. Without children"/>
    <tableColumn id="351" name="Q11 | f. 35 - 44 | b. With children and adults"/>
    <tableColumn id="352" name="Q11 | f. 35 - 44 | c. With only children"/>
    <tableColumn id="353" name="Q11 | f. 35 - 44 | d. Unknown household type"/>
    <tableColumn id="354" name="Q11 | g. 45 - 54 | Total"/>
    <tableColumn id="355" name="Q11 | g. 45 - 54 | a. Without children"/>
    <tableColumn id="356" name="Q11 | g. 45 - 54 | b. With children and adults"/>
    <tableColumn id="357" name="Q11 | g. 45 - 54 | c. With only children"/>
    <tableColumn id="358" name="Q11 | g. 45 - 54 | d. Unknown household type"/>
    <tableColumn id="359" name="Q11 | h. 55 - 61 | Total"/>
    <tableColumn id="360" name="Q11 | h. 55 - 61 | a. Without children"/>
    <tableColumn id="361" name="Q11 | h. 55 - 61 | b. With children and adults"/>
    <tableColumn id="362" name="Q11 | h. 55 - 61 | c. With only children"/>
    <tableColumn id="363" name="Q11 | h. 55 - 61 | d. Unknown household type"/>
    <tableColumn id="364" name="Q11 | i. 62+ | Total"/>
    <tableColumn id="365" name="Q11 | i. 62+ | a. Without children"/>
    <tableColumn id="366" name="Q11 | i. 62+ | b. With children and adults"/>
    <tableColumn id="367" name="Q11 | i. 62+ | c. With only children"/>
    <tableColumn id="368" name="Q11 | i. 62+ | d. Unknown household type"/>
    <tableColumn id="369" name="Q11 | j. Don't know / refused | Total"/>
    <tableColumn id="370" name="Q11 | j. Don't know / refused | a. Without children"/>
    <tableColumn id="371" name="Q11 | j. Don't know / refused | b. With children and adults"/>
    <tableColumn id="372" name="Q11 | j. Don't know / refused | c. With only children"/>
    <tableColumn id="373" name="Q11 | j. Don't know / refused | d. Unknown household type"/>
    <tableColumn id="374" name="Q11 | k. Information missing | Total"/>
    <tableColumn id="375" name="Q11 | k. Information missing | a. Without children"/>
    <tableColumn id="376" name="Q11 | k. Information missing | b. With children and adults"/>
    <tableColumn id="377" name="Q11 | k. Information missing | c. With only children"/>
    <tableColumn id="378" name="Q11 | k. Information missing | d. Unknown household type"/>
    <tableColumn id="379" name="Q11 | l. Total | Total"/>
    <tableColumn id="380" name="Q11 | l. Total | a. Without children"/>
    <tableColumn id="381" name="Q11 | l. Total | b. With children and adults"/>
    <tableColumn id="382" name="Q11 | l. Total | c. With only children"/>
    <tableColumn id="383" name="Q11 | l. Total | d. Unknown household type"/>
    <tableColumn id="384" name="Q12a | a. White | Total"/>
    <tableColumn id="385" name="Q12a | a. White | a. Without children"/>
    <tableColumn id="386" name="Q12a | a. White | b. With children and adults"/>
    <tableColumn id="387" name="Q12a | a. White | c. With only children"/>
    <tableColumn id="388" name="Q12a | a. White | d. Unknown household type"/>
    <tableColumn id="389" name="Q12a | b. Black or African-American | Total"/>
    <tableColumn id="390" name="Q12a | b. Black or African-American | a. Without children"/>
    <tableColumn id="391" name="Q12a | b. Black or African-American | b. With children and adults"/>
    <tableColumn id="392" name="Q12a | b. Black or African-American | c. With only children"/>
    <tableColumn id="393" name="Q12a | b. Black or African-American | d. Unknown household type"/>
    <tableColumn id="394" name="Q12a | c. Asian | Total"/>
    <tableColumn id="395" name="Q12a | c. Asian | a. Without children"/>
    <tableColumn id="396" name="Q12a | c. Asian | b. With children and adults"/>
    <tableColumn id="397" name="Q12a | c. Asian | c. With only children"/>
    <tableColumn id="398" name="Q12a | c. Asian | d. Unknown household type"/>
    <tableColumn id="399" name="Q12a | d. American Indian or Alaska Native | Total"/>
    <tableColumn id="400" name="Q12a | d. American Indian or Alaska Native | a. Without children"/>
    <tableColumn id="401" name="Q12a | d. American Indian or Alaska Native | b. With children and adults"/>
    <tableColumn id="402" name="Q12a | d. American Indian or Alaska Native | c. With only children"/>
    <tableColumn id="403" name="Q12a | d. American Indian or Alaska Native | d. Unknown household type"/>
    <tableColumn id="404" name="Q12a | e. Native Hawaiian or Other Pacific Islander | Total"/>
    <tableColumn id="405" name="Q12a | e. Native Hawaiian or Other Pacific Islander | a. Without children"/>
    <tableColumn id="406" name="Q12a | e. Native Hawaiian or Other Pacific Islander | b. With children and adults"/>
    <tableColumn id="407" name="Q12a | e. Native Hawaiian or Other Pacific Islander | c. With only children"/>
    <tableColumn id="408" name="Q12a | e. Native Hawaiian or Other Pacific Islander | d. Unknown household type"/>
    <tableColumn id="409" name="Q12a | f. Multiple races | Total"/>
    <tableColumn id="410" name="Q12a | f. Multiple races | a. Without children"/>
    <tableColumn id="411" name="Q12a | f. Multiple races | b. With children and adults"/>
    <tableColumn id="412" name="Q12a | f. Multiple races | c. With only children"/>
    <tableColumn id="413" name="Q12a | f. Multiple races | d. Unknown household type"/>
    <tableColumn id="414" name="Q12a | g. Don't know / refused | Total"/>
    <tableColumn id="415" name="Q12a | g. Don't know / refused | a. Without children"/>
    <tableColumn id="416" name="Q12a | g. Don't know / refused | b. With children and adults"/>
    <tableColumn id="417" name="Q12a | g. Don't know / refused | c. With only children"/>
    <tableColumn id="418" name="Q12a | g. Don't know / refused | d. Unknown household type"/>
    <tableColumn id="419" name="Q12a | h. Information missing | Total"/>
    <tableColumn id="420" name="Q12a | h. Information missing | a. Without children"/>
    <tableColumn id="421" name="Q12a | h. Information missing | b. With children and adults"/>
    <tableColumn id="422" name="Q12a | h. Information missing | c. With only children"/>
    <tableColumn id="423" name="Q12a | h. Information missing | d. Unknown household type"/>
    <tableColumn id="424" name="Q12a | i. Total | Total"/>
    <tableColumn id="425" name="Q12a | i. Total | a. Without children"/>
    <tableColumn id="426" name="Q12a | i. Total | b. With children and adults"/>
    <tableColumn id="427" name="Q12a | i. Total | c. With only children"/>
    <tableColumn id="428" name="Q12a | i. Total | d. Unknown household type"/>
    <tableColumn id="429" name="Q12b | a. Non-Hispanic/non-Latino | Total"/>
    <tableColumn id="430" name="Q12b | a. Non-Hispanic/non-Latino | a. Without children"/>
    <tableColumn id="431" name="Q12b | a. Non-Hispanic/non-Latino | b. With children and adults"/>
    <tableColumn id="432" name="Q12b | a. Non-Hispanic/non-Latino | c. With only children"/>
    <tableColumn id="433" name="Q12b | a. Non-Hispanic/non-Latino | d. Unknown household type"/>
    <tableColumn id="434" name="Q12b | b. Hispanic/Latino | Total"/>
    <tableColumn id="435" name="Q12b | b. Hispanic/Latino | a. Without children"/>
    <tableColumn id="436" name="Q12b | b. Hispanic/Latino | b. With children and adults"/>
    <tableColumn id="437" name="Q12b | b. Hispanic/Latino | c. With only children"/>
    <tableColumn id="438" name="Q12b | b. Hispanic/Latino | d. Unknown household type"/>
    <tableColumn id="439" name="Q12b | c. Don't know / refused | Total"/>
    <tableColumn id="440" name="Q12b | c. Don't know / refused | a. Without children"/>
    <tableColumn id="441" name="Q12b | c. Don't know / refused | b. With children and adults"/>
    <tableColumn id="442" name="Q12b | c. Don't know / refused | c. With only children"/>
    <tableColumn id="443" name="Q12b | c. Don't know / refused | d. Unknown household type"/>
    <tableColumn id="444" name="Q12b | d. Information missing | Total"/>
    <tableColumn id="445" name="Q12b | d. Information missing | a. Without children"/>
    <tableColumn id="446" name="Q12b | d. Information missing | b. With children and adults"/>
    <tableColumn id="447" name="Q12b | d. Information missing | c. With only children"/>
    <tableColumn id="448" name="Q12b | d. Information missing | d. Unknown household type"/>
    <tableColumn id="449" name="Q12b | e. Total | Total"/>
    <tableColumn id="450" name="Q12b | e. Total | a. Without children"/>
    <tableColumn id="451" name="Q12b | e. Total | b. With children and adults"/>
    <tableColumn id="452" name="Q12b | e. Total | c. With only children"/>
    <tableColumn id="453" name="Q12b | e. Total | d. Unknown household type"/>
    <tableColumn id="454" name="Q13a1 | a. Mental illness | Total persons"/>
    <tableColumn id="455" name="Q13a1 | a. Mental illness | a. Without children"/>
    <tableColumn id="456" name="Q13a1 | a. Mental illness | b. With children and adults"/>
    <tableColumn id="457" name="Q13a1 | a. Mental illness | c. With only children"/>
    <tableColumn id="458" name="Q13a1 | a. Mental illness | d. Unknown household type"/>
    <tableColumn id="459" name="Q13a1 | b. Alcohol abuse | Total persons"/>
    <tableColumn id="460" name="Q13a1 | b. Alcohol abuse | a. Without children"/>
    <tableColumn id="461" name="Q13a1 | b. Alcohol abuse | b. With children and adults"/>
    <tableColumn id="462" name="Q13a1 | b. Alcohol abuse | c. With only children"/>
    <tableColumn id="463" name="Q13a1 | b. Alcohol abuse | d. Unknown household type"/>
    <tableColumn id="464" name="Q13a1 | c. Drug abuse | Total persons"/>
    <tableColumn id="465" name="Q13a1 | c. Drug abuse | a. Without children"/>
    <tableColumn id="466" name="Q13a1 | c. Drug abuse | b. With children and adults"/>
    <tableColumn id="467" name="Q13a1 | c. Drug abuse | c. With only children"/>
    <tableColumn id="468" name="Q13a1 | c. Drug abuse | d. Unknown household type"/>
    <tableColumn id="469" name="Q13a1 | d. Both alcohol and drug abuse | Total persons"/>
    <tableColumn id="470" name="Q13a1 | d. Both alcohol and drug abuse | a. Without children"/>
    <tableColumn id="471" name="Q13a1 | d. Both alcohol and drug abuse | b. With children and adults"/>
    <tableColumn id="472" name="Q13a1 | d. Both alcohol and drug abuse | c. With only children"/>
    <tableColumn id="473" name="Q13a1 | d. Both alcohol and drug abuse | d. Unknown household type"/>
    <tableColumn id="474" name="Q13a1 | e. Chronic health condition | Total persons"/>
    <tableColumn id="475" name="Q13a1 | e. Chronic health condition | a. Without children"/>
    <tableColumn id="476" name="Q13a1 | e. Chronic health condition | b. With children and adults"/>
    <tableColumn id="477" name="Q13a1 | e. Chronic health condition | c. With only children"/>
    <tableColumn id="478" name="Q13a1 | e. Chronic health condition | d. Unknown household type"/>
    <tableColumn id="479" name="Q13a1 | f. HIV/AIDS and related diseases | Total persons"/>
    <tableColumn id="480" name="Q13a1 | f. HIV/AIDS and related diseases | a. Without children"/>
    <tableColumn id="481" name="Q13a1 | f. HIV/AIDS and related diseases | b. With children and adults"/>
    <tableColumn id="482" name="Q13a1 | f. HIV/AIDS and related diseases | c. With only children"/>
    <tableColumn id="483" name="Q13a1 | f. HIV/AIDS and related diseases | d. Unknown household type"/>
    <tableColumn id="484" name="Q13a1 | g. Developmental disability | Total persons"/>
    <tableColumn id="485" name="Q13a1 | g. Developmental disability | a. Without children"/>
    <tableColumn id="486" name="Q13a1 | g. Developmental disability | b. With children and adults"/>
    <tableColumn id="487" name="Q13a1 | g. Developmental disability | c. With only children"/>
    <tableColumn id="488" name="Q13a1 | g. Developmental disability | d. Unknown household type"/>
    <tableColumn id="489" name="Q13a1 | h. Physical disability | Total persons"/>
    <tableColumn id="490" name="Q13a1 | h. Physical disability | a. Without children"/>
    <tableColumn id="491" name="Q13a1 | h. Physical disability | b. With children and adults"/>
    <tableColumn id="492" name="Q13a1 | h. Physical disability | c. With only children"/>
    <tableColumn id="493" name="Q13a1 | h. Physical disability | d. Unknown household type"/>
    <tableColumn id="494" name="Q13b1 | a. Mental illness | Total persons"/>
    <tableColumn id="495" name="Q13b1 | a. Mental illness | a. Without children"/>
    <tableColumn id="496" name="Q13b1 | a. Mental illness | b. With children and adults"/>
    <tableColumn id="497" name="Q13b1 | a. Mental illness | c. With only children"/>
    <tableColumn id="498" name="Q13b1 | a. Mental illness | d. Unknown household type"/>
    <tableColumn id="499" name="Q13b1 | b. Alcohol abuse | Total persons"/>
    <tableColumn id="500" name="Q13b1 | b. Alcohol abuse | a. Without children"/>
    <tableColumn id="501" name="Q13b1 | b. Alcohol abuse | b. With children and adults"/>
    <tableColumn id="502" name="Q13b1 | b. Alcohol abuse | c. With only children"/>
    <tableColumn id="503" name="Q13b1 | b. Alcohol abuse | d. Unknown household type"/>
    <tableColumn id="504" name="Q13b1 | c. Drug abuse | Total persons"/>
    <tableColumn id="505" name="Q13b1 | c. Drug abuse | a. Without children"/>
    <tableColumn id="506" name="Q13b1 | c. Drug abuse | b. With children and adults"/>
    <tableColumn id="507" name="Q13b1 | c. Drug abuse | c. With only children"/>
    <tableColumn id="508" name="Q13b1 | c. Drug abuse | d. Unknown household type"/>
    <tableColumn id="509" name="Q13b1 | d. Both alcohol and drug abuse | Total persons"/>
    <tableColumn id="510" name="Q13b1 | d. Both alcohol and drug abuse | a. Without children"/>
    <tableColumn id="511" name="Q13b1 | d. Both alcohol and drug abuse | b. With children and adults"/>
    <tableColumn id="512" name="Q13b1 | d. Both alcohol and drug abuse | c. With only children"/>
    <tableColumn id="513" name="Q13b1 | d. Both alcohol and drug abuse | d. Unknown household type"/>
    <tableColumn id="514" name="Q13b1 | e. Chronic health condition | Total persons"/>
    <tableColumn id="515" name="Q13b1 | e. Chronic health condition | a. Without children"/>
    <tableColumn id="516" name="Q13b1 | e. Chronic health condition | b. With children and adults"/>
    <tableColumn id="517" name="Q13b1 | e. Chronic health condition | c. With only children"/>
    <tableColumn id="518" name="Q13b1 | e. Chronic health condition | d. Unknown household type"/>
    <tableColumn id="519" name="Q13b1 | f. HIV/AIDS and related diseases | Total persons"/>
    <tableColumn id="520" name="Q13b1 | f. HIV/AIDS and related diseases | a. Without children"/>
    <tableColumn id="521" name="Q13b1 | f. HIV/AIDS and related diseases | b. With children and adults"/>
    <tableColumn id="522" name="Q13b1 | f. HIV/AIDS and related diseases | c. With only children"/>
    <tableColumn id="523" name="Q13b1 | f. HIV/AIDS and related diseases | d. Unknown household type"/>
    <tableColumn id="524" name="Q13b1 | g. Developmental disability | Total persons"/>
    <tableColumn id="525" name="Q13b1 | g. Developmental disability | a. Without children"/>
    <tableColumn id="526" name="Q13b1 | g. Developmental disability | b. With children and adults"/>
    <tableColumn id="527" name="Q13b1 | g. Developmental disability | c. With only children"/>
    <tableColumn id="528" name="Q13b1 | g. Developmental disability | d. Unknown household type"/>
    <tableColumn id="529" name="Q13b1 | h. Physical disability | Total persons"/>
    <tableColumn id="530" name="Q13b1 | h. Physical disability | a. Without children"/>
    <tableColumn id="531" name="Q13b1 | h. Physical disability | b. With children and adults"/>
    <tableColumn id="532" name="Q13b1 | h. Physical disability | c. With only children"/>
    <tableColumn id="533" name="Q13b1 | h. Physical disability | d. Unknown household type"/>
    <tableColumn id="534" name="Q13c1 | a. Mental illness | Total persons"/>
    <tableColumn id="535" name="Q13c1 | a. Mental illness | a. Without children"/>
    <tableColumn id="536" name="Q13c1 | a. Mental illness | b. With children and adults"/>
    <tableColumn id="537" name="Q13c1 | a. Mental illness | c. With only children"/>
    <tableColumn id="538" name="Q13c1 | a. Mental illness | d. Unknown household type"/>
    <tableColumn id="539" name="Q13c1 | b. Alcohol abuse | Total persons"/>
    <tableColumn id="540" name="Q13c1 | b. Alcohol abuse | a. Without children"/>
    <tableColumn id="541" name="Q13c1 | b. Alcohol abuse | b. With children and adults"/>
    <tableColumn id="542" name="Q13c1 | b. Alcohol abuse | c. With only children"/>
    <tableColumn id="543" name="Q13c1 | b. Alcohol abuse | d. Unknown household type"/>
    <tableColumn id="544" name="Q13c1 | c. Drug abuse | Total persons"/>
    <tableColumn id="545" name="Q13c1 | c. Drug abuse | a. Without children"/>
    <tableColumn id="546" name="Q13c1 | c. Drug abuse | b. With children and adults"/>
    <tableColumn id="547" name="Q13c1 | c. Drug abuse | c. With only children"/>
    <tableColumn id="548" name="Q13c1 | c. Drug abuse | d. Unknown household type"/>
    <tableColumn id="549" name="Q13c1 | d. Both alcohol and drug abuse | Total persons"/>
    <tableColumn id="550" name="Q13c1 | d. Both alcohol and drug abuse | a. Without children"/>
    <tableColumn id="551" name="Q13c1 | d. Both alcohol and drug abuse | b. With children and adults"/>
    <tableColumn id="552" name="Q13c1 | d. Both alcohol and drug abuse | c. With only children"/>
    <tableColumn id="553" name="Q13c1 | d. Both alcohol and drug abuse | d. Unknown household type"/>
    <tableColumn id="554" name="Q13c1 | e. Chronic health condition | Total persons"/>
    <tableColumn id="555" name="Q13c1 | e. Chronic health condition | a. Without children"/>
    <tableColumn id="556" name="Q13c1 | e. Chronic health condition | b. With children and adults"/>
    <tableColumn id="557" name="Q13c1 | e. Chronic health condition | c. With only children"/>
    <tableColumn id="558" name="Q13c1 | e. Chronic health condition | d. Unknown household type"/>
    <tableColumn id="559" name="Q13c1 | f. HIV/AIDS and related diseases | Total persons"/>
    <tableColumn id="560" name="Q13c1 | f. HIV/AIDS and related diseases | a. Without children"/>
    <tableColumn id="561" name="Q13c1 | f. HIV/AIDS and related diseases | b. With children and adults"/>
    <tableColumn id="562" name="Q13c1 | f. HIV/AIDS and related diseases | c. With only children"/>
    <tableColumn id="563" name="Q13c1 | f. HIV/AIDS and related diseases | d. Unknown household type"/>
    <tableColumn id="564" name="Q13c1 | g. Developmental disability | Total persons"/>
    <tableColumn id="565" name="Q13c1 | g. Developmental disability | a. Without children"/>
    <tableColumn id="566" name="Q13c1 | g. Developmental disability | b. With children and adults"/>
    <tableColumn id="567" name="Q13c1 | g. Developmental disability | c. With only children"/>
    <tableColumn id="568" name="Q13c1 | g. Developmental disability | d. Unknown household type"/>
    <tableColumn id="569" name="Q13c1 | h. Physical disability | Total persons"/>
    <tableColumn id="570" name="Q13c1 | h. Physical disability | a. Without children"/>
    <tableColumn id="571" name="Q13c1 | h. Physical disability | b. With children and adults"/>
    <tableColumn id="572" name="Q13c1 | h. Physical disability | c. With only children"/>
    <tableColumn id="573" name="Q13c1 | h. Physical disability | d. Unknown household type"/>
    <tableColumn id="574" name="Q14a | a. Yes | Total"/>
    <tableColumn id="575" name="Q14a | a. Yes | a. Without children"/>
    <tableColumn id="576" name="Q14a | a. Yes | b. With children and adults"/>
    <tableColumn id="577" name="Q14a | a. Yes | c. With only children"/>
    <tableColumn id="578" name="Q14a | a. Yes | d. Unknown household type"/>
    <tableColumn id="579" name="Q14a | b. No | Total"/>
    <tableColumn id="580" name="Q14a | b. No | a. Without children"/>
    <tableColumn id="581" name="Q14a | b. No | b. With children and adults"/>
    <tableColumn id="582" name="Q14a | b. No | c. With only children"/>
    <tableColumn id="583" name="Q14a | b. No | d. Unknown household type"/>
    <tableColumn id="584" name="Q14a | c. Don't know / refused | Total"/>
    <tableColumn id="585" name="Q14a | c. Don't know / refused | a. Without children"/>
    <tableColumn id="586" name="Q14a | c. Don't know / refused | b. With children and adults"/>
    <tableColumn id="587" name="Q14a | c. Don't know / refused | c. With only children"/>
    <tableColumn id="588" name="Q14a | c. Don't know / refused | d. Unknown household type"/>
    <tableColumn id="589" name="Q14a | d. Information missing | Total"/>
    <tableColumn id="590" name="Q14a | d. Information missing | a. Without children"/>
    <tableColumn id="591" name="Q14a | d. Information missing | b. With children and adults"/>
    <tableColumn id="592" name="Q14a | d. Information missing | c. With only children"/>
    <tableColumn id="593" name="Q14a | d. Information missing | d. Unknown household type"/>
    <tableColumn id="594" name="Q14a | e. Total | Total"/>
    <tableColumn id="595" name="Q14a | e. Total | a. Without children"/>
    <tableColumn id="596" name="Q14a | e. Total | b. With children and adults"/>
    <tableColumn id="597" name="Q14a | e. Total | c. With only children"/>
    <tableColumn id="598" name="Q14a | e. Total | d. Unknown household type"/>
    <tableColumn id="599" name="Q14b | a. Yes | Total"/>
    <tableColumn id="600" name="Q14b | a. Yes | a. Without children"/>
    <tableColumn id="601" name="Q14b | a. Yes | b. With children and adults"/>
    <tableColumn id="602" name="Q14b | a. Yes | c. With only children"/>
    <tableColumn id="603" name="Q14b | a. Yes | d. Unknown household type"/>
    <tableColumn id="604" name="Q14b | b. No | Total"/>
    <tableColumn id="605" name="Q14b | b. No | a. Without children"/>
    <tableColumn id="606" name="Q14b | b. No | b. With children and adults"/>
    <tableColumn id="607" name="Q14b | b. No | c. With only children"/>
    <tableColumn id="608" name="Q14b | b. No | d. Unknown household type"/>
    <tableColumn id="609" name="Q14b | c. Don't know / refused | Total"/>
    <tableColumn id="610" name="Q14b | c. Don't know / refused | a. Without children"/>
    <tableColumn id="611" name="Q14b | c. Don't know / refused | b. With children and adults"/>
    <tableColumn id="612" name="Q14b | c. Don't know / refused | c. With only children"/>
    <tableColumn id="613" name="Q14b | c. Don't know / refused | d. Unknown household type"/>
    <tableColumn id="614" name="Q14b | d. Information missing | Total"/>
    <tableColumn id="615" name="Q14b | d. Information missing | a. Without children"/>
    <tableColumn id="616" name="Q14b | d. Information missing | b. With children and adults"/>
    <tableColumn id="617" name="Q14b | d. Information missing | c. With only children"/>
    <tableColumn id="618" name="Q14b | d. Information missing | d. Unknown household type"/>
    <tableColumn id="619" name="Q14b | e. Total | Total"/>
    <tableColumn id="620" name="Q14b | e. Total | a. Without children"/>
    <tableColumn id="621" name="Q14b | e. Total | b. With children and adults"/>
    <tableColumn id="622" name="Q14b | e. Total | c. With only children"/>
    <tableColumn id="623" name="Q14b | e. Total | d. Unknown household type"/>
    <tableColumn id="624" name="Q15 | a. Homeless situations | Total"/>
    <tableColumn id="625" name="Q15 | a. Homeless situations | a. Without children"/>
    <tableColumn id="626" name="Q15 | a. Homeless situations | b. With children and adults"/>
    <tableColumn id="627" name="Q15 | a. Homeless situations | c. With only children"/>
    <tableColumn id="628" name="Q15 | a. Homeless situations | d. Unknown household type"/>
    <tableColumn id="629" name="Q15 | a1. Emergency shelter | Total"/>
    <tableColumn id="630" name="Q15 | a1. Emergency shelter | a. Without children"/>
    <tableColumn id="631" name="Q15 | a1. Emergency shelter | b. With children and adults"/>
    <tableColumn id="632" name="Q15 | a1. Emergency shelter | c. With only children"/>
    <tableColumn id="633" name="Q15 | a1. Emergency shelter | d. Unknown household type"/>
    <tableColumn id="634" name="Q15 | a2. Transitional housing for homeless persons | Total"/>
    <tableColumn id="635" name="Q15 | a2. Transitional housing for homeless persons | a. Without children"/>
    <tableColumn id="636" name="Q15 | a2. Transitional housing for homeless persons | b. With children and adults"/>
    <tableColumn id="637" name="Q15 | a2. Transitional housing for homeless persons | c. With only children"/>
    <tableColumn id="638" name="Q15 | a2. Transitional housing for homeless persons | d. Unknown household type"/>
    <tableColumn id="639" name="Q15 | a3. Place not meant for human habitation | Total"/>
    <tableColumn id="640" name="Q15 | a3. Place not meant for human habitation | a. Without children"/>
    <tableColumn id="641" name="Q15 | a3. Place not meant for human habitation | b. With children and adults"/>
    <tableColumn id="642" name="Q15 | a3. Place not meant for human habitation | c. With only children"/>
    <tableColumn id="643" name="Q15 | a3. Place not meant for human habitation | d. Unknown household type"/>
    <tableColumn id="644" name="Q15 | a4. Safe haven | Total"/>
    <tableColumn id="645" name="Q15 | a4. Safe haven | a. Without children"/>
    <tableColumn id="646" name="Q15 | a4. Safe haven | b. With children and adults"/>
    <tableColumn id="647" name="Q15 | a4. Safe haven | c. With only children"/>
    <tableColumn id="648" name="Q15 | a4. Safe haven | d. Unknown household type"/>
    <tableColumn id="649" name="Q15 | az. Total | Total"/>
    <tableColumn id="650" name="Q15 | az. Total | a. Without children"/>
    <tableColumn id="651" name="Q15 | az. Total | b. With children and adults"/>
    <tableColumn id="652" name="Q15 | az. Total | c. With only children"/>
    <tableColumn id="653" name="Q15 | az. Total | d. Unknown household type"/>
    <tableColumn id="654" name="Q15 | b. Institutional settings | Total"/>
    <tableColumn id="655" name="Q15 | b. Institutional settings | a. Without children"/>
    <tableColumn id="656" name="Q15 | b. Institutional settings | b. With children and adults"/>
    <tableColumn id="657" name="Q15 | b. Institutional settings | c. With only children"/>
    <tableColumn id="658" name="Q15 | b. Institutional settings | d. Unknown household type"/>
    <tableColumn id="659" name="Q15 | b1. Psychiatric facility | Total"/>
    <tableColumn id="660" name="Q15 | b1. Psychiatric facility | a. Without children"/>
    <tableColumn id="661" name="Q15 | b1. Psychiatric facility | b. With children and adults"/>
    <tableColumn id="662" name="Q15 | b1. Psychiatric facility | c. With only children"/>
    <tableColumn id="663" name="Q15 | b1. Psychiatric facility | d. Unknown household type"/>
    <tableColumn id="664" name="Q15 | b2. Substance abuse or detox center | Total"/>
    <tableColumn id="665" name="Q15 | b2. Substance abuse or detox center | a. Without children"/>
    <tableColumn id="666" name="Q15 | b2. Substance abuse or detox center | b. With children and adults"/>
    <tableColumn id="667" name="Q15 | b2. Substance abuse or detox center | c. With only children"/>
    <tableColumn id="668" name="Q15 | b2. Substance abuse or detox center | d. Unknown household type"/>
    <tableColumn id="669" name="Q15 | b3. Hospital (non-psychiatric) | Total"/>
    <tableColumn id="670" name="Q15 | b3. Hospital (non-psychiatric) | a. Without children"/>
    <tableColumn id="671" name="Q15 | b3. Hospital (non-psychiatric) | b. With children and adults"/>
    <tableColumn id="672" name="Q15 | b3. Hospital (non-psychiatric) | c. With only children"/>
    <tableColumn id="673" name="Q15 | b3. Hospital (non-psychiatric) | d. Unknown household type"/>
    <tableColumn id="674" name="Q15 | b4. Jail, prison or juvenile detention | Total"/>
    <tableColumn id="675" name="Q15 | b4. Jail, prison or juvenile detention | a. Without children"/>
    <tableColumn id="676" name="Q15 | b4. Jail, prison or juvenile detention | b. With children and adults"/>
    <tableColumn id="677" name="Q15 | b4. Jail, prison or juvenile detention | c. With only children"/>
    <tableColumn id="678" name="Q15 | b4. Jail, prison or juvenile detention | d. Unknown household type"/>
    <tableColumn id="679" name="Q15 | b5. Foster care home or foster care group home | Total"/>
    <tableColumn id="680" name="Q15 | b5. Foster care home or foster care group home | a. Without children"/>
    <tableColumn id="681" name="Q15 | b5. Foster care home or foster care group home | b. With children and adults"/>
    <tableColumn id="682" name="Q15 | b5. Foster care home or foster care group home | c. With only children"/>
    <tableColumn id="683" name="Q15 | b5. Foster care home or foster care group home | d. Unknown household type"/>
    <tableColumn id="684" name="Q15 | b6. Long-term care facility or nursing home | Total"/>
    <tableColumn id="685" name="Q15 | b6. Long-term care facility or nursing home | a. Without children"/>
    <tableColumn id="686" name="Q15 | b6. Long-term care facility or nursing home | b. With children and adults"/>
    <tableColumn id="687" name="Q15 | b6. Long-term care facility or nursing home | c. With only children"/>
    <tableColumn id="688" name="Q15 | b6. Long-term care facility or nursing home | d. Unknown household type"/>
    <tableColumn id="689" name="Q15 | b7. Residential project or halfway house with no homeless criteria | Total"/>
    <tableColumn id="690" name="Q15 | b7. Residential project or halfway house with no homeless criteria | a. Without children"/>
    <tableColumn id="691" name="Q15 | b7. Residential project or halfway house with no homeless criteria | b. With children and adults"/>
    <tableColumn id="692" name="Q15 | b7. Residential project or halfway house with no homeless criteria | c. With only children"/>
    <tableColumn id="693" name="Q15 | b7. Residential project or halfway house with no homeless criteria | d. Unknown household type"/>
    <tableColumn id="694" name="Q15 | bz. Total | Total"/>
    <tableColumn id="695" name="Q15 | bz. Total | a. Without children"/>
    <tableColumn id="696" name="Q15 | bz. Total | b. With children and adults"/>
    <tableColumn id="697" name="Q15 | bz. Total | c. With only children"/>
    <tableColumn id="698" name="Q15 | bz. Total | d. Unknown household type"/>
    <tableColumn id="699" name="Q15 | c. Other locations | Total"/>
    <tableColumn id="700" name="Q15 | c. Other locations | a. Without children"/>
    <tableColumn id="701" name="Q15 | c. Other locations | b. With children and adults"/>
    <tableColumn id="702" name="Q15 | c. Other locations | c. With only children"/>
    <tableColumn id="703" name="Q15 | c. Other locations | d. Unknown household type"/>
    <tableColumn id="704" name="Q15 | c01. PH for homeless persons | Total"/>
    <tableColumn id="705" name="Q15 | c01. PH for homeless persons | a. Without children"/>
    <tableColumn id="706" name="Q15 | c01. PH for homeless persons | b. With children and adults"/>
    <tableColumn id="707" name="Q15 | c01. PH for homeless persons | c. With only children"/>
    <tableColumn id="708" name="Q15 | c01. PH for homeless persons | d. Unknown household type"/>
    <tableColumn id="709" name="Q15 | c02. Owned by client, no subsidy | Total"/>
    <tableColumn id="710" name="Q15 | c02. Owned by client, no subsidy | a. Without children"/>
    <tableColumn id="711" name="Q15 | c02. Owned by client, no subsidy | b. With children and adults"/>
    <tableColumn id="712" name="Q15 | c02. Owned by client, no subsidy | c. With only children"/>
    <tableColumn id="713" name="Q15 | c02. Owned by client, no subsidy | d. Unknown household type"/>
    <tableColumn id="714" name="Q15 | c03. Owned by client, with subsidy | Total"/>
    <tableColumn id="715" name="Q15 | c03. Owned by client, with subsidy | a. Without children"/>
    <tableColumn id="716" name="Q15 | c03. Owned by client, with subsidy | b. With children and adults"/>
    <tableColumn id="717" name="Q15 | c03. Owned by client, with subsidy | c. With only children"/>
    <tableColumn id="718" name="Q15 | c03. Owned by client, with subsidy | d. Unknown household type"/>
    <tableColumn id="719" name="Q15 | c04. Rental by client, no subsidy | Total"/>
    <tableColumn id="720" name="Q15 | c04. Rental by client, no subsidy | a. Without children"/>
    <tableColumn id="721" name="Q15 | c04. Rental by client, no subsidy | b. With children and adults"/>
    <tableColumn id="722" name="Q15 | c04. Rental by client, no subsidy | c. With only children"/>
    <tableColumn id="723" name="Q15 | c04. Rental by client, no subsidy | d. Unknown household type"/>
    <tableColumn id="724" name="Q15 | c05. Rental by client, with VASH subsidy | Total"/>
    <tableColumn id="725" name="Q15 | c05. Rental by client, with VASH subsidy | a. Without children"/>
    <tableColumn id="726" name="Q15 | c05. Rental by client, with VASH subsidy | b. With children and adults"/>
    <tableColumn id="727" name="Q15 | c05. Rental by client, with VASH subsidy | c. With only children"/>
    <tableColumn id="728" name="Q15 | c05. Rental by client, with VASH subsidy | d. Unknown household type"/>
    <tableColumn id="729" name="Q15 | c06. Rental by client, with GPD TIP subsidy | Total"/>
    <tableColumn id="730" name="Q15 | c06. Rental by client, with GPD TIP subsidy | a. Without children"/>
    <tableColumn id="731" name="Q15 | c06. Rental by client, with GPD TIP subsidy | b. With children and adults"/>
    <tableColumn id="732" name="Q15 | c06. Rental by client, with GPD TIP subsidy | c. With only children"/>
    <tableColumn id="733" name="Q15 | c06. Rental by client, with GPD TIP subsidy | d. Unknown household type"/>
    <tableColumn id="734" name="Q15 | c07. Rental by client, with other subsidy | Total"/>
    <tableColumn id="735" name="Q15 | c07. Rental by client, with other subsidy | a. Without children"/>
    <tableColumn id="736" name="Q15 | c07. Rental by client, with other subsidy | b. With children and adults"/>
    <tableColumn id="737" name="Q15 | c07. Rental by client, with other subsidy | c. With only children"/>
    <tableColumn id="738" name="Q15 | c07. Rental by client, with other subsidy | d. Unknown household type"/>
    <tableColumn id="739" name="Q15 | c08. Hotel or motel paid by client | Total"/>
    <tableColumn id="740" name="Q15 | c08. Hotel or motel paid by client | a. Without children"/>
    <tableColumn id="741" name="Q15 | c08. Hotel or motel paid by client | b. With children and adults"/>
    <tableColumn id="742" name="Q15 | c08. Hotel or motel paid by client | c. With only children"/>
    <tableColumn id="743" name="Q15 | c08. Hotel or motel paid by client | d. Unknown household type"/>
    <tableColumn id="744" name="Q15 | c09. Staying or living with friend(s) | Total"/>
    <tableColumn id="745" name="Q15 | c09. Staying or living with friend(s) | a. Without children"/>
    <tableColumn id="746" name="Q15 | c09. Staying or living with friend(s) | b. With children and adults"/>
    <tableColumn id="747" name="Q15 | c09. Staying or living with friend(s) | c. With only children"/>
    <tableColumn id="748" name="Q15 | c09. Staying or living with friend(s) | d. Unknown household type"/>
    <tableColumn id="749" name="Q15 | c10. Staying or living with family | Total"/>
    <tableColumn id="750" name="Q15 | c10. Staying or living with family | a. Without children"/>
    <tableColumn id="751" name="Q15 | c10. Staying or living with family | b. With children and adults"/>
    <tableColumn id="752" name="Q15 | c10. Staying or living with family | c. With only children"/>
    <tableColumn id="753" name="Q15 | c10. Staying or living with family | d. Unknown household type"/>
    <tableColumn id="754" name="Q15 | c11. Other | Total"/>
    <tableColumn id="755" name="Q15 | c11. Other | a. Without children"/>
    <tableColumn id="756" name="Q15 | c11. Other | b. With children and adults"/>
    <tableColumn id="757" name="Q15 | c11. Other | c. With only children"/>
    <tableColumn id="758" name="Q15 | c11. Other | d. Unknown household type"/>
    <tableColumn id="759" name="Q15 | c12. Don't know / refused | Total"/>
    <tableColumn id="760" name="Q15 | c12. Don't know / refused | a. Without children"/>
    <tableColumn id="761" name="Q15 | c12. Don't know / refused | b. With children and adults"/>
    <tableColumn id="762" name="Q15 | c12. Don't know / refused | c. With only children"/>
    <tableColumn id="763" name="Q15 | c12. Don't know / refused | d. Unknown household type"/>
    <tableColumn id="764" name="Q15 | c13. Information missing | Total"/>
    <tableColumn id="765" name="Q15 | c13. Information missing | a. Without children"/>
    <tableColumn id="766" name="Q15 | c13. Information missing | b. With children and adults"/>
    <tableColumn id="767" name="Q15 | c13. Information missing | c. With only children"/>
    <tableColumn id="768" name="Q15 | c13. Information missing | d. Unknown household type"/>
    <tableColumn id="769" name="Q15 | cz. Total | Total"/>
    <tableColumn id="770" name="Q15 | cz. Total | a. Without children"/>
    <tableColumn id="771" name="Q15 | cz. Total | b. With children and adults"/>
    <tableColumn id="772" name="Q15 | cz. Total | c. With only children"/>
    <tableColumn id="773" name="Q15 | cz. Total | d. Unknown household type"/>
    <tableColumn id="774" name="Q15 | d. Total | Total"/>
    <tableColumn id="775" name="Q15 | d. Total | a. Without children"/>
    <tableColumn id="776" name="Q15 | d. Total | b. With children and adults"/>
    <tableColumn id="777" name="Q15 | d. Total | c. With only children"/>
    <tableColumn id="778" name="Q15 | d. Total | d. Unknown household type"/>
    <tableColumn id="779" name="Q20a | a. Supplemental Nutritional Assistance Program | At entry"/>
    <tableColumn id="780" name="Q20a | a. Supplemental Nutritional Assistance Program | At Latest Annual Assessment for Stayers"/>
    <tableColumn id="781" name="Q20a | a. Supplemental Nutritional Assistance Program | At Exit for Leavers"/>
    <tableColumn id="782" name="Q20a | b. WIC | At entry"/>
    <tableColumn id="783" name="Q20a | b. WIC | At Latest Annual Assessment for Stayers"/>
    <tableColumn id="784" name="Q20a | b. WIC | At Exit for Leavers"/>
    <tableColumn id="785" name="Q20a | c. TANF Child Care services | At entry"/>
    <tableColumn id="786" name="Q20a | c. TANF Child Care services | At Latest Annual Assessment for Stayers"/>
    <tableColumn id="787" name="Q20a | c. TANF Child Care services | At Exit for Leavers"/>
    <tableColumn id="788" name="Q20a | d. TANF transportation services | At entry"/>
    <tableColumn id="789" name="Q20a | d. TANF transportation services | At Latest Annual Assessment for Stayers"/>
    <tableColumn id="790" name="Q20a | d. TANF transportation services | At Exit for Leavers"/>
    <tableColumn id="791" name="Q20a | e. Other TANF-funded services | At entry"/>
    <tableColumn id="792" name="Q20a | e. Other TANF-funded services | At Latest Annual Assessment for Stayers"/>
    <tableColumn id="793" name="Q20a | e. Other TANF-funded services | At Exit for Leavers"/>
    <tableColumn id="794" name="Q20a | f. Other source | At entry"/>
    <tableColumn id="795" name="Q20a | f. Other source | At Latest Annual Assessment for Stayers"/>
    <tableColumn id="796" name="Q20a | f. Other source | At Exit for Leavers"/>
    <tableColumn id="797" name="Q21 | a. MEDICAID health insurance | At entry"/>
    <tableColumn id="798" name="Q21 | a. MEDICAID health insurance | At Latest Annual Assessment for Stayers"/>
    <tableColumn id="799" name="Q21 | a. MEDICAID health insurance | At Exit for Leavers"/>
    <tableColumn id="800" name="Q21 | b. MEDICARE health insurance | At entry"/>
    <tableColumn id="801" name="Q21 | b. MEDICARE health insurance | At Latest Annual Assessment for Stayers"/>
    <tableColumn id="802" name="Q21 | b. MEDICARE health insurance | At Exit for Leavers"/>
    <tableColumn id="803" name="Q21 | c. State Children's Health Insurance | At entry"/>
    <tableColumn id="804" name="Q21 | c. State Children's Health Insurance | At Latest Annual Assessment for Stayers"/>
    <tableColumn id="805" name="Q21 | c. State Children's Health Insurance | At Exit for Leavers"/>
    <tableColumn id="806" name="Q21 | d. VA Medical Services | At entry"/>
    <tableColumn id="807" name="Q21 | d. VA Medical Services | At Latest Annual Assessment for Stayers"/>
    <tableColumn id="808" name="Q21 | d. VA Medical Services | At Exit for Leavers"/>
    <tableColumn id="809" name="Q21 | e. Employer-provided health insurance | At entry"/>
    <tableColumn id="810" name="Q21 | e. Employer-provided health insurance | At Latest Annual Assessment for Stayers"/>
    <tableColumn id="811" name="Q21 | e. Employer-provided health insurance | At Exit for Leavers"/>
    <tableColumn id="812" name="Q21 | f. Health insurance through COBRA | At entry"/>
    <tableColumn id="813" name="Q21 | f. Health insurance through COBRA | At Latest Annual Assessment for Stayers"/>
    <tableColumn id="814" name="Q21 | f. Health insurance through COBRA | At Exit for Leavers"/>
    <tableColumn id="815" name="Q21 | g. Private pay health insurance | At entry"/>
    <tableColumn id="816" name="Q21 | g. Private pay health insurance | At Latest Annual Assessment for Stayers"/>
    <tableColumn id="817" name="Q21 | g. Private pay health insurance | At Exit for Leavers"/>
    <tableColumn id="818" name="Q21 | h. State Health Insurance for Adults | At entry"/>
    <tableColumn id="819" name="Q21 | h. State Health Insurance for Adults | At Latest Annual Assessment for Stayers"/>
    <tableColumn id="820" name="Q21 | h. State Health Insurance for Adults | At Exit for Leavers"/>
    <tableColumn id="821" name="Q21 | i. No health insurance | At entry"/>
    <tableColumn id="822" name="Q21 | i. No health insurance | At Latest Annual Assessment for Stayers"/>
    <tableColumn id="823" name="Q21 | i. No health insurance | At Exit for Leavers"/>
    <tableColumn id="824" name="Q21 | j. Client doesn't know/Client refused | At entry"/>
    <tableColumn id="825" name="Q21 | j. Client doesn't know/Client refused | At Latest Annual Assessment for Stayers"/>
    <tableColumn id="826" name="Q21 | j. Client doesn't know/Client refused | At Exit for Leavers"/>
    <tableColumn id="827" name="Q21 | k. Data not collected | At entry"/>
    <tableColumn id="828" name="Q21 | k. Data not collected | At Latest Annual Assessment for Stayers"/>
    <tableColumn id="829" name="Q21 | k. Data not collected | At Exit for Leavers"/>
    <tableColumn id="830" name="Q21 | l. Number of adult stayers not yet required to have an annual assessment | At entry"/>
    <tableColumn id="831" name="Q21 | l. Number of adult stayers not yet required to have an annual assessment | At Latest Annual Assessment for Stayers"/>
    <tableColumn id="832" name="Q21 | l. Number of adult stayers not yet required to have an annual assessment | At Exit for Leavers"/>
    <tableColumn id="833" name="Q21 | m. 1 source of health insurance | At entry"/>
    <tableColumn id="834" name="Q21 | m. 1 source of health insurance | At Latest Annual Assessment for Stayers"/>
    <tableColumn id="835" name="Q21 | m. 1 source of health insurance | At Exit for Leavers"/>
    <tableColumn id="836" name="Q21 | n. More than 1 source of health insurance | At entry"/>
    <tableColumn id="837" name="Q21 | n. More than 1 source of health insurance | At Latest Annual Assessment for Stayers"/>
    <tableColumn id="838" name="Q21 | n. More than 1 source of health insurance | At Exit for Leavers"/>
    <tableColumn id="842" name="Q22a2 | a. 0 to 7 days | Total"/>
    <tableColumn id="843" name="Q22a2 | a. 0 to 7 days | Leavers"/>
    <tableColumn id="844" name="Q22a2 | a. 0 to 7 days | Stayers"/>
    <tableColumn id="845" name="Q22a2 | b. 8 to 14 days | Total"/>
    <tableColumn id="846" name="Q22a2 | b. 8 to 14 days | Leavers"/>
    <tableColumn id="847" name="Q22a2 | b. 8 to 14 days | Stayers"/>
    <tableColumn id="848" name="Q22a2 | c. 15 to 21 days | Total"/>
    <tableColumn id="849" name="Q22a2 | c. 15 to 21 days | Leavers"/>
    <tableColumn id="850" name="Q22a2 | c. 15 to 21 days | Stayers"/>
    <tableColumn id="851" name="Q22a2 | d. 22 to 30 days | Total"/>
    <tableColumn id="852" name="Q22a2 | d. 22 to 30 days | Leavers"/>
    <tableColumn id="853" name="Q22a2 | d. 22 to 30 days | Stayers"/>
    <tableColumn id="854" name="Q22a2 | e. 31 to 60 days | Total"/>
    <tableColumn id="855" name="Q22a2 | e. 31 to 60 days | Leavers"/>
    <tableColumn id="856" name="Q22a2 | e. 31 to 60 days | Stayers"/>
    <tableColumn id="857" name="Q22a2 | f. 61 to 90 days | Total"/>
    <tableColumn id="858" name="Q22a2 | f. 61 to 90 days | Leavers"/>
    <tableColumn id="859" name="Q22a2 | f. 61 to 90 days | Stayers"/>
    <tableColumn id="860" name="Q22a2 | g. 91 to 180 days | Total"/>
    <tableColumn id="861" name="Q22a2 | g. 91 to 180 days | Leavers"/>
    <tableColumn id="862" name="Q22a2 | g. 91 to 180 days | Stayers"/>
    <tableColumn id="863" name="Q22a2 | h. 181 to 365 days | Total"/>
    <tableColumn id="864" name="Q22a2 | h. 181 to 365 days | Leavers"/>
    <tableColumn id="865" name="Q22a2 | h. 181 to 365 days | Stayers"/>
    <tableColumn id="866" name="Q22a2 | i. 366 to 730 days (1-2 yrs.) | Total"/>
    <tableColumn id="867" name="Q22a2 | i. 366 to 730 days (1-2 yrs.) | Leavers"/>
    <tableColumn id="868" name="Q22a2 | i. 366 to 730 days (1-2 yrs.) | Stayers"/>
    <tableColumn id="869" name="Q22a2 | j. 731 to 1095 days (2-3 yrs.) | Total"/>
    <tableColumn id="870" name="Q22a2 | j. 731 to 1095 days (2-3 yrs.) | Leavers"/>
    <tableColumn id="871" name="Q22a2 | j. 731 to 1095 days (2-3 yrs.) | Stayers"/>
    <tableColumn id="872" name="Q22a2 | k. 1096 to 1460 days (3-4 yrs.) | Total"/>
    <tableColumn id="873" name="Q22a2 | k. 1096 to 1460 days (3-4 yrs.) | Leavers"/>
    <tableColumn id="874" name="Q22a2 | k. 1096 to 1460 days (3-4 yrs.) | Stayers"/>
    <tableColumn id="875" name="Q22a2 | l. 1461 to 1825 days (4-5 yrs.) | Total"/>
    <tableColumn id="876" name="Q22a2 | l. 1461 to 1825 days (4-5 yrs.) | Leavers"/>
    <tableColumn id="877" name="Q22a2 | l. 1461 to 1825 days (4-5 yrs.) | Stayers"/>
    <tableColumn id="878" name="Q22a2 | m. More than 1825 days (&gt;5 yrs.) | Total"/>
    <tableColumn id="879" name="Q22a2 | m. More than 1825 days (&gt;5 yrs.) | Leavers"/>
    <tableColumn id="880" name="Q22a2 | m. More than 1825 days (&gt;5 yrs.) | Stayers"/>
    <tableColumn id="881" name="Q22a2 | n. Information missing | Total"/>
    <tableColumn id="882" name="Q22a2 | n. Information missing | Leavers"/>
    <tableColumn id="883" name="Q22a2 | n. Information missing | Stayers"/>
    <tableColumn id="884" name="Q22a2 | o. Total | Total"/>
    <tableColumn id="885" name="Q22a2 | o. Total | Leavers"/>
    <tableColumn id="886" name="Q22a2 | o. Total | Stayers"/>
    <tableColumn id="887" name="Q22c | a. 0-7 days | Total"/>
    <tableColumn id="888" name="Q22c | a. 0-7 days | a. Without children"/>
    <tableColumn id="889" name="Q22c | a. 0-7 days | b. With children and adults"/>
    <tableColumn id="890" name="Q22c | a. 0-7 days | c. With only children"/>
    <tableColumn id="891" name="Q22c | a. 0-7 days | d. Unknown household type"/>
    <tableColumn id="892" name="Q22c | b. 8-14 days | Total"/>
    <tableColumn id="893" name="Q22c | b. 8-14 days | a. Without children"/>
    <tableColumn id="894" name="Q22c | b. 8-14 days | b. With children and adults"/>
    <tableColumn id="895" name="Q22c | b. 8-14 days | c. With only children"/>
    <tableColumn id="896" name="Q22c | b. 8-14 days | d. Unknown household type"/>
    <tableColumn id="897" name="Q22c | c. 15-21 days | Total"/>
    <tableColumn id="898" name="Q22c | c. 15-21 days | a. Without children"/>
    <tableColumn id="899" name="Q22c | c. 15-21 days | b. With children and adults"/>
    <tableColumn id="900" name="Q22c | c. 15-21 days | c. With only children"/>
    <tableColumn id="901" name="Q22c | c. 15-21 days | d. Unknown household type"/>
    <tableColumn id="902" name="Q22c | d. 22 to 30 days | Total"/>
    <tableColumn id="903" name="Q22c | d. 22 to 30 days | a. Without children"/>
    <tableColumn id="904" name="Q22c | d. 22 to 30 days | b. With children and adults"/>
    <tableColumn id="905" name="Q22c | d. 22 to 30 days | c. With only children"/>
    <tableColumn id="906" name="Q22c | d. 22 to 30 days | d. Unknown household type"/>
    <tableColumn id="907" name="Q22c | e. 31 to 60 days | Total"/>
    <tableColumn id="908" name="Q22c | e. 31 to 60 days | a. Without children"/>
    <tableColumn id="909" name="Q22c | e. 31 to 60 days | b. With children and adults"/>
    <tableColumn id="910" name="Q22c | e. 31 to 60 days | c. With only children"/>
    <tableColumn id="911" name="Q22c | e. 31 to 60 days | d. Unknown household type"/>
    <tableColumn id="912" name="Q22c | f. 61 to 180 days | Total"/>
    <tableColumn id="913" name="Q22c | f. 61 to 180 days | a. Without children"/>
    <tableColumn id="914" name="Q22c | f. 61 to 180 days | b. With children and adults"/>
    <tableColumn id="915" name="Q22c | f. 61 to 180 days | c. With only children"/>
    <tableColumn id="916" name="Q22c | f. 61 to 180 days | d. Unknown household type"/>
    <tableColumn id="917" name="Q22c | g. 181 to 365 days | Total"/>
    <tableColumn id="918" name="Q22c | g. 181 to 365 days | a. Without children"/>
    <tableColumn id="919" name="Q22c | g. 181 to 365 days | b. With children and adults"/>
    <tableColumn id="920" name="Q22c | g. 181 to 365 days | c. With only children"/>
    <tableColumn id="921" name="Q22c | g. 181 to 365 days | d. Unknown household type"/>
    <tableColumn id="922" name="Q22c | h. 366 to 730 days (1-2 yrs.) | Total"/>
    <tableColumn id="923" name="Q22c | h. 366 to 730 days (1-2 yrs.) | a. Without children"/>
    <tableColumn id="924" name="Q22c | h. 366 to 730 days (1-2 yrs.) | b. With children and adults"/>
    <tableColumn id="925" name="Q22c | h. 366 to 730 days (1-2 yrs.) | c. With only children"/>
    <tableColumn id="926" name="Q22c | h. 366 to 730 days (1-2 yrs.) | d. Unknown household type"/>
    <tableColumn id="927" name="Q22c | i. Data Not Collected | Total"/>
    <tableColumn id="928" name="Q22c | i. Data Not Collected | a. Without children"/>
    <tableColumn id="929" name="Q22c | i. Data Not Collected | b. With children and adults"/>
    <tableColumn id="930" name="Q22c | i. Data Not Collected | c. With only children"/>
    <tableColumn id="931" name="Q22c | i. Data Not Collected | d. Unknown household type"/>
    <tableColumn id="932" name="Q22c | j. Total | Total"/>
    <tableColumn id="933" name="Q22c | j. Total | a. Without children"/>
    <tableColumn id="934" name="Q22c | j. Total | b. With children and adults"/>
    <tableColumn id="935" name="Q22c | j. Total | c. With only children"/>
    <tableColumn id="936" name="Q22c | j. Total | d. Unknown household type"/>
    <tableColumn id="937" name="Q22d | a. 0 to 7 days | Total"/>
    <tableColumn id="938" name="Q22d | a. 0 to 7 days | a. Without children"/>
    <tableColumn id="939" name="Q22d | a. 0 to 7 days | b. With children and adults"/>
    <tableColumn id="940" name="Q22d | a. 0 to 7 days | c. With only children"/>
    <tableColumn id="941" name="Q22d | a. 0 to 7 days | d. Unknown household type"/>
    <tableColumn id="942" name="Q22d | b. 8 to 14 days | Total"/>
    <tableColumn id="943" name="Q22d | b. 8 to 14 days | a. Without children"/>
    <tableColumn id="944" name="Q22d | b. 8 to 14 days | b. With children and adults"/>
    <tableColumn id="945" name="Q22d | b. 8 to 14 days | c. With only children"/>
    <tableColumn id="946" name="Q22d | b. 8 to 14 days | d. Unknown household type"/>
    <tableColumn id="947" name="Q22d | c. 15 to 21 days | Total"/>
    <tableColumn id="948" name="Q22d | c. 15 to 21 days | a. Without children"/>
    <tableColumn id="949" name="Q22d | c. 15 to 21 days | b. With children and adults"/>
    <tableColumn id="950" name="Q22d | c. 15 to 21 days | c. With only children"/>
    <tableColumn id="951" name="Q22d | c. 15 to 21 days | d. Unknown household type"/>
    <tableColumn id="952" name="Q22d | d. 22 to 30 days | Total"/>
    <tableColumn id="953" name="Q22d | d. 22 to 30 days | a. Without children"/>
    <tableColumn id="954" name="Q22d | d. 22 to 30 days | b. With children and adults"/>
    <tableColumn id="955" name="Q22d | d. 22 to 30 days | c. With only children"/>
    <tableColumn id="956" name="Q22d | d. 22 to 30 days | d. Unknown household type"/>
    <tableColumn id="957" name="Q22d | e. 31 to 60 days | Total"/>
    <tableColumn id="958" name="Q22d | e. 31 to 60 days | a. Without children"/>
    <tableColumn id="959" name="Q22d | e. 31 to 60 days | b. With children and adults"/>
    <tableColumn id="960" name="Q22d | e. 31 to 60 days | c. With only children"/>
    <tableColumn id="961" name="Q22d | e. 31 to 60 days | d. Unknown household type"/>
    <tableColumn id="962" name="Q22d | f. 61 to 90 days | Total"/>
    <tableColumn id="963" name="Q22d | f. 61 to 90 days | a. Without children"/>
    <tableColumn id="964" name="Q22d | f. 61 to 90 days | b. With children and adults"/>
    <tableColumn id="965" name="Q22d | f. 61 to 90 days | c. With only children"/>
    <tableColumn id="966" name="Q22d | f. 61 to 90 days | d. Unknown household type"/>
    <tableColumn id="967" name="Q22d | g. 91 to 180 days | Total"/>
    <tableColumn id="968" name="Q22d | g. 91 to 180 days | a. Without children"/>
    <tableColumn id="969" name="Q22d | g. 91 to 180 days | b. With children and adults"/>
    <tableColumn id="970" name="Q22d | g. 91 to 180 days | c. With only children"/>
    <tableColumn id="971" name="Q22d | g. 91 to 180 days | d. Unknown household type"/>
    <tableColumn id="972" name="Q22d | h. 181 to 365 days | Total"/>
    <tableColumn id="973" name="Q22d | h. 181 to 365 days | a. Without children"/>
    <tableColumn id="974" name="Q22d | h. 181 to 365 days | b. With children and adults"/>
    <tableColumn id="975" name="Q22d | h. 181 to 365 days | c. With only children"/>
    <tableColumn id="976" name="Q22d | h. 181 to 365 days | d. Unknown household type"/>
    <tableColumn id="977" name="Q22d | i. 366 to 730 days (1-2 yrs.) | Total"/>
    <tableColumn id="978" name="Q22d | i. 366 to 730 days (1-2 yrs.) | a. Without children"/>
    <tableColumn id="979" name="Q22d | i. 366 to 730 days (1-2 yrs.) | b. With children and adults"/>
    <tableColumn id="980" name="Q22d | i. 366 to 730 days (1-2 yrs.) | c. With only children"/>
    <tableColumn id="981" name="Q22d | i. 366 to 730 days (1-2 yrs.) | d. Unknown household type"/>
    <tableColumn id="982" name="Q22d | j. 731 to 1095 days (2-3 yrs.) | Total"/>
    <tableColumn id="983" name="Q22d | j. 731 to 1095 days (2-3 yrs.) | a. Without children"/>
    <tableColumn id="984" name="Q22d | j. 731 to 1095 days (2-3 yrs.) | b. With children and adults"/>
    <tableColumn id="985" name="Q22d | j. 731 to 1095 days (2-3 yrs.) | c. With only children"/>
    <tableColumn id="986" name="Q22d | j. 731 to 1095 days (2-3 yrs.) | d. Unknown household type"/>
    <tableColumn id="987" name="Q22d | k. 1096 to 1460 days (3-4 yrs.) | Total"/>
    <tableColumn id="988" name="Q22d | k. 1096 to 1460 days (3-4 yrs.) | a. Without children"/>
    <tableColumn id="989" name="Q22d | k. 1096 to 1460 days (3-4 yrs.) | b. With children and adults"/>
    <tableColumn id="990" name="Q22d | k. 1096 to 1460 days (3-4 yrs.) | c. With only children"/>
    <tableColumn id="991" name="Q22d | k. 1096 to 1460 days (3-4 yrs.) | d. Unknown household type"/>
    <tableColumn id="992" name="Q22d | l. 1461 to 1825 days (4-5 yrs.) | Total"/>
    <tableColumn id="993" name="Q22d | l. 1461 to 1825 days (4-5 yrs.) | a. Without children"/>
    <tableColumn id="994" name="Q22d | l. 1461 to 1825 days (4-5 yrs.) | b. With children and adults"/>
    <tableColumn id="995" name="Q22d | l. 1461 to 1825 days (4-5 yrs.) | c. With only children"/>
    <tableColumn id="996" name="Q22d | l. 1461 to 1825 days (4-5 yrs.) | d. Unknown household type"/>
    <tableColumn id="997" name="Q22d | m. More than 1825 days (&gt;5 yrs.) | Total"/>
    <tableColumn id="998" name="Q22d | m. More than 1825 days (&gt;5 yrs.) | a. Without children"/>
    <tableColumn id="999" name="Q22d | m. More than 1825 days (&gt;5 yrs.) | b. With children and adults"/>
    <tableColumn id="1000" name="Q22d | m. More than 1825 days (&gt;5 yrs.) | c. With only children"/>
    <tableColumn id="1001" name="Q22d | m. More than 1825 days (&gt;5 yrs.) | d. Unknown household type"/>
    <tableColumn id="1002" name="Q22d | n. Information missing | Total"/>
    <tableColumn id="1003" name="Q22d | n. Information missing | a. Without children"/>
    <tableColumn id="1004" name="Q22d | n. Information missing | b. With children and adults"/>
    <tableColumn id="1005" name="Q22d | n. Information missing | c. With only children"/>
    <tableColumn id="1006" name="Q22d | n. Information missing | d. Unknown household type"/>
    <tableColumn id="1007" name="Q22d | o. Total | Total"/>
    <tableColumn id="1008" name="Q22d | o. Total | a. Without children"/>
    <tableColumn id="1009" name="Q22d | o. Total | b. With children and adults"/>
    <tableColumn id="1010" name="Q22d | o. Total | c. With only children"/>
    <tableColumn id="1011" name="Q22d | o. Total | d. Unknown household type"/>
    <tableColumn id="1012" name="Q23 | a. Permanent destinations | Total"/>
    <tableColumn id="1013" name="Q23 | a. Permanent destinations | a. Without children"/>
    <tableColumn id="1014" name="Q23 | a. Permanent destinations | b. With children and adults"/>
    <tableColumn id="1015" name="Q23 | a. Permanent destinations | c. With only children"/>
    <tableColumn id="1016" name="Q23 | a. Permanent destinations | d. Unknown household type"/>
    <tableColumn id="1017" name="Q23 | a01. Moved from one HOPWA funded project to HOPWA PH | Total"/>
    <tableColumn id="1018" name="Q23 | a01. Moved from one HOPWA funded project to HOPWA PH | a. Without children"/>
    <tableColumn id="1019" name="Q23 | a01. Moved from one HOPWA funded project to HOPWA PH | b. With children and adults"/>
    <tableColumn id="1020" name="Q23 | a01. Moved from one HOPWA funded project to HOPWA PH | c. With only children"/>
    <tableColumn id="1021" name="Q23 | a01. Moved from one HOPWA funded project to HOPWA PH | d. Unknown household type"/>
    <tableColumn id="1022" name="Q23 | a02. Owned by client, no ongoing subsidy | Total"/>
    <tableColumn id="1023" name="Q23 | a02. Owned by client, no ongoing subsidy | a. Without children"/>
    <tableColumn id="1024" name="Q23 | a02. Owned by client, no ongoing subsidy | b. With children and adults"/>
    <tableColumn id="1025" name="Q23 | a02. Owned by client, no ongoing subsidy | c. With only children"/>
    <tableColumn id="1026" name="Q23 | a02. Owned by client, no ongoing subsidy | d. Unknown household type"/>
    <tableColumn id="1027" name="Q23 | a03. Owned by client, with ongoing subsidy | Total"/>
    <tableColumn id="1028" name="Q23 | a03. Owned by client, with ongoing subsidy | a. Without children"/>
    <tableColumn id="1029" name="Q23 | a03. Owned by client, with ongoing subsidy | b. With children and adults"/>
    <tableColumn id="1030" name="Q23 | a03. Owned by client, with ongoing subsidy | c. With only children"/>
    <tableColumn id="1031" name="Q23 | a03. Owned by client, with ongoing subsidy | d. Unknown household type"/>
    <tableColumn id="1032" name="Q23 | a04. Rental by client, no ongoing subsidy | Total"/>
    <tableColumn id="1033" name="Q23 | a04. Rental by client, no ongoing subsidy | a. Without children"/>
    <tableColumn id="1034" name="Q23 | a04. Rental by client, no ongoing subsidy | b. With children and adults"/>
    <tableColumn id="1035" name="Q23 | a04. Rental by client, no ongoing subsidy | c. With only children"/>
    <tableColumn id="1036" name="Q23 | a04. Rental by client, no ongoing subsidy | d. Unknown household type"/>
    <tableColumn id="1037" name="Q23 | a05. Rental by client, VASH subsidy | Total"/>
    <tableColumn id="1038" name="Q23 | a05. Rental by client, VASH subsidy | a. Without children"/>
    <tableColumn id="1039" name="Q23 | a05. Rental by client, VASH subsidy | b. With children and adults"/>
    <tableColumn id="1040" name="Q23 | a05. Rental by client, VASH subsidy | c. With only children"/>
    <tableColumn id="1041" name="Q23 | a05. Rental by client, VASH subsidy | d. Unknown household type"/>
    <tableColumn id="1042" name="Q23 | a06. Rental by client, with GPD TIP housing subsidy | Total"/>
    <tableColumn id="1043" name="Q23 | a06. Rental by client, with GPD TIP housing subsidy | a. Without children"/>
    <tableColumn id="1044" name="Q23 | a06. Rental by client, with GPD TIP housing subsidy | b. With children and adults"/>
    <tableColumn id="1045" name="Q23 | a06. Rental by client, with GPD TIP housing subsidy | c. With only children"/>
    <tableColumn id="1046" name="Q23 | a06. Rental by client, with GPD TIP housing subsidy | d. Unknown household type"/>
    <tableColumn id="1047" name="Q23 | a07. Rental by client, other ongoing subsidy | Total"/>
    <tableColumn id="1048" name="Q23 | a07. Rental by client, other ongoing subsidy | a. Without children"/>
    <tableColumn id="1049" name="Q23 | a07. Rental by client, other ongoing subsidy | b. With children and adults"/>
    <tableColumn id="1050" name="Q23 | a07. Rental by client, other ongoing subsidy | c. With only children"/>
    <tableColumn id="1051" name="Q23 | a07. Rental by client, other ongoing subsidy | d. Unknown household type"/>
    <tableColumn id="1052" name="Q23 | a08. Permanent housing for homeless persons | Total"/>
    <tableColumn id="1053" name="Q23 | a08. Permanent housing for homeless persons | a. Without children"/>
    <tableColumn id="1054" name="Q23 | a08. Permanent housing for homeless persons | b. With children and adults"/>
    <tableColumn id="1055" name="Q23 | a08. Permanent housing for homeless persons | c. With only children"/>
    <tableColumn id="1056" name="Q23 | a08. Permanent housing for homeless persons | d. Unknown household type"/>
    <tableColumn id="1057" name="Q23 | a09. Staying or living with family, permanent tenure | Total"/>
    <tableColumn id="1058" name="Q23 | a09. Staying or living with family, permanent tenure | a. Without children"/>
    <tableColumn id="1059" name="Q23 | a09. Staying or living with family, permanent tenure | b. With children and adults"/>
    <tableColumn id="1060" name="Q23 | a09. Staying or living with family, permanent tenure | c. With only children"/>
    <tableColumn id="1061" name="Q23 | a09. Staying or living with family, permanent tenure | d. Unknown household type"/>
    <tableColumn id="1062" name="Q23 | a10. Staying or living with friends, permanent tenure | Total"/>
    <tableColumn id="1063" name="Q23 | a10. Staying or living with friends, permanent tenure | a. Without children"/>
    <tableColumn id="1064" name="Q23 | a10. Staying or living with friends, permanent tenure | b. With children and adults"/>
    <tableColumn id="1065" name="Q23 | a10. Staying or living with friends, permanent tenure | c. With only children"/>
    <tableColumn id="1066" name="Q23 | a10. Staying or living with friends, permanent tenure | d. Unknown household type"/>
    <tableColumn id="1067" name="Q23 | az. Total | Total"/>
    <tableColumn id="1068" name="Q23 | az. Total | a. Without children"/>
    <tableColumn id="1069" name="Q23 | az. Total | b. With children and adults"/>
    <tableColumn id="1070" name="Q23 | az. Total | c. With only children"/>
    <tableColumn id="1071" name="Q23 | az. Total | d. Unknown household type"/>
    <tableColumn id="1072" name="Q23 | b. Temporary destinations | Total"/>
    <tableColumn id="1073" name="Q23 | b. Temporary destinations | a. Without children"/>
    <tableColumn id="1074" name="Q23 | b. Temporary destinations | b. With children and adults"/>
    <tableColumn id="1075" name="Q23 | b. Temporary destinations | c. With only children"/>
    <tableColumn id="1076" name="Q23 | b. Temporary destinations | d. Unknown household type"/>
    <tableColumn id="1077" name="Q23 | b1. Emergency shelter | Total"/>
    <tableColumn id="1078" name="Q23 | b1. Emergency shelter | a. Without children"/>
    <tableColumn id="1079" name="Q23 | b1. Emergency shelter | b. With children and adults"/>
    <tableColumn id="1080" name="Q23 | b1. Emergency shelter | c. With only children"/>
    <tableColumn id="1081" name="Q23 | b1. Emergency shelter | d. Unknown household type"/>
    <tableColumn id="1082" name="Q23 | b2. Moved from one HOPWA  funded project to HOPWA TH | Total"/>
    <tableColumn id="1083" name="Q23 | b2. Moved from one HOPWA  funded project to HOPWA TH | a. Without children"/>
    <tableColumn id="1084" name="Q23 | b2. Moved from one HOPWA  funded project to HOPWA TH | b. With children and adults"/>
    <tableColumn id="1085" name="Q23 | b2. Moved from one HOPWA  funded project to HOPWA TH | c. With only children"/>
    <tableColumn id="1086" name="Q23 | b2. Moved from one HOPWA  funded project to HOPWA TH | d. Unknown household type"/>
    <tableColumn id="1087" name="Q23 | b3. Transitional housing for homeless persons | Total"/>
    <tableColumn id="1088" name="Q23 | b3. Transitional housing for homeless persons | a. Without children"/>
    <tableColumn id="1089" name="Q23 | b3. Transitional housing for homeless persons | b. With children and adults"/>
    <tableColumn id="1090" name="Q23 | b3. Transitional housing for homeless persons | c. With only children"/>
    <tableColumn id="1091" name="Q23 | b3. Transitional housing for homeless persons | d. Unknown household type"/>
    <tableColumn id="1092" name="Q23 | b4. Staying with family, temporary tenure | Total"/>
    <tableColumn id="1093" name="Q23 | b4. Staying with family, temporary tenure | a. Without children"/>
    <tableColumn id="1094" name="Q23 | b4. Staying with family, temporary tenure | b. With children and adults"/>
    <tableColumn id="1095" name="Q23 | b4. Staying with family, temporary tenure | c. With only children"/>
    <tableColumn id="1096" name="Q23 | b4. Staying with family, temporary tenure | d. Unknown household type"/>
    <tableColumn id="1097" name="Q23 | b5. Staying with friends, temporary tenure | Total"/>
    <tableColumn id="1098" name="Q23 | b5. Staying with friends, temporary tenure | a. Without children"/>
    <tableColumn id="1099" name="Q23 | b5. Staying with friends, temporary tenure | b. With children and adults"/>
    <tableColumn id="1100" name="Q23 | b5. Staying with friends, temporary tenure | c. With only children"/>
    <tableColumn id="1101" name="Q23 | b5. Staying with friends, temporary tenure | d. Unknown household type"/>
    <tableColumn id="1102" name="Q23 | b6. Place not meant for human habitation | Total"/>
    <tableColumn id="1103" name="Q23 | b6. Place not meant for human habitation | a. Without children"/>
    <tableColumn id="1104" name="Q23 | b6. Place not meant for human habitation | b. With children and adults"/>
    <tableColumn id="1105" name="Q23 | b6. Place not meant for human habitation | c. With only children"/>
    <tableColumn id="1106" name="Q23 | b6. Place not meant for human habitation | d. Unknown household type"/>
    <tableColumn id="1107" name="Q23 | b7. Safe Haven | Total"/>
    <tableColumn id="1108" name="Q23 | b7. Safe Haven | a. Without children"/>
    <tableColumn id="1109" name="Q23 | b7. Safe Haven | b. With children and adults"/>
    <tableColumn id="1110" name="Q23 | b7. Safe Haven | c. With only children"/>
    <tableColumn id="1111" name="Q23 | b7. Safe Haven | d. Unknown household type"/>
    <tableColumn id="1112" name="Q23 | b8. Hotel or motel paid by client | Total"/>
    <tableColumn id="1113" name="Q23 | b8. Hotel or motel paid by client | a. Without children"/>
    <tableColumn id="1114" name="Q23 | b8. Hotel or motel paid by client | b. With children and adults"/>
    <tableColumn id="1115" name="Q23 | b8. Hotel or motel paid by client | c. With only children"/>
    <tableColumn id="1116" name="Q23 | b8. Hotel or motel paid by client | d. Unknown household type"/>
    <tableColumn id="1117" name="Q23 | bz. Total | Total"/>
    <tableColumn id="1118" name="Q23 | bz. Total | a. Without children"/>
    <tableColumn id="1119" name="Q23 | bz. Total | b. With children and adults"/>
    <tableColumn id="1120" name="Q23 | bz. Total | c. With only children"/>
    <tableColumn id="1121" name="Q23 | bz. Total | d. Unknown household type"/>
    <tableColumn id="1122" name="Q23 | c. Institutional settings | Total"/>
    <tableColumn id="1123" name="Q23 | c. Institutional settings | a. Without children"/>
    <tableColumn id="1124" name="Q23 | c. Institutional settings | b. With children and adults"/>
    <tableColumn id="1125" name="Q23 | c. Institutional settings | c. With only children"/>
    <tableColumn id="1126" name="Q23 | c. Institutional settings | d. Unknown household type"/>
    <tableColumn id="1127" name="Q23 | c1. Foster care home or group foster care home | Total"/>
    <tableColumn id="1128" name="Q23 | c1. Foster care home or group foster care home | a. Without children"/>
    <tableColumn id="1129" name="Q23 | c1. Foster care home or group foster care home | b. With children and adults"/>
    <tableColumn id="1130" name="Q23 | c1. Foster care home or group foster care home | c. With only children"/>
    <tableColumn id="1131" name="Q23 | c1. Foster care home or group foster care home | d. Unknown household type"/>
    <tableColumn id="1132" name="Q23 | c2. Psychiatric hospital or other psychiatric facility | Total"/>
    <tableColumn id="1133" name="Q23 | c2. Psychiatric hospital or other psychiatric facility | a. Without children"/>
    <tableColumn id="1134" name="Q23 | c2. Psychiatric hospital or other psychiatric facility | b. With children and adults"/>
    <tableColumn id="1135" name="Q23 | c2. Psychiatric hospital or other psychiatric facility | c. With only children"/>
    <tableColumn id="1136" name="Q23 | c2. Psychiatric hospital or other psychiatric facility | d. Unknown household type"/>
    <tableColumn id="1137" name="Q23 | c3. Substance abuse treatment facility or detox center | Total"/>
    <tableColumn id="1138" name="Q23 | c3. Substance abuse treatment facility or detox center | a. Without children"/>
    <tableColumn id="1139" name="Q23 | c3. Substance abuse treatment facility or detox center | b. With children and adults"/>
    <tableColumn id="1140" name="Q23 | c3. Substance abuse treatment facility or detox center | c. With only children"/>
    <tableColumn id="1141" name="Q23 | c3. Substance abuse treatment facility or detox center | d. Unknown household type"/>
    <tableColumn id="1142" name="Q23 | c4. Hospital or other residential non-psychiatric medical facility | Total"/>
    <tableColumn id="1143" name="Q23 | c4. Hospital or other residential non-psychiatric medical facility | a. Without children"/>
    <tableColumn id="1144" name="Q23 | c4. Hospital or other residential non-psychiatric medical facility | b. With children and adults"/>
    <tableColumn id="1145" name="Q23 | c4. Hospital or other residential non-psychiatric medical facility | c. With only children"/>
    <tableColumn id="1146" name="Q23 | c4. Hospital or other residential non-psychiatric medical facility | d. Unknown household type"/>
    <tableColumn id="1147" name="Q23 | c5. Jail, prison or juvenile detention facility | Total"/>
    <tableColumn id="1148" name="Q23 | c5. Jail, prison or juvenile detention facility | a. Without children"/>
    <tableColumn id="1149" name="Q23 | c5. Jail, prison or juvenile detention facility | b. With children and adults"/>
    <tableColumn id="1150" name="Q23 | c5. Jail, prison or juvenile detention facility | c. With only children"/>
    <tableColumn id="1151" name="Q23 | c5. Jail, prison or juvenile detention facility | d. Unknown household type"/>
    <tableColumn id="1152" name="Q23 | c6. Long term care facility or nursing home | Total"/>
    <tableColumn id="1153" name="Q23 | c6. Long term care facility or nursing home | a. Without children"/>
    <tableColumn id="1154" name="Q23 | c6. Long term care facility or nursing home | b. With children and adults"/>
    <tableColumn id="1155" name="Q23 | c6. Long term care facility or nursing home | c. With only children"/>
    <tableColumn id="1156" name="Q23 | c6. Long term care facility or nursing home | d. Unknown household type"/>
    <tableColumn id="1157" name="Q23 | cz. Total | Total"/>
    <tableColumn id="1158" name="Q23 | cz. Total | a. Without children"/>
    <tableColumn id="1159" name="Q23 | cz. Total | b. With children and adults"/>
    <tableColumn id="1160" name="Q23 | cz. Total | c. With only children"/>
    <tableColumn id="1161" name="Q23 | cz. Total | d. Unknown household type"/>
    <tableColumn id="1162" name="Q23 | d. Other destinations | Total"/>
    <tableColumn id="1163" name="Q23 | d. Other destinations | a. Without children"/>
    <tableColumn id="1164" name="Q23 | d. Other destinations | b. With children and adults"/>
    <tableColumn id="1165" name="Q23 | d. Other destinations | c. With only children"/>
    <tableColumn id="1166" name="Q23 | d. Other destinations | d. Unknown household type"/>
    <tableColumn id="1167" name="Q23 | d1. Residential project or halfway house with no homeless criteria | Total"/>
    <tableColumn id="1168" name="Q23 | d1. Residential project or halfway house with no homeless criteria | a. Without children"/>
    <tableColumn id="1169" name="Q23 | d1. Residential project or halfway house with no homeless criteria | b. With children and adults"/>
    <tableColumn id="1170" name="Q23 | d1. Residential project or halfway house with no homeless criteria | c. With only children"/>
    <tableColumn id="1171" name="Q23 | d1. Residential project or halfway house with no homeless criteria | d. Unknown household type"/>
    <tableColumn id="1172" name="Q23 | d2. Deceased | Total"/>
    <tableColumn id="1173" name="Q23 | d2. Deceased | a. Without children"/>
    <tableColumn id="1174" name="Q23 | d2. Deceased | b. With children and adults"/>
    <tableColumn id="1175" name="Q23 | d2. Deceased | c. With only children"/>
    <tableColumn id="1176" name="Q23 | d2. Deceased | d. Unknown household type"/>
    <tableColumn id="1177" name="Q23 | d3. Other | Total"/>
    <tableColumn id="1178" name="Q23 | d3. Other | a. Without children"/>
    <tableColumn id="1179" name="Q23 | d3. Other | b. With children and adults"/>
    <tableColumn id="1180" name="Q23 | d3. Other | c. With only children"/>
    <tableColumn id="1181" name="Q23 | d3. Other | d. Unknown household type"/>
    <tableColumn id="1182" name="Q23 | d4. Don't know / refused | Total"/>
    <tableColumn id="1183" name="Q23 | d4. Don't know / refused | a. Without children"/>
    <tableColumn id="1184" name="Q23 | d4. Don't know / refused | b. With children and adults"/>
    <tableColumn id="1185" name="Q23 | d4. Don't know / refused | c. With only children"/>
    <tableColumn id="1186" name="Q23 | d4. Don't know / refused | d. Unknown household type"/>
    <tableColumn id="1192" name="Q23 | d5. Information missing | Total"/>
    <tableColumn id="1193" name="Q23 | d5. Information missing | a. Without children"/>
    <tableColumn id="1194" name="Q23 | d5. Information missing | b. With children and adults"/>
    <tableColumn id="1195" name="Q23 | d5. Information missing | c. With only children"/>
    <tableColumn id="1196" name="Q23 | d5. Information missing | d. Unknown household type"/>
    <tableColumn id="1197" name="Q23 | dz. Total | Total"/>
    <tableColumn id="1198" name="Q23 | dz. Total | a. Without children"/>
    <tableColumn id="1199" name="Q23 | dz. Total | b. With children and adults"/>
    <tableColumn id="1200" name="Q23 | dz. Total | c. With only children"/>
    <tableColumn id="1201" name="Q23 | dz. Total | d. Unknown household type"/>
    <tableColumn id="1202" name="Q23 | e. Total | Total"/>
    <tableColumn id="1203" name="Q23 | e. Total | a. Without children"/>
    <tableColumn id="1204" name="Q23 | e. Total | b. With children and adults"/>
    <tableColumn id="1205" name="Q23 | e. Total | c. With only children"/>
    <tableColumn id="1206" name="Q23 | e. Total | d. Unknown household type"/>
    <tableColumn id="1207" name="Q23a | a. Permanent destinations | Total"/>
    <tableColumn id="1208" name="Q23a | a. Permanent destinations | a. Without children"/>
    <tableColumn id="1209" name="Q23a | a. Permanent destinations | b. With children and adults"/>
    <tableColumn id="1210" name="Q23a | a. Permanent destinations | c. With only children"/>
    <tableColumn id="1211" name="Q23a | a. Permanent destinations | d. Unknown household type"/>
    <tableColumn id="1212" name="Q23a | a01. Moved from one HOPWA funded project to HOPWA PH | Total"/>
    <tableColumn id="1213" name="Q23a | a01. Moved from one HOPWA funded project to HOPWA PH | a. Without children"/>
    <tableColumn id="1214" name="Q23a | a01. Moved from one HOPWA funded project to HOPWA PH | b. With children and adults"/>
    <tableColumn id="1215" name="Q23a | a01. Moved from one HOPWA funded project to HOPWA PH | c. With only children"/>
    <tableColumn id="1216" name="Q23a | a01. Moved from one HOPWA funded project to HOPWA PH | d. Unknown household type"/>
    <tableColumn id="1217" name="Q23a | a02. Owned by client, no ongoing subsidy | Total"/>
    <tableColumn id="1218" name="Q23a | a02. Owned by client, no ongoing subsidy | a. Without children"/>
    <tableColumn id="1219" name="Q23a | a02. Owned by client, no ongoing subsidy | b. With children and adults"/>
    <tableColumn id="1220" name="Q23a | a02. Owned by client, no ongoing subsidy | c. With only children"/>
    <tableColumn id="1221" name="Q23a | a02. Owned by client, no ongoing subsidy | d. Unknown household type"/>
    <tableColumn id="1222" name="Q23a | a03. Owned by client, with ongoing subsidy | Total"/>
    <tableColumn id="1223" name="Q23a | a03. Owned by client, with ongoing subsidy | a. Without children"/>
    <tableColumn id="1224" name="Q23a | a03. Owned by client, with ongoing subsidy | b. With children and adults"/>
    <tableColumn id="1225" name="Q23a | a03. Owned by client, with ongoing subsidy | c. With only children"/>
    <tableColumn id="1226" name="Q23a | a03. Owned by client, with ongoing subsidy | d. Unknown household type"/>
    <tableColumn id="1227" name="Q23a | a04. Rental by client, no ongoing subsidy | Total"/>
    <tableColumn id="1228" name="Q23a | a04. Rental by client, no ongoing subsidy | a. Without children"/>
    <tableColumn id="1229" name="Q23a | a04. Rental by client, no ongoing subsidy | b. With children and adults"/>
    <tableColumn id="1230" name="Q23a | a04. Rental by client, no ongoing subsidy | c. With only children"/>
    <tableColumn id="1231" name="Q23a | a04. Rental by client, no ongoing subsidy | d. Unknown household type"/>
    <tableColumn id="1232" name="Q23a | a05. Rental by client, VASH subsidy | Total"/>
    <tableColumn id="1233" name="Q23a | a05. Rental by client, VASH subsidy | a. Without children"/>
    <tableColumn id="1234" name="Q23a | a05. Rental by client, VASH subsidy | b. With children and adults"/>
    <tableColumn id="1235" name="Q23a | a05. Rental by client, VASH subsidy | c. With only children"/>
    <tableColumn id="1236" name="Q23a | a05. Rental by client, VASH subsidy | d. Unknown household type"/>
    <tableColumn id="1237" name="Q23a | a06. Rental by client, with GPD TIP housing subsidy | Total"/>
    <tableColumn id="1238" name="Q23a | a06. Rental by client, with GPD TIP housing subsidy | a. Without children"/>
    <tableColumn id="1239" name="Q23a | a06. Rental by client, with GPD TIP housing subsidy | b. With children and adults"/>
    <tableColumn id="1240" name="Q23a | a06. Rental by client, with GPD TIP housing subsidy | c. With only children"/>
    <tableColumn id="1241" name="Q23a | a06. Rental by client, with GPD TIP housing subsidy | d. Unknown household type"/>
    <tableColumn id="1242" name="Q23a | a07. Rental by client, other ongoing subsidy | Total"/>
    <tableColumn id="1243" name="Q23a | a07. Rental by client, other ongoing subsidy | a. Without children"/>
    <tableColumn id="1244" name="Q23a | a07. Rental by client, other ongoing subsidy | b. With children and adults"/>
    <tableColumn id="1245" name="Q23a | a07. Rental by client, other ongoing subsidy | c. With only children"/>
    <tableColumn id="1246" name="Q23a | a07. Rental by client, other ongoing subsidy | d. Unknown household type"/>
    <tableColumn id="1247" name="Q23a | a08. Permanent housing for homeless persons | Total"/>
    <tableColumn id="1248" name="Q23a | a08. Permanent housing for homeless persons | a. Without children"/>
    <tableColumn id="1249" name="Q23a | a08. Permanent housing for homeless persons | b. With children and adults"/>
    <tableColumn id="1250" name="Q23a | a08. Permanent housing for homeless persons | c. With only children"/>
    <tableColumn id="1251" name="Q23a | a08. Permanent housing for homeless persons | d. Unknown household type"/>
    <tableColumn id="1252" name="Q23a | a09. Staying or living with family, permanent tenure | Total"/>
    <tableColumn id="1253" name="Q23a | a09. Staying or living with family, permanent tenure | a. Without children"/>
    <tableColumn id="1254" name="Q23a | a09. Staying or living with family, permanent tenure | b. With children and adults"/>
    <tableColumn id="1255" name="Q23a | a09. Staying or living with family, permanent tenure | c. With only children"/>
    <tableColumn id="1256" name="Q23a | a09. Staying or living with family, permanent tenure | d. Unknown household type"/>
    <tableColumn id="1257" name="Q23a | a10. Staying or living with friends, permanent tenure | Total"/>
    <tableColumn id="1258" name="Q23a | a10. Staying or living with friends, permanent tenure | a. Without children"/>
    <tableColumn id="1259" name="Q23a | a10. Staying or living with friends, permanent tenure | b. With children and adults"/>
    <tableColumn id="1260" name="Q23a | a10. Staying or living with friends, permanent tenure | c. With only children"/>
    <tableColumn id="1261" name="Q23a | a10. Staying or living with friends, permanent tenure | d. Unknown household type"/>
    <tableColumn id="1262" name="Q23a | az. Total | Total"/>
    <tableColumn id="1263" name="Q23a | az. Total | a. Without children"/>
    <tableColumn id="1264" name="Q23a | az. Total | b. With children and adults"/>
    <tableColumn id="1265" name="Q23a | az. Total | c. With only children"/>
    <tableColumn id="1266" name="Q23a | az. Total | d. Unknown household type"/>
    <tableColumn id="1267" name="Q23a | b. Temporary destinations | Total"/>
    <tableColumn id="1268" name="Q23a | b. Temporary destinations | a. Without children"/>
    <tableColumn id="1269" name="Q23a | b. Temporary destinations | b. With children and adults"/>
    <tableColumn id="1270" name="Q23a | b. Temporary destinations | c. With only children"/>
    <tableColumn id="1271" name="Q23a | b. Temporary destinations | d. Unknown household type"/>
    <tableColumn id="1272" name="Q23a | b1. Emergency shelter | Total"/>
    <tableColumn id="1273" name="Q23a | b1. Emergency shelter | a. Without children"/>
    <tableColumn id="1274" name="Q23a | b1. Emergency shelter | b. With children and adults"/>
    <tableColumn id="1275" name="Q23a | b1. Emergency shelter | c. With only children"/>
    <tableColumn id="1276" name="Q23a | b1. Emergency shelter | d. Unknown household type"/>
    <tableColumn id="1277" name="Q23a | b2. Moved from one HOPWA  funded project to HOPWA TH | Total"/>
    <tableColumn id="1278" name="Q23a | b2. Moved from one HOPWA  funded project to HOPWA TH | a. Without children"/>
    <tableColumn id="1279" name="Q23a | b2. Moved from one HOPWA  funded project to HOPWA TH | b. With children and adults"/>
    <tableColumn id="1280" name="Q23a | b2. Moved from one HOPWA  funded project to HOPWA TH | c. With only children"/>
    <tableColumn id="1281" name="Q23a | b2. Moved from one HOPWA  funded project to HOPWA TH | d. Unknown household type"/>
    <tableColumn id="1282" name="Q23a | b3. Transitional housing for homeless persons | Total"/>
    <tableColumn id="1283" name="Q23a | b3. Transitional housing for homeless persons | a. Without children"/>
    <tableColumn id="1284" name="Q23a | b3. Transitional housing for homeless persons | b. With children and adults"/>
    <tableColumn id="1285" name="Q23a | b3. Transitional housing for homeless persons | c. With only children"/>
    <tableColumn id="1286" name="Q23a | b3. Transitional housing for homeless persons | d. Unknown household type"/>
    <tableColumn id="1287" name="Q23a | b4. Staying with family, temporary tenure | Total"/>
    <tableColumn id="1288" name="Q23a | b4. Staying with family, temporary tenure | a. Without children"/>
    <tableColumn id="1289" name="Q23a | b4. Staying with family, temporary tenure | b. With children and adults"/>
    <tableColumn id="1290" name="Q23a | b4. Staying with family, temporary tenure | c. With only children"/>
    <tableColumn id="1291" name="Q23a | b4. Staying with family, temporary tenure | d. Unknown household type"/>
    <tableColumn id="1292" name="Q23a | b5. Staying with friends, temporary tenure | Total"/>
    <tableColumn id="1293" name="Q23a | b5. Staying with friends, temporary tenure | a. Without children"/>
    <tableColumn id="1294" name="Q23a | b5. Staying with friends, temporary tenure | b. With children and adults"/>
    <tableColumn id="1295" name="Q23a | b5. Staying with friends, temporary tenure | c. With only children"/>
    <tableColumn id="1296" name="Q23a | b5. Staying with friends, temporary tenure | d. Unknown household type"/>
    <tableColumn id="1297" name="Q23a | b6. Place not meant for human habitation | Total"/>
    <tableColumn id="1298" name="Q23a | b6. Place not meant for human habitation | a. Without children"/>
    <tableColumn id="1299" name="Q23a | b6. Place not meant for human habitation | b. With children and adults"/>
    <tableColumn id="1300" name="Q23a | b6. Place not meant for human habitation | c. With only children"/>
    <tableColumn id="1301" name="Q23a | b6. Place not meant for human habitation | d. Unknown household type"/>
    <tableColumn id="1302" name="Q23a | b7. Safe Haven | Total"/>
    <tableColumn id="1303" name="Q23a | b7. Safe Haven | a. Without children"/>
    <tableColumn id="1304" name="Q23a | b7. Safe Haven | b. With children and adults"/>
    <tableColumn id="1305" name="Q23a | b7. Safe Haven | c. With only children"/>
    <tableColumn id="1306" name="Q23a | b7. Safe Haven | d. Unknown household type"/>
    <tableColumn id="1307" name="Q23a | b8. Hotel or motel paid by client | Total"/>
    <tableColumn id="1308" name="Q23a | b8. Hotel or motel paid by client | a. Without children"/>
    <tableColumn id="1309" name="Q23a | b8. Hotel or motel paid by client | b. With children and adults"/>
    <tableColumn id="1310" name="Q23a | b8. Hotel or motel paid by client | c. With only children"/>
    <tableColumn id="1311" name="Q23a | b8. Hotel or motel paid by client | d. Unknown household type"/>
    <tableColumn id="1312" name="Q23a | bz. Total | Total"/>
    <tableColumn id="1313" name="Q23a | bz. Total | a. Without children"/>
    <tableColumn id="1314" name="Q23a | bz. Total | b. With children and adults"/>
    <tableColumn id="1315" name="Q23a | bz. Total | c. With only children"/>
    <tableColumn id="1316" name="Q23a | bz. Total | d. Unknown household type"/>
    <tableColumn id="1317" name="Q23a | c. Institutional settings | Total"/>
    <tableColumn id="1318" name="Q23a | c. Institutional settings | a. Without children"/>
    <tableColumn id="1319" name="Q23a | c. Institutional settings | b. With children and adults"/>
    <tableColumn id="1320" name="Q23a | c. Institutional settings | c. With only children"/>
    <tableColumn id="1321" name="Q23a | c. Institutional settings | d. Unknown household type"/>
    <tableColumn id="1322" name="Q23a | c1. Foster care home or group foster care home | Total"/>
    <tableColumn id="1323" name="Q23a | c1. Foster care home or group foster care home | a. Without children"/>
    <tableColumn id="1324" name="Q23a | c1. Foster care home or group foster care home | b. With children and adults"/>
    <tableColumn id="1325" name="Q23a | c1. Foster care home or group foster care home | c. With only children"/>
    <tableColumn id="1326" name="Q23a | c1. Foster care home or group foster care home | d. Unknown household type"/>
    <tableColumn id="1327" name="Q23a | c2. Psychiatric hospital or other psychiatric facility | Total"/>
    <tableColumn id="1328" name="Q23a | c2. Psychiatric hospital or other psychiatric facility | a. Without children"/>
    <tableColumn id="1329" name="Q23a | c2. Psychiatric hospital or other psychiatric facility | b. With children and adults"/>
    <tableColumn id="1330" name="Q23a | c2. Psychiatric hospital or other psychiatric facility | c. With only children"/>
    <tableColumn id="1331" name="Q23a | c2. Psychiatric hospital or other psychiatric facility | d. Unknown household type"/>
    <tableColumn id="1332" name="Q23a | c3. Substance abuse treatment facility or detox center | Total"/>
    <tableColumn id="1333" name="Q23a | c3. Substance abuse treatment facility or detox center | a. Without children"/>
    <tableColumn id="1334" name="Q23a | c3. Substance abuse treatment facility or detox center | b. With children and adults"/>
    <tableColumn id="1335" name="Q23a | c3. Substance abuse treatment facility or detox center | c. With only children"/>
    <tableColumn id="1336" name="Q23a | c3. Substance abuse treatment facility or detox center | d. Unknown household type"/>
    <tableColumn id="1337" name="Q23a | c4. Hospital or other residential non-psychiatric medical facility | Total"/>
    <tableColumn id="1338" name="Q23a | c4. Hospital or other residential non-psychiatric medical facility | a. Without children"/>
    <tableColumn id="1339" name="Q23a | c4. Hospital or other residential non-psychiatric medical facility | b. With children and adults"/>
    <tableColumn id="1340" name="Q23a | c4. Hospital or other residential non-psychiatric medical facility | c. With only children"/>
    <tableColumn id="1341" name="Q23a | c4. Hospital or other residential non-psychiatric medical facility | d. Unknown household type"/>
    <tableColumn id="1342" name="Q23a | c5. Jail, prison or juvenile detention facility | Total"/>
    <tableColumn id="1343" name="Q23a | c5. Jail, prison or juvenile detention facility | a. Without children"/>
    <tableColumn id="1344" name="Q23a | c5. Jail, prison or juvenile detention facility | b. With children and adults"/>
    <tableColumn id="1345" name="Q23a | c5. Jail, prison or juvenile detention facility | c. With only children"/>
    <tableColumn id="1346" name="Q23a | c5. Jail, prison or juvenile detention facility | d. Unknown household type"/>
    <tableColumn id="1347" name="Q23a | c6. Long term care facility or nursing home | Total"/>
    <tableColumn id="1348" name="Q23a | c6. Long term care facility or nursing home | a. Without children"/>
    <tableColumn id="1349" name="Q23a | c6. Long term care facility or nursing home | b. With children and adults"/>
    <tableColumn id="1350" name="Q23a | c6. Long term care facility or nursing home | c. With only children"/>
    <tableColumn id="1351" name="Q23a | c6. Long term care facility or nursing home | d. Unknown household type"/>
    <tableColumn id="1352" name="Q23a | cz. Total | Total"/>
    <tableColumn id="1353" name="Q23a | cz. Total | a. Without children"/>
    <tableColumn id="1354" name="Q23a | cz. Total | b. With children and adults"/>
    <tableColumn id="1355" name="Q23a | cz. Total | c. With only children"/>
    <tableColumn id="1356" name="Q23a | cz. Total | d. Unknown household type"/>
    <tableColumn id="1357" name="Q23a | d. Other destinations | Total"/>
    <tableColumn id="1358" name="Q23a | d. Other destinations | a. Without children"/>
    <tableColumn id="1359" name="Q23a | d. Other destinations | b. With children and adults"/>
    <tableColumn id="1360" name="Q23a | d. Other destinations | c. With only children"/>
    <tableColumn id="1361" name="Q23a | d. Other destinations | d. Unknown household type"/>
    <tableColumn id="1362" name="Q23a | d1. Residential project or halfway house with no homeless criteria | Total"/>
    <tableColumn id="1363" name="Q23a | d1. Residential project or halfway house with no homeless criteria | a. Without children"/>
    <tableColumn id="1364" name="Q23a | d1. Residential project or halfway house with no homeless criteria | b. With children and adults"/>
    <tableColumn id="1365" name="Q23a | d1. Residential project or halfway house with no homeless criteria | c. With only children"/>
    <tableColumn id="1366" name="Q23a | d1. Residential project or halfway house with no homeless criteria | d. Unknown household type"/>
    <tableColumn id="1367" name="Q23a | d2. Deceased | Total"/>
    <tableColumn id="1368" name="Q23a | d2. Deceased | a. Without children"/>
    <tableColumn id="1369" name="Q23a | d2. Deceased | b. With children and adults"/>
    <tableColumn id="1370" name="Q23a | d2. Deceased | c. With only children"/>
    <tableColumn id="1371" name="Q23a | d2. Deceased | d. Unknown household type"/>
    <tableColumn id="1372" name="Q23a | d3. Other | Total"/>
    <tableColumn id="1373" name="Q23a | d3. Other | a. Without children"/>
    <tableColumn id="1374" name="Q23a | d3. Other | b. With children and adults"/>
    <tableColumn id="1375" name="Q23a | d3. Other | c. With only children"/>
    <tableColumn id="1376" name="Q23a | d3. Other | d. Unknown household type"/>
    <tableColumn id="1377" name="Q23a | d4. Don't know / refused | Total"/>
    <tableColumn id="1378" name="Q23a | d4. Don't know / refused | a. Without children"/>
    <tableColumn id="1379" name="Q23a | d4. Don't know / refused | b. With children and adults"/>
    <tableColumn id="1380" name="Q23a | d4. Don't know / refused | c. With only children"/>
    <tableColumn id="1381" name="Q23a | d4. Don't know / refused | d. Unknown household type"/>
    <tableColumn id="1387" name="Q23a | d5. Information missing | Total"/>
    <tableColumn id="1388" name="Q23a | d5. Information missing | a. Without children"/>
    <tableColumn id="1389" name="Q23a | d5. Information missing | b. With children and adults"/>
    <tableColumn id="1390" name="Q23a | d5. Information missing | c. With only children"/>
    <tableColumn id="1391" name="Q23a | d5. Information missing | d. Unknown household type"/>
    <tableColumn id="1392" name="Q23a | dz. Total | Total"/>
    <tableColumn id="1393" name="Q23a | dz. Total | a. Without children"/>
    <tableColumn id="1394" name="Q23a | dz. Total | b. With children and adults"/>
    <tableColumn id="1395" name="Q23a | dz. Total | c. With only children"/>
    <tableColumn id="1396" name="Q23a | dz. Total | d. Unknown household type"/>
    <tableColumn id="1397" name="Q23a | e. Total | Total"/>
    <tableColumn id="1398" name="Q23a | e. Total | a. Without children"/>
    <tableColumn id="1399" name="Q23a | e. Total | b. With children and adults"/>
    <tableColumn id="1400" name="Q23a | e. Total | c. With only children"/>
    <tableColumn id="1401" name="Q23a | e. Total | d. Unknown household type"/>
    <tableColumn id="1402" name="Q23b | a. Able to maintain the housing they had at project entry--Without a subsidy | Total"/>
    <tableColumn id="1403" name="Q23b | a. Able to maintain the housing they had at project entry--Without a subsidy | a. Without children"/>
    <tableColumn id="1404" name="Q23b | a. Able to maintain the housing they had at project entry--Without a subsidy | b. With children and adults"/>
    <tableColumn id="1405" name="Q23b | a. Able to maintain the housing they had at project entry--Without a subsidy | c. With only children"/>
    <tableColumn id="1406" name="Q23b | a. Able to maintain the housing they had at project entry--Without a subsidy | d. Unknown household type"/>
    <tableColumn id="1407" name="Q23b | b. Able to maintain the housing they had at project entry--With the subsidy they had at project entry | Total"/>
    <tableColumn id="1408" name="Q23b | b. Able to maintain the housing they had at project entry--With the subsidy they had at project entry | a. Without children"/>
    <tableColumn id="1409" name="Q23b | b. Able to maintain the housing they had at project entry--With the subsidy they had at project entry | b. With children and adults"/>
    <tableColumn id="1410" name="Q23b | b. Able to maintain the housing they had at project entry--With the subsidy they had at project entry | c. With only children"/>
    <tableColumn id="1411" name="Q23b | b. Able to maintain the housing they had at project entry--With the subsidy they had at project entry | d. Unknown household type"/>
    <tableColumn id="1412" name="Q23b | c. Able to maintain the housing they had at project entry--With an on-going subsidy acquired since project entry | Total"/>
    <tableColumn id="1413" name="Q23b | c. Able to maintain the housing they had at project entry--With an on-going subsidy acquired since project entry | a. Without children"/>
    <tableColumn id="1414" name="Q23b | c. Able to maintain the housing they had at project entry--With an on-going subsidy acquired since project entry | b. With children and adults"/>
    <tableColumn id="1415" name="Q23b | c. Able to maintain the housing they had at project entry--With an on-going subsidy acquired since project entry | c. With only children"/>
    <tableColumn id="1416" name="Q23b | c. Able to maintain the housing they had at project entry--With an on-going subsidy acquired since project entry | d. Unknown household type"/>
    <tableColumn id="1417" name="Q23b | d. Able to maintain the housing they had at project entry--Only with financial assistance other than a subsidy | Total"/>
    <tableColumn id="1418" name="Q23b | d. Able to maintain the housing they had at project entry--Only with financial assistance other than a subsidy | a. Without children"/>
    <tableColumn id="1419" name="Q23b | d. Able to maintain the housing they had at project entry--Only with financial assistance other than a subsidy | b. With children and adults"/>
    <tableColumn id="1420" name="Q23b | d. Able to maintain the housing they had at project entry--Only with financial assistance other than a subsidy | c. With only children"/>
    <tableColumn id="1421" name="Q23b | d. Able to maintain the housing they had at project entry--Only with financial assistance other than a subsidy | d. Unknown household type"/>
    <tableColumn id="1422" name="Q23b | e. Moved to new housing unit--With on-going subsidy | Total"/>
    <tableColumn id="1423" name="Q23b | e. Moved to new housing unit--With on-going subsidy | a. Without children"/>
    <tableColumn id="1424" name="Q23b | e. Moved to new housing unit--With on-going subsidy | b. With children and adults"/>
    <tableColumn id="1425" name="Q23b | e. Moved to new housing unit--With on-going subsidy | c. With only children"/>
    <tableColumn id="1426" name="Q23b | e. Moved to new housing unit--With on-going subsidy | d. Unknown household type"/>
    <tableColumn id="1427" name="Q23b | f. Moved to new housing unit--Without an on-going subsidy | Total"/>
    <tableColumn id="1428" name="Q23b | f. Moved to new housing unit--Without an on-going subsidy | a. Without children"/>
    <tableColumn id="1429" name="Q23b | f. Moved to new housing unit--Without an on-going subsidy | b. With children and adults"/>
    <tableColumn id="1430" name="Q23b | f. Moved to new housing unit--Without an on-going subsidy | c. With only children"/>
    <tableColumn id="1431" name="Q23b | f. Moved to new housing unit--Without an on-going subsidy | d. Unknown household type"/>
    <tableColumn id="1432" name="Q23b | g. Moved in with family/friends on a temporary basis | Total"/>
    <tableColumn id="1433" name="Q23b | g. Moved in with family/friends on a temporary basis | a. Without children"/>
    <tableColumn id="1434" name="Q23b | g. Moved in with family/friends on a temporary basis | b. With children and adults"/>
    <tableColumn id="1435" name="Q23b | g. Moved in with family/friends on a temporary basis | c. With only children"/>
    <tableColumn id="1436" name="Q23b | g. Moved in with family/friends on a temporary basis | d. Unknown household type"/>
    <tableColumn id="1437" name="Q23b | h. Moved in with family/friends on a permanent basis | Total"/>
    <tableColumn id="1438" name="Q23b | h. Moved in with family/friends on a permanent basis | a. Without children"/>
    <tableColumn id="1439" name="Q23b | h. Moved in with family/friends on a permanent basis | b. With children and adults"/>
    <tableColumn id="1440" name="Q23b | h. Moved in with family/friends on a permanent basis | c. With only children"/>
    <tableColumn id="1441" name="Q23b | h. Moved in with family/friends on a permanent basis | d. Unknown household type"/>
    <tableColumn id="1442" name="Q23b | i. Moved to a transitional or temporary housing facility or program | Total"/>
    <tableColumn id="1443" name="Q23b | i. Moved to a transitional or temporary housing facility or program | a. Without children"/>
    <tableColumn id="1444" name="Q23b | i. Moved to a transitional or temporary housing facility or program | b. With children and adults"/>
    <tableColumn id="1445" name="Q23b | i. Moved to a transitional or temporary housing facility or program | c. With only children"/>
    <tableColumn id="1446" name="Q23b | i. Moved to a transitional or temporary housing facility or program | d. Unknown household type"/>
    <tableColumn id="1447" name="Q23b | j. Client became homeless-moving to a shelter or other place unfit for human habitation | Total"/>
    <tableColumn id="1448" name="Q23b | j. Client became homeless-moving to a shelter or other place unfit for human habitation | a. Without children"/>
    <tableColumn id="1449" name="Q23b | j. Client became homeless-moving to a shelter or other place unfit for human habitation | b. With children and adults"/>
    <tableColumn id="1450" name="Q23b | j. Client became homeless-moving to a shelter or other place unfit for human habitation | c. With only children"/>
    <tableColumn id="1451" name="Q23b | j. Client became homeless-moving to a shelter or other place unfit for human habitation | d. Unknown household type"/>
    <tableColumn id="1452" name="Q23b | k. Client went to jail/prison | Total"/>
    <tableColumn id="1453" name="Q23b | k. Client went to jail/prison | a. Without children"/>
    <tableColumn id="1454" name="Q23b | k. Client went to jail/prison | b. With children and adults"/>
    <tableColumn id="1455" name="Q23b | k. Client went to jail/prison | c. With only children"/>
    <tableColumn id="1456" name="Q23b | k. Client went to jail/prison | d. Unknown household type"/>
    <tableColumn id="1457" name="Q23b | l. Client died | Total"/>
    <tableColumn id="1458" name="Q23b | l. Client died | a. Without children"/>
    <tableColumn id="1459" name="Q23b | l. Client died | b. With children and adults"/>
    <tableColumn id="1460" name="Q23b | l. Client died | c. With only children"/>
    <tableColumn id="1461" name="Q23b | l. Client died | d. Unknown household type"/>
    <tableColumn id="1462" name="Q23b | m. Client doesn't know/Client refused | Total"/>
    <tableColumn id="1463" name="Q23b | m. Client doesn't know/Client refused | a. Without children"/>
    <tableColumn id="1464" name="Q23b | m. Client doesn't know/Client refused | b. With children and adults"/>
    <tableColumn id="1465" name="Q23b | m. Client doesn't know/Client refused | c. With only children"/>
    <tableColumn id="1466" name="Q23b | m. Client doesn't know/Client refused | d. Unknown household type"/>
    <tableColumn id="1467" name="Q23b | n. Data not collected (no exit interview completed) | Total"/>
    <tableColumn id="1468" name="Q23b | n. Data not collected (no exit interview completed) | a. Without children"/>
    <tableColumn id="1469" name="Q23b | n. Data not collected (no exit interview completed) | b. With children and adults"/>
    <tableColumn id="1470" name="Q23b | n. Data not collected (no exit interview completed) | c. With only children"/>
    <tableColumn id="1471" name="Q23b | n. Data not collected (no exit interview completed) | d. Unknown household type"/>
    <tableColumn id="1472" name="Q23b | o. Total | Total"/>
    <tableColumn id="1473" name="Q23b | o. Total | a. Without children"/>
    <tableColumn id="1474" name="Q23b | o. Total | b. With children and adults"/>
    <tableColumn id="1475" name="Q23b | o. Total | c. With only children"/>
    <tableColumn id="1476" name="Q23b | o. Total | d. Unknown household type"/>
    <tableColumn id="1477" name="Q24 | a. Permanent destinations | Total"/>
    <tableColumn id="1478" name="Q24 | a. Permanent destinations | a. Without children"/>
    <tableColumn id="1479" name="Q24 | a. Permanent destinations | b. With children and adults"/>
    <tableColumn id="1480" name="Q24 | a. Permanent destinations | c. With only children"/>
    <tableColumn id="1481" name="Q24 | a. Permanent destinations | d. Unknown household type"/>
    <tableColumn id="1482" name="Q24 | a01. Moved from one HOPWA funded project to HOPWA PH | Total"/>
    <tableColumn id="1483" name="Q24 | a01. Moved from one HOPWA funded project to HOPWA PH | a. Without children"/>
    <tableColumn id="1484" name="Q24 | a01. Moved from one HOPWA funded project to HOPWA PH | b. With children and adults"/>
    <tableColumn id="1485" name="Q24 | a01. Moved from one HOPWA funded project to HOPWA PH | c. With only children"/>
    <tableColumn id="1486" name="Q24 | a01. Moved from one HOPWA funded project to HOPWA PH | d. Unknown household type"/>
    <tableColumn id="1487" name="Q24 | a02. Owned by client, no ongoing subsidy | Total"/>
    <tableColumn id="1488" name="Q24 | a02. Owned by client, no ongoing subsidy | a. Without children"/>
    <tableColumn id="1489" name="Q24 | a02. Owned by client, no ongoing subsidy | b. With children and adults"/>
    <tableColumn id="1490" name="Q24 | a02. Owned by client, no ongoing subsidy | c. With only children"/>
    <tableColumn id="1491" name="Q24 | a02. Owned by client, no ongoing subsidy | d. Unknown household type"/>
    <tableColumn id="1492" name="Q24 | a03. Owned by client, with ongoing subsidy | Total"/>
    <tableColumn id="1493" name="Q24 | a03. Owned by client, with ongoing subsidy | a. Without children"/>
    <tableColumn id="1494" name="Q24 | a03. Owned by client, with ongoing subsidy | b. With children and adults"/>
    <tableColumn id="1495" name="Q24 | a03. Owned by client, with ongoing subsidy | c. With only children"/>
    <tableColumn id="1496" name="Q24 | a03. Owned by client, with ongoing subsidy | d. Unknown household type"/>
    <tableColumn id="1497" name="Q24 | a04. Rental by client, no ongoing subsidy | Total"/>
    <tableColumn id="1498" name="Q24 | a04. Rental by client, no ongoing subsidy | a. Without children"/>
    <tableColumn id="1499" name="Q24 | a04. Rental by client, no ongoing subsidy | b. With children and adults"/>
    <tableColumn id="1500" name="Q24 | a04. Rental by client, no ongoing subsidy | c. With only children"/>
    <tableColumn id="1501" name="Q24 | a04. Rental by client, no ongoing subsidy | d. Unknown household type"/>
    <tableColumn id="1502" name="Q24 | a05. Rental by client, VASH subsidy | Total"/>
    <tableColumn id="1503" name="Q24 | a05. Rental by client, VASH subsidy | a. Without children"/>
    <tableColumn id="1504" name="Q24 | a05. Rental by client, VASH subsidy | b. With children and adults"/>
    <tableColumn id="1505" name="Q24 | a05. Rental by client, VASH subsidy | c. With only children"/>
    <tableColumn id="1506" name="Q24 | a05. Rental by client, VASH subsidy | d. Unknown household type"/>
    <tableColumn id="1507" name="Q24 | a06. Rental by client, with GPD TIP housing subsidy | Total"/>
    <tableColumn id="1508" name="Q24 | a06. Rental by client, with GPD TIP housing subsidy | a. Without children"/>
    <tableColumn id="1509" name="Q24 | a06. Rental by client, with GPD TIP housing subsidy | b. With children and adults"/>
    <tableColumn id="1510" name="Q24 | a06. Rental by client, with GPD TIP housing subsidy | c. With only children"/>
    <tableColumn id="1511" name="Q24 | a06. Rental by client, with GPD TIP housing subsidy | d. Unknown household type"/>
    <tableColumn id="1512" name="Q24 | a07. Rental by client, other ongoing subsidy | Total"/>
    <tableColumn id="1513" name="Q24 | a07. Rental by client, other ongoing subsidy | a. Without children"/>
    <tableColumn id="1514" name="Q24 | a07. Rental by client, other ongoing subsidy | b. With children and adults"/>
    <tableColumn id="1515" name="Q24 | a07. Rental by client, other ongoing subsidy | c. With only children"/>
    <tableColumn id="1516" name="Q24 | a07. Rental by client, other ongoing subsidy | d. Unknown household type"/>
    <tableColumn id="1517" name="Q24 | a08. Permanent housing for homeless persons | Total"/>
    <tableColumn id="1518" name="Q24 | a08. Permanent housing for homeless persons | a. Without children"/>
    <tableColumn id="1519" name="Q24 | a08. Permanent housing for homeless persons | b. With children and adults"/>
    <tableColumn id="1520" name="Q24 | a08. Permanent housing for homeless persons | c. With only children"/>
    <tableColumn id="1521" name="Q24 | a08. Permanent housing for homeless persons | d. Unknown household type"/>
    <tableColumn id="1522" name="Q24 | a09. Staying or living with family, permanent tenure | Total"/>
    <tableColumn id="1523" name="Q24 | a09. Staying or living with family, permanent tenure | a. Without children"/>
    <tableColumn id="1524" name="Q24 | a09. Staying or living with family, permanent tenure | b. With children and adults"/>
    <tableColumn id="1525" name="Q24 | a09. Staying or living with family, permanent tenure | c. With only children"/>
    <tableColumn id="1526" name="Q24 | a09. Staying or living with family, permanent tenure | d. Unknown household type"/>
    <tableColumn id="1527" name="Q24 | a10. Staying or living with friends, permanent tenure | Total"/>
    <tableColumn id="1528" name="Q24 | a10. Staying or living with friends, permanent tenure | a. Without children"/>
    <tableColumn id="1529" name="Q24 | a10. Staying or living with friends, permanent tenure | b. With children and adults"/>
    <tableColumn id="1530" name="Q24 | a10. Staying or living with friends, permanent tenure | c. With only children"/>
    <tableColumn id="1531" name="Q24 | a10. Staying or living with friends, permanent tenure | d. Unknown household type"/>
    <tableColumn id="1532" name="Q24 | az. Total | Total"/>
    <tableColumn id="1533" name="Q24 | az. Total | a. Without children"/>
    <tableColumn id="1534" name="Q24 | az. Total | b. With children and adults"/>
    <tableColumn id="1535" name="Q24 | az. Total | c. With only children"/>
    <tableColumn id="1536" name="Q24 | az. Total | d. Unknown household type"/>
    <tableColumn id="1537" name="Q24 | b. Temporary destinations | Total"/>
    <tableColumn id="1538" name="Q24 | b. Temporary destinations | a. Without children"/>
    <tableColumn id="1539" name="Q24 | b. Temporary destinations | b. With children and adults"/>
    <tableColumn id="1540" name="Q24 | b. Temporary destinations | c. With only children"/>
    <tableColumn id="1541" name="Q24 | b. Temporary destinations | d. Unknown household type"/>
    <tableColumn id="1542" name="Q24 | b1. Emergency shelter | Total"/>
    <tableColumn id="1543" name="Q24 | b1. Emergency shelter | a. Without children"/>
    <tableColumn id="1544" name="Q24 | b1. Emergency shelter | b. With children and adults"/>
    <tableColumn id="1545" name="Q24 | b1. Emergency shelter | c. With only children"/>
    <tableColumn id="1546" name="Q24 | b1. Emergency shelter | d. Unknown household type"/>
    <tableColumn id="1547" name="Q24 | b2. Moved from one HOPWA  funded project to HOPWA TH | Total"/>
    <tableColumn id="1548" name="Q24 | b2. Moved from one HOPWA  funded project to HOPWA TH | a. Without children"/>
    <tableColumn id="1549" name="Q24 | b2. Moved from one HOPWA  funded project to HOPWA TH | b. With children and adults"/>
    <tableColumn id="1550" name="Q24 | b2. Moved from one HOPWA  funded project to HOPWA TH | c. With only children"/>
    <tableColumn id="1551" name="Q24 | b2. Moved from one HOPWA  funded project to HOPWA TH | d. Unknown household type"/>
    <tableColumn id="1552" name="Q24 | b3. Transitional housing for homeless persons | Total"/>
    <tableColumn id="1553" name="Q24 | b3. Transitional housing for homeless persons | a. Without children"/>
    <tableColumn id="1554" name="Q24 | b3. Transitional housing for homeless persons | b. With children and adults"/>
    <tableColumn id="1555" name="Q24 | b3. Transitional housing for homeless persons | c. With only children"/>
    <tableColumn id="1556" name="Q24 | b3. Transitional housing for homeless persons | d. Unknown household type"/>
    <tableColumn id="1557" name="Q24 | b4. Staying with family, temporary tenure | Total"/>
    <tableColumn id="1558" name="Q24 | b4. Staying with family, temporary tenure | a. Without children"/>
    <tableColumn id="1559" name="Q24 | b4. Staying with family, temporary tenure | b. With children and adults"/>
    <tableColumn id="1560" name="Q24 | b4. Staying with family, temporary tenure | c. With only children"/>
    <tableColumn id="1561" name="Q24 | b4. Staying with family, temporary tenure | d. Unknown household type"/>
    <tableColumn id="1562" name="Q24 | b5. Staying with friends, temporary tenure | Total"/>
    <tableColumn id="1563" name="Q24 | b5. Staying with friends, temporary tenure | a. Without children"/>
    <tableColumn id="1564" name="Q24 | b5. Staying with friends, temporary tenure | b. With children and adults"/>
    <tableColumn id="1565" name="Q24 | b5. Staying with friends, temporary tenure | c. With only children"/>
    <tableColumn id="1566" name="Q24 | b5. Staying with friends, temporary tenure | d. Unknown household type"/>
    <tableColumn id="1567" name="Q24 | b6. Place not meant for human habitation | Total"/>
    <tableColumn id="1568" name="Q24 | b6. Place not meant for human habitation | a. Without children"/>
    <tableColumn id="1569" name="Q24 | b6. Place not meant for human habitation | b. With children and adults"/>
    <tableColumn id="1570" name="Q24 | b6. Place not meant for human habitation | c. With only children"/>
    <tableColumn id="1571" name="Q24 | b6. Place not meant for human habitation | d. Unknown household type"/>
    <tableColumn id="1572" name="Q24 | b7. Safe Haven | Total"/>
    <tableColumn id="1573" name="Q24 | b7. Safe Haven | a. Without children"/>
    <tableColumn id="1574" name="Q24 | b7. Safe Haven | b. With children and adults"/>
    <tableColumn id="1575" name="Q24 | b7. Safe Haven | c. With only children"/>
    <tableColumn id="1576" name="Q24 | b7. Safe Haven | d. Unknown household type"/>
    <tableColumn id="1577" name="Q24 | b8. Hotel or motel paid by client | Total"/>
    <tableColumn id="1578" name="Q24 | b8. Hotel or motel paid by client | a. Without children"/>
    <tableColumn id="1579" name="Q24 | b8. Hotel or motel paid by client | b. With children and adults"/>
    <tableColumn id="1580" name="Q24 | b8. Hotel or motel paid by client | c. With only children"/>
    <tableColumn id="1581" name="Q24 | b8. Hotel or motel paid by client | d. Unknown household type"/>
    <tableColumn id="1582" name="Q24 | bz. Total | Total"/>
    <tableColumn id="1583" name="Q24 | bz. Total | a. Without children"/>
    <tableColumn id="1584" name="Q24 | bz. Total | b. With children and adults"/>
    <tableColumn id="1585" name="Q24 | bz. Total | c. With only children"/>
    <tableColumn id="1586" name="Q24 | bz. Total | d. Unknown household type"/>
    <tableColumn id="1587" name="Q24 | c. Institutional settings | Total"/>
    <tableColumn id="1588" name="Q24 | c. Institutional settings | a. Without children"/>
    <tableColumn id="1589" name="Q24 | c. Institutional settings | b. With children and adults"/>
    <tableColumn id="1590" name="Q24 | c. Institutional settings | c. With only children"/>
    <tableColumn id="1591" name="Q24 | c. Institutional settings | d. Unknown household type"/>
    <tableColumn id="1592" name="Q24 | c1. Foster care home or group foster care home | Total"/>
    <tableColumn id="1593" name="Q24 | c1. Foster care home or group foster care home | a. Without children"/>
    <tableColumn id="1594" name="Q24 | c1. Foster care home or group foster care home | b. With children and adults"/>
    <tableColumn id="1595" name="Q24 | c1. Foster care home or group foster care home | c. With only children"/>
    <tableColumn id="1596" name="Q24 | c1. Foster care home or group foster care home | d. Unknown household type"/>
    <tableColumn id="1597" name="Q24 | c2. Psychiatric hospital or other psychiatric facility | Total"/>
    <tableColumn id="1598" name="Q24 | c2. Psychiatric hospital or other psychiatric facility | a. Without children"/>
    <tableColumn id="1599" name="Q24 | c2. Psychiatric hospital or other psychiatric facility | b. With children and adults"/>
    <tableColumn id="1600" name="Q24 | c2. Psychiatric hospital or other psychiatric facility | c. With only children"/>
    <tableColumn id="1601" name="Q24 | c2. Psychiatric hospital or other psychiatric facility | d. Unknown household type"/>
    <tableColumn id="1602" name="Q24 | c3. Substance abuse treatment facility or detox center | Total"/>
    <tableColumn id="1603" name="Q24 | c3. Substance abuse treatment facility or detox center | a. Without children"/>
    <tableColumn id="1604" name="Q24 | c3. Substance abuse treatment facility or detox center | b. With children and adults"/>
    <tableColumn id="1605" name="Q24 | c3. Substance abuse treatment facility or detox center | c. With only children"/>
    <tableColumn id="1606" name="Q24 | c3. Substance abuse treatment facility or detox center | d. Unknown household type"/>
    <tableColumn id="1607" name="Q24 | c4. Hospital or other residential non-psychiatric medical facility | Total"/>
    <tableColumn id="1608" name="Q24 | c4. Hospital or other residential non-psychiatric medical facility | a. Without children"/>
    <tableColumn id="1609" name="Q24 | c4. Hospital or other residential non-psychiatric medical facility | b. With children and adults"/>
    <tableColumn id="1610" name="Q24 | c4. Hospital or other residential non-psychiatric medical facility | c. With only children"/>
    <tableColumn id="1611" name="Q24 | c4. Hospital or other residential non-psychiatric medical facility | d. Unknown household type"/>
    <tableColumn id="1612" name="Q24 | c5. Jail, prison or juvenile detention facility | Total"/>
    <tableColumn id="1613" name="Q24 | c5. Jail, prison or juvenile detention facility | a. Without children"/>
    <tableColumn id="1614" name="Q24 | c5. Jail, prison or juvenile detention facility | b. With children and adults"/>
    <tableColumn id="1615" name="Q24 | c5. Jail, prison or juvenile detention facility | c. With only children"/>
    <tableColumn id="1616" name="Q24 | c5. Jail, prison or juvenile detention facility | d. Unknown household type"/>
    <tableColumn id="1617" name="Q24 | c6. Long term care facility or nursing home | Total"/>
    <tableColumn id="1618" name="Q24 | c6. Long term care facility or nursing home | a. Without children"/>
    <tableColumn id="1619" name="Q24 | c6. Long term care facility or nursing home | b. With children and adults"/>
    <tableColumn id="1620" name="Q24 | c6. Long term care facility or nursing home | c. With only children"/>
    <tableColumn id="1621" name="Q24 | c6. Long term care facility or nursing home | d. Unknown household type"/>
    <tableColumn id="1622" name="Q24 | cz. Total | Total"/>
    <tableColumn id="1623" name="Q24 | cz. Total | a. Without children"/>
    <tableColumn id="1624" name="Q24 | cz. Total | b. With children and adults"/>
    <tableColumn id="1625" name="Q24 | cz. Total | c. With only children"/>
    <tableColumn id="1626" name="Q24 | cz. Total | d. Unknown household type"/>
    <tableColumn id="1627" name="Q24 | d. Other destinations | Total"/>
    <tableColumn id="1628" name="Q24 | d. Other destinations | a. Without children"/>
    <tableColumn id="1629" name="Q24 | d. Other destinations | b. With children and adults"/>
    <tableColumn id="1630" name="Q24 | d. Other destinations | c. With only children"/>
    <tableColumn id="1631" name="Q24 | d. Other destinations | d. Unknown household type"/>
    <tableColumn id="1632" name="Q24 | d1. Residential project or halfway house with no homeless criteria | Total"/>
    <tableColumn id="1633" name="Q24 | d1. Residential project or halfway house with no homeless criteria | a. Without children"/>
    <tableColumn id="1634" name="Q24 | d1. Residential project or halfway house with no homeless criteria | b. With children and adults"/>
    <tableColumn id="1635" name="Q24 | d1. Residential project or halfway house with no homeless criteria | c. With only children"/>
    <tableColumn id="1636" name="Q24 | d1. Residential project or halfway house with no homeless criteria | d. Unknown household type"/>
    <tableColumn id="1637" name="Q24 | d2. Deceased | Total"/>
    <tableColumn id="1638" name="Q24 | d2. Deceased | a. Without children"/>
    <tableColumn id="1639" name="Q24 | d2. Deceased | b. With children and adults"/>
    <tableColumn id="1640" name="Q24 | d2. Deceased | c. With only children"/>
    <tableColumn id="1641" name="Q24 | d2. Deceased | d. Unknown household type"/>
    <tableColumn id="1642" name="Q24 | d3. Other | Total"/>
    <tableColumn id="1643" name="Q24 | d3. Other | a. Without children"/>
    <tableColumn id="1644" name="Q24 | d3. Other | b. With children and adults"/>
    <tableColumn id="1645" name="Q24 | d3. Other | c. With only children"/>
    <tableColumn id="1646" name="Q24 | d3. Other | d. Unknown household type"/>
    <tableColumn id="1647" name="Q24 | d4. Don't know / refused | Total"/>
    <tableColumn id="1648" name="Q24 | d4. Don't know / refused | a. Without children"/>
    <tableColumn id="1649" name="Q24 | d4. Don't know / refused | b. With children and adults"/>
    <tableColumn id="1650" name="Q24 | d4. Don't know / refused | c. With only children"/>
    <tableColumn id="1651" name="Q24 | d4. Don't know / refused | d. Unknown household type"/>
    <tableColumn id="1657" name="Q24 | d5. Information missing | Total"/>
    <tableColumn id="1658" name="Q24 | d5. Information missing | a. Without children"/>
    <tableColumn id="1659" name="Q24 | d5. Information missing | b. With children and adults"/>
    <tableColumn id="1660" name="Q24 | d5. Information missing | c. With only children"/>
    <tableColumn id="1661" name="Q24 | d5. Information missing | d. Unknown household type"/>
    <tableColumn id="1662" name="Q24 | dz. Total | Total"/>
    <tableColumn id="1663" name="Q24 | dz. Total | a. Without children"/>
    <tableColumn id="1664" name="Q24 | dz. Total | b. With children and adults"/>
    <tableColumn id="1665" name="Q24 | dz. Total | c. With only children"/>
    <tableColumn id="1666" name="Q24 | dz. Total | d. Unknown household type"/>
    <tableColumn id="1667" name="Q24 | e. Total | Total"/>
    <tableColumn id="1668" name="Q24 | e. Total | a. Without children"/>
    <tableColumn id="1669" name="Q24 | e. Total | b. With children and adults"/>
    <tableColumn id="1670" name="Q24 | e. Total | c. With only children"/>
    <tableColumn id="1671" name="Q24 | e. Total | d. Unknown household type"/>
    <tableColumn id="1672" name="Q25a | a. Chronically homeless veteran | Total"/>
    <tableColumn id="1673" name="Q25a | a. Chronically homeless veteran | a. Without children"/>
    <tableColumn id="1674" name="Q25a | a. Chronically homeless veteran | b. With children and adults"/>
    <tableColumn id="1675" name="Q25a | a. Chronically homeless veteran | c. Unknown household type"/>
    <tableColumn id="1676" name="Q25a | b. Non-chronically homeless veteran | Total"/>
    <tableColumn id="1677" name="Q25a | b. Non-chronically homeless veteran | a. Without children"/>
    <tableColumn id="1678" name="Q25a | b. Non-chronically homeless veteran | b. With children and adults"/>
    <tableColumn id="1679" name="Q25a | b. Non-chronically homeless veteran | c. Unknown household type"/>
    <tableColumn id="1680" name="Q25a | c. Not a veteran | Total"/>
    <tableColumn id="1681" name="Q25a | c. Not a veteran | a. Without children"/>
    <tableColumn id="1682" name="Q25a | c. Not a veteran | b. With children and adults"/>
    <tableColumn id="1683" name="Q25a | c. Not a veteran | c. Unknown household type"/>
    <tableColumn id="1684" name="Q25a | d. Client Doesn't Know/Client Refused | Total"/>
    <tableColumn id="1685" name="Q25a | d. Client Doesn't Know/Client Refused | a. Without children"/>
    <tableColumn id="1686" name="Q25a | d. Client Doesn't Know/Client Refused | b. With children and adults"/>
    <tableColumn id="1687" name="Q25a | d. Client Doesn't Know/Client Refused | c. Unknown household type"/>
    <tableColumn id="1688" name="Q25a | e. Data Not Collected | Total"/>
    <tableColumn id="1689" name="Q25a | e. Data Not Collected | a. Without children"/>
    <tableColumn id="1690" name="Q25a | e. Data Not Collected | b. With children and adults"/>
    <tableColumn id="1691" name="Q25a | e. Data Not Collected | c. Unknown household type"/>
    <tableColumn id="1692" name="Q25a | f. Total | Total"/>
    <tableColumn id="1693" name="Q25a | f. Total | a. Without children"/>
    <tableColumn id="1694" name="Q25a | f. Total | b. With children and adults"/>
    <tableColumn id="1695" name="Q25a | f. Total | c. Unknown household type"/>
    <tableColumn id="1696" name="Q26b | a. Chronically homeless | Total"/>
    <tableColumn id="1697" name="Q26b | a. Chronically homeless | a. Without children"/>
    <tableColumn id="1698" name="Q26b | a. Chronically homeless | b. With children and adults"/>
    <tableColumn id="1699" name="Q26b | a. Chronically homeless | c. With only children"/>
    <tableColumn id="1700" name="Q26b | a. Chronically homeless | d. Unknown household type"/>
    <tableColumn id="1701" name="Q26b | b. Not chronically homeless | Total"/>
    <tableColumn id="1702" name="Q26b | b. Not chronically homeless | a. Without children"/>
    <tableColumn id="1703" name="Q26b | b. Not chronically homeless | b. With children and adults"/>
    <tableColumn id="1704" name="Q26b | b. Not chronically homeless | c. With only children"/>
    <tableColumn id="1705" name="Q26b | b. Not chronically homeless | d. Unknown household type"/>
    <tableColumn id="1706" name="Q26b | c. Client Doesn't Know/Client Refused | Total"/>
    <tableColumn id="1707" name="Q26b | c. Client Doesn't Know/Client Refused | a. Without children"/>
    <tableColumn id="1708" name="Q26b | c. Client Doesn't Know/Client Refused | b. With children and adults"/>
    <tableColumn id="1709" name="Q26b | c. Client Doesn't Know/Client Refused | c. With only children"/>
    <tableColumn id="1710" name="Q26b | c. Client Doesn't Know/Client Refused | d. Unknown household type"/>
    <tableColumn id="1711" name="Q26b | d. Data Not Collected | Total"/>
    <tableColumn id="1712" name="Q26b | d. Data Not Collected | a. Without children"/>
    <tableColumn id="1713" name="Q26b | d. Data Not Collected | b. With children and adults"/>
    <tableColumn id="1714" name="Q26b | d. Data Not Collected | c. With only children"/>
    <tableColumn id="1715" name="Q26b | d. Data Not Collected | d. Unknown household type"/>
    <tableColumn id="1716" name="Q26b | e. Total | Total"/>
    <tableColumn id="1717" name="Q26b | e. Total | a. Without children"/>
    <tableColumn id="1718" name="Q26b | e. Total | b. With children and adults"/>
    <tableColumn id="1719" name="Q26b | e. Total | c. With only children"/>
    <tableColumn id="1720" name="Q26b | e. Total | d. Unknown household type"/>
    <tableColumn id="1721" name="ID">
      <calculatedColumnFormula>ROW()</calculatedColumnFormula>
    </tableColumn>
    <tableColumn id="1722" name="xFilter">
      <calculatedColumnFormula>NOT(ISERROR(MATCH(detail_table[[#This Row],[ID]],DD.Filter,0)))</calculatedColumnFormula>
    </tableColumn>
    <tableColumn id="1723" name="Duplicate" totalsRowFunction="count">
      <calculatedColumnFormula>CONCATENATE(detail_table[[#This Row],[Q4a | Project name | ]],detail_table[[#This Row],[Q4a | Project ID | ]])</calculatedColumnFormula>
    </tableColumn>
  </tableColumns>
  <tableStyleInfo name="TableStyleMedium14" showFirstColumn="0" showLastColumn="0" showRowStripes="1" showColumnStripes="0"/>
</table>
</file>

<file path=xl/tables/table2.xml><?xml version="1.0" encoding="utf-8"?>
<table xmlns="http://schemas.openxmlformats.org/spreadsheetml/2006/main" id="1" name="Table1" displayName="Table1" ref="K1:K8" totalsRowShown="0" headerRowDxfId="5" dataDxfId="4">
  <autoFilter ref="K1:K8"/>
  <tableColumns count="1">
    <tableColumn id="1" name="Project" dataDxfId="3"/>
  </tableColumns>
  <tableStyleInfo name="TableStyleMedium1" showFirstColumn="0" showLastColumn="0" showRowStripes="1" showColumnStripes="0"/>
</table>
</file>

<file path=xl/tables/table3.xml><?xml version="1.0" encoding="utf-8"?>
<table xmlns="http://schemas.openxmlformats.org/spreadsheetml/2006/main" id="4" name="Table15" displayName="Table15" ref="R1:R8" totalsRowShown="0" headerRowDxfId="2" dataDxfId="1">
  <autoFilter ref="R1:R8"/>
  <tableColumns count="1">
    <tableColumn id="1" name="Project" dataDxfId="0"/>
  </tableColumns>
  <tableStyleInfo name="TableStyleMedium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microsoft.com/office/2007/relationships/slicer" Target="../slicers/slicer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70C0"/>
  </sheetPr>
  <dimension ref="B1:R26"/>
  <sheetViews>
    <sheetView showGridLines="0" tabSelected="1" workbookViewId="0">
      <selection activeCell="D8" sqref="D8"/>
    </sheetView>
  </sheetViews>
  <sheetFormatPr defaultRowHeight="14.5" x14ac:dyDescent="0.35"/>
  <cols>
    <col min="1" max="1" width="10.54296875" customWidth="1"/>
    <col min="2" max="2" width="3.6328125" customWidth="1"/>
    <col min="3" max="3" width="63.81640625" style="61" customWidth="1"/>
    <col min="4" max="4" width="33.54296875" style="123" customWidth="1"/>
    <col min="5" max="5" width="8.1796875" bestFit="1" customWidth="1"/>
    <col min="6" max="6" width="9" style="7" bestFit="1" customWidth="1"/>
    <col min="7" max="7" width="3" style="7" customWidth="1"/>
    <col min="8" max="8" width="11.81640625" style="137" bestFit="1" customWidth="1"/>
    <col min="9" max="9" width="40.1796875" style="137" customWidth="1"/>
    <col min="10" max="12" width="9.1796875" style="137"/>
    <col min="13" max="18" width="9.1796875" style="7"/>
  </cols>
  <sheetData>
    <row r="1" spans="3:15" x14ac:dyDescent="0.35">
      <c r="C1" s="64"/>
      <c r="D1" s="126"/>
      <c r="E1" s="7"/>
    </row>
    <row r="2" spans="3:15" ht="23.5" x14ac:dyDescent="0.35">
      <c r="C2" s="127" t="s">
        <v>2169</v>
      </c>
      <c r="D2" s="126"/>
      <c r="E2" s="7"/>
    </row>
    <row r="3" spans="3:15" x14ac:dyDescent="0.35">
      <c r="C3" s="64"/>
      <c r="D3" s="126"/>
      <c r="E3" s="7"/>
    </row>
    <row r="4" spans="3:15" ht="20" thickBot="1" x14ac:dyDescent="0.5">
      <c r="C4" s="165" t="s">
        <v>2435</v>
      </c>
      <c r="D4" s="166"/>
      <c r="E4" s="133"/>
      <c r="F4" s="133"/>
      <c r="G4" s="12"/>
      <c r="H4" s="138"/>
    </row>
    <row r="5" spans="3:15" ht="18" customHeight="1" thickTop="1" x14ac:dyDescent="0.35">
      <c r="E5" s="16" t="s">
        <v>2121</v>
      </c>
      <c r="F5" s="131" t="s">
        <v>2122</v>
      </c>
    </row>
    <row r="6" spans="3:15" ht="17.5" x14ac:dyDescent="0.35">
      <c r="C6" s="129" t="s">
        <v>2113</v>
      </c>
      <c r="D6" s="159"/>
      <c r="E6" s="33" t="s">
        <v>133</v>
      </c>
      <c r="F6" s="132" t="str">
        <f>IF(LEN(D6)&gt;2,"R","")</f>
        <v/>
      </c>
      <c r="G6" s="37"/>
      <c r="O6" s="36"/>
    </row>
    <row r="7" spans="3:15" ht="17.5" x14ac:dyDescent="0.35">
      <c r="C7" s="129" t="s">
        <v>2114</v>
      </c>
      <c r="D7" s="160"/>
      <c r="E7" s="33" t="s">
        <v>133</v>
      </c>
      <c r="F7" s="132" t="str">
        <f>IF(LEN(D7)&gt;4,"R","")</f>
        <v/>
      </c>
      <c r="G7" s="37"/>
      <c r="O7" s="35"/>
    </row>
    <row r="8" spans="3:15" ht="17.5" x14ac:dyDescent="0.35">
      <c r="C8" s="129" t="s">
        <v>2115</v>
      </c>
      <c r="D8" s="160"/>
      <c r="E8" s="33" t="s">
        <v>133</v>
      </c>
      <c r="F8" s="132" t="str">
        <f>IF((D8&gt;D7),"R","")</f>
        <v/>
      </c>
      <c r="G8" s="37"/>
    </row>
    <row r="9" spans="3:15" ht="17.5" x14ac:dyDescent="0.35">
      <c r="C9" s="163"/>
      <c r="D9" s="164"/>
      <c r="E9" s="34"/>
      <c r="F9" s="132"/>
      <c r="G9" s="37"/>
    </row>
    <row r="10" spans="3:15" ht="17.5" x14ac:dyDescent="0.35">
      <c r="C10" s="129" t="s">
        <v>2112</v>
      </c>
      <c r="D10" s="159"/>
      <c r="E10" s="33" t="s">
        <v>133</v>
      </c>
      <c r="F10" s="132" t="str">
        <f>IF(LEN(D10)&gt;1,"R","")</f>
        <v/>
      </c>
      <c r="G10" s="37"/>
    </row>
    <row r="11" spans="3:15" ht="17.5" x14ac:dyDescent="0.35">
      <c r="C11" s="129" t="s">
        <v>41</v>
      </c>
      <c r="D11" s="159"/>
      <c r="E11" s="33" t="s">
        <v>133</v>
      </c>
      <c r="F11" s="132" t="str">
        <f>IF(LEN(D11)&gt;1,"R","")</f>
        <v/>
      </c>
      <c r="G11" s="37"/>
    </row>
    <row r="12" spans="3:15" ht="17.5" x14ac:dyDescent="0.35">
      <c r="C12" s="129" t="s">
        <v>42</v>
      </c>
      <c r="D12" s="159"/>
      <c r="E12" s="33" t="s">
        <v>133</v>
      </c>
      <c r="F12" s="132" t="str">
        <f>IF(LEN(D12)&gt;1,"R","")</f>
        <v/>
      </c>
      <c r="G12" s="37"/>
    </row>
    <row r="13" spans="3:15" ht="17.5" x14ac:dyDescent="0.35">
      <c r="C13" s="129" t="s">
        <v>43</v>
      </c>
      <c r="D13" s="159"/>
      <c r="E13" s="34"/>
      <c r="F13" s="132"/>
      <c r="G13" s="37"/>
    </row>
    <row r="14" spans="3:15" ht="17.5" x14ac:dyDescent="0.35">
      <c r="C14" s="129" t="s">
        <v>44</v>
      </c>
      <c r="D14" s="159"/>
      <c r="E14" s="33" t="s">
        <v>133</v>
      </c>
      <c r="F14" s="132" t="str">
        <f>IF(LEN(D14)&gt;1,"R","")</f>
        <v/>
      </c>
      <c r="G14" s="37"/>
      <c r="H14" s="139"/>
      <c r="I14" s="139"/>
      <c r="J14" s="139"/>
      <c r="K14" s="139"/>
      <c r="L14" s="139"/>
      <c r="M14" s="9"/>
      <c r="N14" s="9"/>
      <c r="O14" s="9"/>
    </row>
    <row r="15" spans="3:15" ht="17.5" x14ac:dyDescent="0.35">
      <c r="C15" s="129" t="s">
        <v>45</v>
      </c>
      <c r="D15" s="159"/>
      <c r="E15" s="33" t="s">
        <v>133</v>
      </c>
      <c r="F15" s="132" t="str">
        <f>IF(LEN(D15)&gt;1,"R","")</f>
        <v/>
      </c>
      <c r="G15" s="37"/>
      <c r="H15" s="139"/>
      <c r="I15" s="139"/>
      <c r="J15" s="139"/>
      <c r="K15" s="139"/>
      <c r="L15" s="139"/>
      <c r="M15" s="9"/>
      <c r="N15" s="9"/>
      <c r="O15" s="9"/>
    </row>
    <row r="16" spans="3:15" ht="17.5" x14ac:dyDescent="0.35">
      <c r="C16" s="129" t="s">
        <v>2120</v>
      </c>
      <c r="D16" s="161"/>
      <c r="E16" s="33" t="s">
        <v>133</v>
      </c>
      <c r="F16" s="132" t="str">
        <f>IF(LEN(D16)&gt;=3,"R","")</f>
        <v/>
      </c>
      <c r="G16" s="37"/>
      <c r="H16" s="139"/>
      <c r="I16" s="139"/>
      <c r="J16" s="139"/>
      <c r="K16" s="139"/>
      <c r="L16" s="139"/>
      <c r="M16" s="9"/>
      <c r="N16" s="9"/>
      <c r="O16" s="9"/>
    </row>
    <row r="17" spans="2:15" ht="17.5" x14ac:dyDescent="0.35">
      <c r="B17" s="7"/>
      <c r="C17" s="129" t="s">
        <v>47</v>
      </c>
      <c r="D17" s="173"/>
      <c r="E17" s="33" t="s">
        <v>133</v>
      </c>
      <c r="F17" s="132" t="str">
        <f>IF(ISNUMBER(H22),"R","")</f>
        <v/>
      </c>
      <c r="G17" s="37"/>
      <c r="H17" s="99"/>
      <c r="J17" s="139"/>
      <c r="K17" s="139"/>
      <c r="L17" s="139"/>
      <c r="M17" s="9"/>
      <c r="N17" s="9"/>
      <c r="O17" s="9"/>
    </row>
    <row r="18" spans="2:15" ht="17.5" x14ac:dyDescent="0.35">
      <c r="C18" s="130" t="s">
        <v>2118</v>
      </c>
      <c r="D18" s="162"/>
      <c r="E18" s="33" t="s">
        <v>133</v>
      </c>
      <c r="F18" s="132" t="str">
        <f>IF(LEN(D18)&gt;9,"R","")</f>
        <v/>
      </c>
      <c r="G18" s="37"/>
      <c r="H18" s="139"/>
      <c r="I18" s="139"/>
      <c r="J18" s="139"/>
      <c r="K18" s="139"/>
      <c r="L18" s="139"/>
      <c r="M18" s="9"/>
      <c r="N18" s="9"/>
      <c r="O18" s="9"/>
    </row>
    <row r="19" spans="2:15" ht="17.5" x14ac:dyDescent="0.35">
      <c r="C19" s="129" t="s">
        <v>49</v>
      </c>
      <c r="D19" s="159"/>
      <c r="E19" s="34"/>
      <c r="F19" s="37"/>
      <c r="G19" s="37"/>
      <c r="H19" s="139"/>
      <c r="I19" s="139"/>
      <c r="J19" s="139"/>
      <c r="K19" s="139"/>
      <c r="L19" s="139"/>
      <c r="M19" s="9"/>
      <c r="N19" s="9"/>
      <c r="O19" s="9"/>
    </row>
    <row r="20" spans="2:15" ht="17.5" x14ac:dyDescent="0.35">
      <c r="C20" s="129" t="s">
        <v>2119</v>
      </c>
      <c r="D20" s="159"/>
      <c r="E20" s="33"/>
      <c r="F20" s="37"/>
      <c r="G20" s="37"/>
      <c r="H20" s="139"/>
      <c r="I20" s="139"/>
      <c r="J20" s="139"/>
      <c r="K20" s="139"/>
      <c r="L20" s="139"/>
      <c r="M20" s="9"/>
      <c r="N20" s="9"/>
      <c r="O20" s="9"/>
    </row>
    <row r="21" spans="2:15" ht="24" hidden="1" customHeight="1" x14ac:dyDescent="0.35">
      <c r="H21" s="99">
        <f>COUNTIF(F6:F20,"R")</f>
        <v>0</v>
      </c>
      <c r="I21" s="99" t="str">
        <f>IF(H21&gt;=11,"C","INC")</f>
        <v>INC</v>
      </c>
    </row>
    <row r="22" spans="2:15" ht="24" hidden="1" customHeight="1" x14ac:dyDescent="0.35">
      <c r="H22" s="99" t="e">
        <f>SEARCH(".",D17,(SEARCH("@",D17,1))+2)</f>
        <v>#VALUE!</v>
      </c>
      <c r="I22" s="99" t="s">
        <v>2117</v>
      </c>
    </row>
    <row r="23" spans="2:15" ht="24" customHeight="1" thickBot="1" x14ac:dyDescent="0.5">
      <c r="C23" s="135"/>
      <c r="D23" s="167"/>
      <c r="E23" s="135"/>
      <c r="F23" s="135"/>
    </row>
    <row r="24" spans="2:15" ht="37.25" customHeight="1" thickTop="1" x14ac:dyDescent="0.35"/>
    <row r="25" spans="2:15" x14ac:dyDescent="0.35">
      <c r="C25" s="224" t="s">
        <v>2116</v>
      </c>
      <c r="D25"/>
    </row>
    <row r="26" spans="2:15" ht="15" customHeight="1" x14ac:dyDescent="0.35">
      <c r="C26" s="229" t="s">
        <v>2471</v>
      </c>
      <c r="D26" s="229"/>
      <c r="E26" s="229"/>
      <c r="F26" s="11"/>
      <c r="G26" s="11"/>
      <c r="H26" s="138"/>
    </row>
  </sheetData>
  <sheetProtection algorithmName="SHA-512" hashValue="DoJt8wNKqre05ZuaUw8B0GdMhZunU6piMURmjIiAlVihGw0goFKlP65M6TCu7SWmicnDexwvnF2oJioDoJdkGw==" saltValue="J+jxnl14KM1AaVg/xvq48Q==" spinCount="100000" sheet="1" objects="1" scenarios="1" selectLockedCells="1" sort="0" autoFilter="0" pivotTables="0"/>
  <mergeCells count="1">
    <mergeCell ref="C26:E26"/>
  </mergeCells>
  <dataValidations count="2">
    <dataValidation type="date" operator="greaterThanOrEqual" showInputMessage="1" showErrorMessage="1" sqref="D7">
      <formula1>36526</formula1>
    </dataValidation>
    <dataValidation type="date" operator="greaterThan" allowBlank="1" showInputMessage="1" showErrorMessage="1" sqref="D8">
      <formula1>41913</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33"/>
  <sheetViews>
    <sheetView topLeftCell="B1" workbookViewId="0">
      <selection activeCell="B34" sqref="B34"/>
    </sheetView>
  </sheetViews>
  <sheetFormatPr defaultRowHeight="14.5" x14ac:dyDescent="0.35"/>
  <cols>
    <col min="1" max="1" width="10.1796875" bestFit="1" customWidth="1"/>
    <col min="2" max="2" width="106.1796875" bestFit="1" customWidth="1"/>
    <col min="3" max="3" width="6.1796875" customWidth="1"/>
    <col min="4" max="4" width="49.54296875" customWidth="1"/>
    <col min="5" max="5" width="11.1796875" bestFit="1" customWidth="1"/>
    <col min="6" max="6" width="106.1796875" bestFit="1" customWidth="1"/>
    <col min="7" max="7" width="122.81640625" customWidth="1"/>
    <col min="8" max="8" width="7.1796875" bestFit="1" customWidth="1"/>
    <col min="9" max="9" width="4" bestFit="1" customWidth="1"/>
  </cols>
  <sheetData>
    <row r="1" spans="1:9" ht="31.5" customHeight="1" x14ac:dyDescent="0.35">
      <c r="A1" s="13"/>
      <c r="B1" s="13"/>
      <c r="C1" s="13">
        <v>2</v>
      </c>
      <c r="D1" s="10" t="str">
        <f>Import!C26</f>
        <v>P:\HUD NATIONAL TA WORK\FEDERAL PARTNERS &amp; PGMS - HMIS\HUD - ESG\ESG -- eCART\Test kit for Abt\eCART test folders\HUD - ESG CAPER Agency CC-Men's Safe Shelter</v>
      </c>
      <c r="E1" t="s">
        <v>10</v>
      </c>
      <c r="F1" t="s">
        <v>11</v>
      </c>
    </row>
    <row r="2" spans="1:9" x14ac:dyDescent="0.35">
      <c r="A2">
        <v>1</v>
      </c>
      <c r="B2" t="s">
        <v>2496</v>
      </c>
      <c r="E2" t="s">
        <v>2135</v>
      </c>
      <c r="F2" t="s">
        <v>2472</v>
      </c>
      <c r="G2" t="s">
        <v>2471</v>
      </c>
      <c r="H2" t="s">
        <v>102</v>
      </c>
      <c r="I2">
        <v>1</v>
      </c>
    </row>
    <row r="3" spans="1:9" x14ac:dyDescent="0.35">
      <c r="A3">
        <v>2</v>
      </c>
      <c r="B3" t="s">
        <v>2497</v>
      </c>
      <c r="E3" t="s">
        <v>2136</v>
      </c>
      <c r="F3" t="s">
        <v>2473</v>
      </c>
      <c r="G3" t="s">
        <v>2471</v>
      </c>
      <c r="H3" t="s">
        <v>103</v>
      </c>
      <c r="I3">
        <v>2</v>
      </c>
    </row>
    <row r="4" spans="1:9" x14ac:dyDescent="0.35">
      <c r="A4">
        <v>3</v>
      </c>
      <c r="B4" t="s">
        <v>2498</v>
      </c>
      <c r="E4" t="s">
        <v>2137</v>
      </c>
      <c r="F4" t="s">
        <v>2474</v>
      </c>
      <c r="G4" t="s">
        <v>2471</v>
      </c>
      <c r="H4" t="s">
        <v>96</v>
      </c>
      <c r="I4">
        <v>3</v>
      </c>
    </row>
    <row r="5" spans="1:9" x14ac:dyDescent="0.35">
      <c r="A5">
        <v>4</v>
      </c>
      <c r="B5" t="s">
        <v>2499</v>
      </c>
      <c r="E5" t="s">
        <v>2138</v>
      </c>
      <c r="F5" t="s">
        <v>2475</v>
      </c>
      <c r="G5" t="s">
        <v>2471</v>
      </c>
      <c r="H5" t="s">
        <v>97</v>
      </c>
      <c r="I5">
        <v>4</v>
      </c>
    </row>
    <row r="6" spans="1:9" x14ac:dyDescent="0.35">
      <c r="A6">
        <v>5</v>
      </c>
      <c r="B6" t="s">
        <v>2500</v>
      </c>
      <c r="E6" t="s">
        <v>2139</v>
      </c>
      <c r="F6" t="s">
        <v>2476</v>
      </c>
      <c r="G6" t="s">
        <v>2471</v>
      </c>
      <c r="H6" t="s">
        <v>98</v>
      </c>
      <c r="I6">
        <v>5</v>
      </c>
    </row>
    <row r="7" spans="1:9" x14ac:dyDescent="0.35">
      <c r="A7">
        <v>6</v>
      </c>
      <c r="B7" t="s">
        <v>2501</v>
      </c>
      <c r="E7" t="s">
        <v>2140</v>
      </c>
      <c r="F7" t="s">
        <v>2477</v>
      </c>
      <c r="G7" t="s">
        <v>2471</v>
      </c>
      <c r="H7" t="s">
        <v>99</v>
      </c>
      <c r="I7">
        <v>6</v>
      </c>
    </row>
    <row r="8" spans="1:9" x14ac:dyDescent="0.35">
      <c r="A8">
        <v>7</v>
      </c>
      <c r="B8" t="s">
        <v>2502</v>
      </c>
      <c r="E8" t="s">
        <v>2141</v>
      </c>
      <c r="F8" t="s">
        <v>2478</v>
      </c>
      <c r="G8" t="s">
        <v>2471</v>
      </c>
      <c r="H8" t="s">
        <v>100</v>
      </c>
      <c r="I8">
        <v>7</v>
      </c>
    </row>
    <row r="9" spans="1:9" x14ac:dyDescent="0.35">
      <c r="A9">
        <v>8</v>
      </c>
      <c r="B9" t="s">
        <v>2503</v>
      </c>
      <c r="E9" t="s">
        <v>2142</v>
      </c>
      <c r="F9" t="s">
        <v>2479</v>
      </c>
      <c r="G9" t="s">
        <v>2471</v>
      </c>
      <c r="H9" t="s">
        <v>101</v>
      </c>
      <c r="I9">
        <v>8</v>
      </c>
    </row>
    <row r="10" spans="1:9" x14ac:dyDescent="0.35">
      <c r="A10">
        <v>9</v>
      </c>
      <c r="B10" t="s">
        <v>2472</v>
      </c>
      <c r="E10" t="s">
        <v>2143</v>
      </c>
      <c r="F10" t="s">
        <v>2480</v>
      </c>
      <c r="G10" t="s">
        <v>2471</v>
      </c>
      <c r="H10" t="s">
        <v>75</v>
      </c>
      <c r="I10">
        <v>9</v>
      </c>
    </row>
    <row r="11" spans="1:9" x14ac:dyDescent="0.35">
      <c r="A11">
        <v>10</v>
      </c>
      <c r="B11" t="s">
        <v>2473</v>
      </c>
      <c r="E11" t="s">
        <v>2144</v>
      </c>
      <c r="F11" t="s">
        <v>2481</v>
      </c>
      <c r="G11" t="s">
        <v>2471</v>
      </c>
      <c r="H11" t="s">
        <v>76</v>
      </c>
      <c r="I11">
        <v>10</v>
      </c>
    </row>
    <row r="12" spans="1:9" x14ac:dyDescent="0.35">
      <c r="A12">
        <v>11</v>
      </c>
      <c r="B12" t="s">
        <v>2474</v>
      </c>
      <c r="E12" t="s">
        <v>2145</v>
      </c>
      <c r="F12" t="s">
        <v>2482</v>
      </c>
      <c r="G12" t="s">
        <v>2471</v>
      </c>
      <c r="H12" t="s">
        <v>77</v>
      </c>
      <c r="I12">
        <v>11</v>
      </c>
    </row>
    <row r="13" spans="1:9" x14ac:dyDescent="0.35">
      <c r="A13">
        <v>12</v>
      </c>
      <c r="B13" t="s">
        <v>2475</v>
      </c>
      <c r="E13" t="s">
        <v>2146</v>
      </c>
      <c r="F13" t="s">
        <v>2483</v>
      </c>
      <c r="G13" t="s">
        <v>2471</v>
      </c>
      <c r="H13" t="s">
        <v>78</v>
      </c>
      <c r="I13">
        <v>12</v>
      </c>
    </row>
    <row r="14" spans="1:9" x14ac:dyDescent="0.35">
      <c r="A14">
        <v>13</v>
      </c>
      <c r="B14" t="s">
        <v>2476</v>
      </c>
      <c r="E14" t="s">
        <v>2147</v>
      </c>
      <c r="F14" t="s">
        <v>2484</v>
      </c>
      <c r="G14" t="s">
        <v>2471</v>
      </c>
      <c r="H14" t="s">
        <v>79</v>
      </c>
      <c r="I14">
        <v>13</v>
      </c>
    </row>
    <row r="15" spans="1:9" x14ac:dyDescent="0.35">
      <c r="A15">
        <v>14</v>
      </c>
      <c r="B15" t="s">
        <v>2477</v>
      </c>
      <c r="E15" t="s">
        <v>2148</v>
      </c>
      <c r="F15" t="s">
        <v>2485</v>
      </c>
      <c r="G15" t="s">
        <v>2471</v>
      </c>
      <c r="H15" t="s">
        <v>80</v>
      </c>
      <c r="I15">
        <v>14</v>
      </c>
    </row>
    <row r="16" spans="1:9" x14ac:dyDescent="0.35">
      <c r="A16">
        <v>15</v>
      </c>
      <c r="B16" t="s">
        <v>2478</v>
      </c>
      <c r="E16" t="s">
        <v>2149</v>
      </c>
      <c r="F16" t="s">
        <v>2486</v>
      </c>
      <c r="G16" t="s">
        <v>2471</v>
      </c>
      <c r="H16" t="s">
        <v>81</v>
      </c>
      <c r="I16">
        <v>15</v>
      </c>
    </row>
    <row r="17" spans="1:9" x14ac:dyDescent="0.35">
      <c r="A17">
        <v>16</v>
      </c>
      <c r="B17" t="s">
        <v>2479</v>
      </c>
      <c r="E17" t="s">
        <v>2150</v>
      </c>
      <c r="F17" t="s">
        <v>2487</v>
      </c>
      <c r="G17" t="s">
        <v>2471</v>
      </c>
      <c r="H17" t="s">
        <v>82</v>
      </c>
      <c r="I17">
        <v>16</v>
      </c>
    </row>
    <row r="18" spans="1:9" x14ac:dyDescent="0.35">
      <c r="A18">
        <v>17</v>
      </c>
      <c r="B18" t="s">
        <v>2480</v>
      </c>
      <c r="E18" t="s">
        <v>2151</v>
      </c>
      <c r="F18" t="s">
        <v>2488</v>
      </c>
      <c r="G18" t="s">
        <v>2471</v>
      </c>
      <c r="H18" t="s">
        <v>83</v>
      </c>
      <c r="I18">
        <v>17</v>
      </c>
    </row>
    <row r="19" spans="1:9" x14ac:dyDescent="0.35">
      <c r="A19">
        <v>18</v>
      </c>
      <c r="B19" t="s">
        <v>2481</v>
      </c>
      <c r="E19" t="s">
        <v>2152</v>
      </c>
      <c r="F19" t="s">
        <v>2489</v>
      </c>
      <c r="G19" t="s">
        <v>2471</v>
      </c>
      <c r="H19" t="s">
        <v>84</v>
      </c>
      <c r="I19">
        <v>18</v>
      </c>
    </row>
    <row r="20" spans="1:9" x14ac:dyDescent="0.35">
      <c r="A20">
        <v>19</v>
      </c>
      <c r="B20" t="s">
        <v>2482</v>
      </c>
      <c r="E20" t="s">
        <v>2153</v>
      </c>
      <c r="F20" t="s">
        <v>2490</v>
      </c>
      <c r="G20" t="s">
        <v>2471</v>
      </c>
      <c r="H20" t="s">
        <v>85</v>
      </c>
      <c r="I20">
        <v>19</v>
      </c>
    </row>
    <row r="21" spans="1:9" x14ac:dyDescent="0.35">
      <c r="A21">
        <v>20</v>
      </c>
      <c r="B21" t="s">
        <v>2483</v>
      </c>
      <c r="E21" t="s">
        <v>2154</v>
      </c>
      <c r="F21" t="s">
        <v>2491</v>
      </c>
      <c r="G21" t="s">
        <v>2471</v>
      </c>
      <c r="H21" t="s">
        <v>86</v>
      </c>
      <c r="I21">
        <v>20</v>
      </c>
    </row>
    <row r="22" spans="1:9" x14ac:dyDescent="0.35">
      <c r="A22">
        <v>21</v>
      </c>
      <c r="B22" t="s">
        <v>2484</v>
      </c>
      <c r="E22" t="s">
        <v>2155</v>
      </c>
      <c r="F22" t="s">
        <v>2492</v>
      </c>
      <c r="G22" t="s">
        <v>2471</v>
      </c>
      <c r="H22" t="s">
        <v>87</v>
      </c>
      <c r="I22">
        <v>21</v>
      </c>
    </row>
    <row r="23" spans="1:9" x14ac:dyDescent="0.35">
      <c r="A23">
        <v>22</v>
      </c>
      <c r="B23" t="s">
        <v>2485</v>
      </c>
      <c r="E23" t="s">
        <v>2156</v>
      </c>
      <c r="F23" t="s">
        <v>2493</v>
      </c>
      <c r="G23" t="s">
        <v>2471</v>
      </c>
      <c r="H23" t="s">
        <v>88</v>
      </c>
      <c r="I23">
        <v>22</v>
      </c>
    </row>
    <row r="24" spans="1:9" x14ac:dyDescent="0.35">
      <c r="A24">
        <v>23</v>
      </c>
      <c r="B24" t="s">
        <v>2486</v>
      </c>
      <c r="E24" t="s">
        <v>2157</v>
      </c>
      <c r="F24" t="s">
        <v>2494</v>
      </c>
      <c r="G24" t="s">
        <v>2471</v>
      </c>
      <c r="H24" t="s">
        <v>89</v>
      </c>
      <c r="I24">
        <v>23</v>
      </c>
    </row>
    <row r="25" spans="1:9" x14ac:dyDescent="0.35">
      <c r="A25">
        <v>25</v>
      </c>
      <c r="B25" t="s">
        <v>2487</v>
      </c>
      <c r="E25" t="s">
        <v>2158</v>
      </c>
      <c r="F25" t="s">
        <v>2495</v>
      </c>
      <c r="G25" t="s">
        <v>2471</v>
      </c>
      <c r="H25" t="s">
        <v>90</v>
      </c>
      <c r="I25">
        <v>25</v>
      </c>
    </row>
    <row r="26" spans="1:9" x14ac:dyDescent="0.35">
      <c r="A26">
        <v>26</v>
      </c>
      <c r="B26" t="s">
        <v>2488</v>
      </c>
      <c r="E26" t="s">
        <v>2159</v>
      </c>
      <c r="F26" t="s">
        <v>2496</v>
      </c>
      <c r="G26" t="s">
        <v>2471</v>
      </c>
      <c r="H26" t="s">
        <v>104</v>
      </c>
      <c r="I26">
        <v>26</v>
      </c>
    </row>
    <row r="27" spans="1:9" x14ac:dyDescent="0.35">
      <c r="A27">
        <v>27</v>
      </c>
      <c r="B27" t="s">
        <v>2489</v>
      </c>
      <c r="E27" t="s">
        <v>2160</v>
      </c>
      <c r="F27" t="s">
        <v>2497</v>
      </c>
      <c r="G27" t="s">
        <v>2471</v>
      </c>
      <c r="H27" t="s">
        <v>91</v>
      </c>
      <c r="I27">
        <v>27</v>
      </c>
    </row>
    <row r="28" spans="1:9" x14ac:dyDescent="0.35">
      <c r="A28">
        <v>28</v>
      </c>
      <c r="B28" t="s">
        <v>2490</v>
      </c>
      <c r="E28" t="s">
        <v>2161</v>
      </c>
      <c r="F28" t="s">
        <v>2498</v>
      </c>
      <c r="G28" t="s">
        <v>2471</v>
      </c>
      <c r="H28" t="s">
        <v>92</v>
      </c>
      <c r="I28">
        <v>28</v>
      </c>
    </row>
    <row r="29" spans="1:9" x14ac:dyDescent="0.35">
      <c r="A29">
        <v>29</v>
      </c>
      <c r="B29" t="s">
        <v>2491</v>
      </c>
      <c r="E29" t="s">
        <v>2162</v>
      </c>
      <c r="F29" t="s">
        <v>2499</v>
      </c>
      <c r="G29" t="s">
        <v>2471</v>
      </c>
      <c r="H29" t="s">
        <v>135</v>
      </c>
      <c r="I29">
        <v>29</v>
      </c>
    </row>
    <row r="30" spans="1:9" x14ac:dyDescent="0.35">
      <c r="A30">
        <v>30</v>
      </c>
      <c r="B30" t="s">
        <v>2492</v>
      </c>
      <c r="E30" t="s">
        <v>2163</v>
      </c>
      <c r="F30" t="s">
        <v>2500</v>
      </c>
      <c r="G30" t="s">
        <v>2471</v>
      </c>
      <c r="H30" t="s">
        <v>136</v>
      </c>
      <c r="I30">
        <v>30</v>
      </c>
    </row>
    <row r="31" spans="1:9" x14ac:dyDescent="0.35">
      <c r="A31">
        <v>31</v>
      </c>
      <c r="B31" t="s">
        <v>2493</v>
      </c>
      <c r="E31" t="s">
        <v>2164</v>
      </c>
      <c r="F31" t="s">
        <v>2501</v>
      </c>
      <c r="G31" t="s">
        <v>2471</v>
      </c>
      <c r="H31" t="s">
        <v>93</v>
      </c>
      <c r="I31">
        <v>31</v>
      </c>
    </row>
    <row r="32" spans="1:9" x14ac:dyDescent="0.35">
      <c r="A32">
        <v>32</v>
      </c>
      <c r="B32" t="s">
        <v>2494</v>
      </c>
      <c r="E32" t="s">
        <v>2165</v>
      </c>
      <c r="F32" t="s">
        <v>2502</v>
      </c>
      <c r="G32" t="s">
        <v>2471</v>
      </c>
      <c r="H32" t="s">
        <v>94</v>
      </c>
      <c r="I32">
        <v>32</v>
      </c>
    </row>
    <row r="33" spans="1:9" x14ac:dyDescent="0.35">
      <c r="A33">
        <v>33</v>
      </c>
      <c r="B33" t="s">
        <v>2495</v>
      </c>
      <c r="E33" t="s">
        <v>2166</v>
      </c>
      <c r="F33" t="s">
        <v>2503</v>
      </c>
      <c r="G33" t="s">
        <v>2471</v>
      </c>
      <c r="H33" t="s">
        <v>345</v>
      </c>
      <c r="I33">
        <v>33</v>
      </c>
    </row>
  </sheetData>
  <sortState ref="G2:I33">
    <sortCondition ref="I2:I33"/>
  </sortSt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P2002"/>
  <sheetViews>
    <sheetView workbookViewId="0">
      <selection activeCell="D2" sqref="D2"/>
    </sheetView>
  </sheetViews>
  <sheetFormatPr defaultRowHeight="14.5" x14ac:dyDescent="0.35"/>
  <cols>
    <col min="1" max="1" width="10" customWidth="1"/>
    <col min="2" max="2" width="73.1796875" customWidth="1"/>
    <col min="3" max="3" width="60.1796875" bestFit="1" customWidth="1"/>
    <col min="4" max="4" width="25" bestFit="1" customWidth="1"/>
    <col min="5" max="5" width="33.1796875" customWidth="1"/>
    <col min="10" max="10" width="7.1796875" bestFit="1" customWidth="1"/>
    <col min="11" max="11" width="6" bestFit="1" customWidth="1"/>
    <col min="12" max="12" width="7.81640625" bestFit="1" customWidth="1"/>
    <col min="13" max="13" width="6.81640625" bestFit="1" customWidth="1"/>
    <col min="15" max="15" width="7.81640625" customWidth="1"/>
    <col min="16" max="16" width="6.453125" bestFit="1" customWidth="1"/>
  </cols>
  <sheetData>
    <row r="1" spans="1:16" s="6" customFormat="1" x14ac:dyDescent="0.35">
      <c r="A1">
        <v>4</v>
      </c>
      <c r="B1"/>
      <c r="C1"/>
      <c r="D1"/>
      <c r="E1"/>
      <c r="F1"/>
      <c r="G1"/>
      <c r="H1" t="s">
        <v>337</v>
      </c>
      <c r="I1"/>
      <c r="J1" s="8"/>
      <c r="K1" s="15"/>
      <c r="N1"/>
      <c r="O1"/>
      <c r="P1"/>
    </row>
    <row r="2" spans="1:16" x14ac:dyDescent="0.35">
      <c r="B2" s="38" t="s">
        <v>38</v>
      </c>
      <c r="D2" s="13">
        <f>Import!D6</f>
        <v>0</v>
      </c>
      <c r="I2" t="s">
        <v>2176</v>
      </c>
      <c r="N2" s="43" t="s">
        <v>336</v>
      </c>
      <c r="O2" t="s">
        <v>33</v>
      </c>
    </row>
    <row r="3" spans="1:16" x14ac:dyDescent="0.35">
      <c r="B3" s="38" t="s">
        <v>39</v>
      </c>
      <c r="D3" s="41">
        <f>Import!D7</f>
        <v>0</v>
      </c>
      <c r="N3" t="s">
        <v>337</v>
      </c>
      <c r="O3" t="s">
        <v>34</v>
      </c>
    </row>
    <row r="4" spans="1:16" x14ac:dyDescent="0.35">
      <c r="B4" s="38" t="s">
        <v>40</v>
      </c>
      <c r="D4" s="41">
        <f>Import!D8</f>
        <v>0</v>
      </c>
      <c r="N4" t="s">
        <v>338</v>
      </c>
      <c r="O4" t="s">
        <v>35</v>
      </c>
    </row>
    <row r="5" spans="1:16" x14ac:dyDescent="0.35">
      <c r="B5" s="39" t="s">
        <v>134</v>
      </c>
      <c r="D5" s="13">
        <f>Import!D10</f>
        <v>0</v>
      </c>
      <c r="N5" t="s">
        <v>339</v>
      </c>
      <c r="O5" t="s">
        <v>32</v>
      </c>
    </row>
    <row r="6" spans="1:16" x14ac:dyDescent="0.35">
      <c r="B6" s="39" t="s">
        <v>41</v>
      </c>
      <c r="D6" s="13">
        <f>Import!D11</f>
        <v>0</v>
      </c>
      <c r="N6" t="s">
        <v>340</v>
      </c>
      <c r="O6" t="s">
        <v>36</v>
      </c>
    </row>
    <row r="7" spans="1:16" x14ac:dyDescent="0.35">
      <c r="B7" s="39" t="s">
        <v>42</v>
      </c>
      <c r="D7" s="13">
        <f>Import!D12</f>
        <v>0</v>
      </c>
      <c r="N7" t="s">
        <v>341</v>
      </c>
      <c r="O7" t="s">
        <v>37</v>
      </c>
    </row>
    <row r="8" spans="1:16" x14ac:dyDescent="0.35">
      <c r="B8" s="39" t="s">
        <v>43</v>
      </c>
      <c r="D8" s="13">
        <f>Import!D13</f>
        <v>0</v>
      </c>
    </row>
    <row r="9" spans="1:16" x14ac:dyDescent="0.35">
      <c r="B9" s="39" t="s">
        <v>44</v>
      </c>
      <c r="D9" s="13">
        <f>Import!D14</f>
        <v>0</v>
      </c>
    </row>
    <row r="10" spans="1:16" x14ac:dyDescent="0.35">
      <c r="B10" s="39" t="s">
        <v>45</v>
      </c>
      <c r="D10" s="13">
        <f>Import!D15</f>
        <v>0</v>
      </c>
    </row>
    <row r="11" spans="1:16" x14ac:dyDescent="0.35">
      <c r="B11" s="39" t="s">
        <v>46</v>
      </c>
      <c r="D11" s="13">
        <f>Import!D16</f>
        <v>0</v>
      </c>
    </row>
    <row r="12" spans="1:16" x14ac:dyDescent="0.35">
      <c r="B12" s="39" t="s">
        <v>47</v>
      </c>
      <c r="D12" s="13">
        <f>Import!D17</f>
        <v>0</v>
      </c>
    </row>
    <row r="13" spans="1:16" x14ac:dyDescent="0.35">
      <c r="B13" s="40" t="s">
        <v>48</v>
      </c>
      <c r="D13" s="42">
        <f>Import!D18</f>
        <v>0</v>
      </c>
    </row>
    <row r="14" spans="1:16" x14ac:dyDescent="0.35">
      <c r="B14" s="39" t="s">
        <v>49</v>
      </c>
      <c r="D14" s="13">
        <f>Import!D19</f>
        <v>0</v>
      </c>
    </row>
    <row r="15" spans="1:16" x14ac:dyDescent="0.35">
      <c r="B15" s="39" t="s">
        <v>50</v>
      </c>
      <c r="D15" s="42">
        <f>Import!D20</f>
        <v>0</v>
      </c>
    </row>
    <row r="16" spans="1:16" x14ac:dyDescent="0.35">
      <c r="J16" s="7"/>
    </row>
    <row r="17" spans="10:10" x14ac:dyDescent="0.35">
      <c r="J17" s="7"/>
    </row>
    <row r="398" spans="12:13" x14ac:dyDescent="0.35">
      <c r="L398" s="14"/>
      <c r="M398" s="14"/>
    </row>
    <row r="799" spans="12:13" x14ac:dyDescent="0.35">
      <c r="L799" s="14"/>
      <c r="M799" s="14"/>
    </row>
    <row r="1200" spans="12:13" x14ac:dyDescent="0.35">
      <c r="L1200" s="14"/>
      <c r="M1200" s="14"/>
    </row>
    <row r="1601" spans="12:13" x14ac:dyDescent="0.35">
      <c r="L1601" s="14"/>
      <c r="M1601" s="14"/>
    </row>
    <row r="1719" spans="1:4" s="16" customFormat="1" x14ac:dyDescent="0.35">
      <c r="A1719"/>
      <c r="B1719"/>
      <c r="C1719"/>
      <c r="D1719"/>
    </row>
    <row r="2002" spans="12:13" x14ac:dyDescent="0.35">
      <c r="L2002" s="14"/>
      <c r="M2002" s="14"/>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3:A5"/>
  <sheetViews>
    <sheetView topLeftCell="B1" workbookViewId="0">
      <selection activeCell="A3" sqref="A3"/>
    </sheetView>
  </sheetViews>
  <sheetFormatPr defaultRowHeight="14.5" x14ac:dyDescent="0.35"/>
  <cols>
    <col min="1" max="1" width="12.36328125" bestFit="1" customWidth="1"/>
  </cols>
  <sheetData>
    <row r="3" spans="1:1" x14ac:dyDescent="0.35">
      <c r="A3" s="75" t="s">
        <v>1926</v>
      </c>
    </row>
    <row r="4" spans="1:1" x14ac:dyDescent="0.35">
      <c r="A4" s="76">
        <v>11</v>
      </c>
    </row>
    <row r="5" spans="1:1" x14ac:dyDescent="0.35">
      <c r="A5" s="76" t="s">
        <v>1927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MW11"/>
  <sheetViews>
    <sheetView showGridLines="0" zoomScaleNormal="100" workbookViewId="0">
      <selection activeCell="A11" sqref="A11"/>
    </sheetView>
  </sheetViews>
  <sheetFormatPr defaultColWidth="9.1796875" defaultRowHeight="14.5" x14ac:dyDescent="0.35"/>
  <cols>
    <col min="1" max="1" width="28.54296875" style="7" customWidth="1"/>
    <col min="2" max="2" width="20.453125" style="45" bestFit="1" customWidth="1"/>
    <col min="3" max="3" width="20.1796875" style="45" bestFit="1" customWidth="1"/>
    <col min="4" max="4" width="13.1796875" style="7" bestFit="1" customWidth="1"/>
    <col min="5" max="5" width="18.81640625" style="7" bestFit="1" customWidth="1"/>
    <col min="6" max="7" width="16.453125" style="7" customWidth="1"/>
    <col min="8" max="8" width="14.54296875" style="7" customWidth="1"/>
    <col min="9" max="9" width="6" style="7" bestFit="1" customWidth="1"/>
    <col min="10" max="10" width="9.08984375" style="48" bestFit="1" customWidth="1"/>
    <col min="11" max="11" width="14.08984375" style="7" bestFit="1" customWidth="1"/>
    <col min="12" max="12" width="14.81640625" style="46" bestFit="1" customWidth="1"/>
    <col min="13" max="13" width="3.6328125" style="7" bestFit="1" customWidth="1"/>
    <col min="14" max="14" width="11.90625" style="46" bestFit="1" customWidth="1"/>
    <col min="15" max="15" width="11.90625" style="7" bestFit="1" customWidth="1"/>
    <col min="16" max="16" width="21.81640625" style="7" bestFit="1" customWidth="1"/>
    <col min="17" max="17" width="20" style="7" bestFit="1" customWidth="1"/>
    <col min="18" max="18" width="16.81640625" style="7" bestFit="1" customWidth="1"/>
    <col min="19" max="19" width="24.54296875" style="7" bestFit="1" customWidth="1"/>
    <col min="20" max="20" width="27.81640625" style="7" bestFit="1" customWidth="1"/>
    <col min="21" max="21" width="11.81640625" style="7" bestFit="1" customWidth="1"/>
    <col min="22" max="22" width="103.36328125" style="7" bestFit="1" customWidth="1"/>
    <col min="23" max="23" width="74.453125" style="7" bestFit="1" customWidth="1"/>
    <col min="24" max="51" width="15.6328125" style="7" customWidth="1"/>
    <col min="52" max="65" width="20.6328125" style="7" customWidth="1"/>
    <col min="66" max="786" width="15.6328125" style="7" customWidth="1"/>
    <col min="787" max="787" width="17.6328125" style="7" customWidth="1"/>
    <col min="788" max="789" width="15.6328125" style="7" customWidth="1"/>
    <col min="790" max="790" width="17.90625" style="7" customWidth="1"/>
    <col min="791" max="792" width="15.6328125" style="7" customWidth="1"/>
    <col min="793" max="793" width="18.36328125" style="7" customWidth="1"/>
    <col min="794" max="795" width="15.6328125" style="7" customWidth="1"/>
    <col min="796" max="796" width="17.453125" style="7" customWidth="1"/>
    <col min="797" max="798" width="15.6328125" style="7" customWidth="1"/>
    <col min="799" max="799" width="18.54296875" style="7" customWidth="1"/>
    <col min="800" max="801" width="15.6328125" style="7" customWidth="1"/>
    <col min="802" max="802" width="17.08984375" style="7" customWidth="1"/>
    <col min="803" max="804" width="15.6328125" style="7" customWidth="1"/>
    <col min="805" max="805" width="17.1796875" style="7" customWidth="1"/>
    <col min="806" max="807" width="15.6328125" style="7" customWidth="1"/>
    <col min="808" max="808" width="17.36328125" style="7" customWidth="1"/>
    <col min="809" max="810" width="15.6328125" style="7" customWidth="1"/>
    <col min="811" max="811" width="17.1796875" style="7" customWidth="1"/>
    <col min="812" max="819" width="15.6328125" style="7" customWidth="1"/>
    <col min="820" max="820" width="17.1796875" style="7" customWidth="1"/>
    <col min="821" max="822" width="15.6328125" style="7" customWidth="1"/>
    <col min="823" max="823" width="17.453125" style="7" customWidth="1"/>
    <col min="824" max="825" width="15.6328125" style="7" customWidth="1"/>
    <col min="826" max="826" width="16.90625" style="7" customWidth="1"/>
    <col min="827" max="828" width="15.6328125" style="7" customWidth="1"/>
    <col min="829" max="829" width="17.453125" style="7" customWidth="1"/>
    <col min="830" max="831" width="15.6328125" style="7" customWidth="1"/>
    <col min="832" max="832" width="16.90625" style="7" customWidth="1"/>
    <col min="833" max="834" width="15.6328125" style="7" customWidth="1"/>
    <col min="835" max="835" width="17.08984375" style="7" customWidth="1"/>
    <col min="836" max="837" width="15.6328125" style="7" customWidth="1"/>
    <col min="838" max="838" width="17.1796875" style="7" customWidth="1"/>
    <col min="839" max="840" width="15.6328125" style="7" customWidth="1"/>
    <col min="841" max="841" width="17.54296875" style="7" customWidth="1"/>
    <col min="842" max="843" width="15.6328125" style="7" customWidth="1"/>
    <col min="844" max="844" width="18.453125" style="7" customWidth="1"/>
    <col min="845" max="1422" width="15.6328125" style="7" customWidth="1"/>
    <col min="1423" max="1423" width="17.36328125" style="7" customWidth="1"/>
    <col min="1424" max="1709" width="15.6328125" style="7" customWidth="1"/>
    <col min="1710" max="1710" width="8.1796875" style="7" bestFit="1" customWidth="1"/>
    <col min="1711" max="1713" width="14.81640625" style="7" bestFit="1" customWidth="1"/>
    <col min="1714" max="1714" width="12.1796875" style="7" bestFit="1" customWidth="1"/>
    <col min="1715" max="16384" width="9.1796875" style="7"/>
  </cols>
  <sheetData>
    <row r="1" spans="1:1713" s="82" customFormat="1" ht="20" thickBot="1" x14ac:dyDescent="0.5">
      <c r="A1" s="133" t="s">
        <v>2188</v>
      </c>
      <c r="B1" s="134"/>
      <c r="C1" s="134"/>
      <c r="D1" s="135"/>
      <c r="E1" s="135"/>
      <c r="F1" s="135"/>
      <c r="G1" s="135"/>
      <c r="H1" s="135"/>
      <c r="J1" s="83"/>
      <c r="L1" s="84"/>
      <c r="N1" s="84"/>
      <c r="AC1" s="82" t="e">
        <f>MATCH(AC3&amp;" "&amp;AC4&amp;" "&amp;AC5,detail_table[[#Headers],[Q5a | SSN | Client Doesn''t Know or Client Refused]:[Q5a | Ethnicity | Data not collected]],0)</f>
        <v>#N/A</v>
      </c>
      <c r="DS1" s="85" t="s">
        <v>5</v>
      </c>
      <c r="DT1" s="85"/>
      <c r="DU1" s="85"/>
      <c r="DV1" s="85"/>
      <c r="DW1" s="85"/>
      <c r="DX1" s="85"/>
      <c r="DY1" s="85"/>
      <c r="DZ1" s="85"/>
      <c r="EA1" s="85"/>
      <c r="EB1" s="85"/>
      <c r="EC1" s="85"/>
      <c r="ED1" s="85"/>
      <c r="EE1" s="85"/>
      <c r="EF1" s="85"/>
      <c r="EG1" s="85"/>
      <c r="EH1" s="85"/>
      <c r="EI1" s="85"/>
      <c r="EJ1" s="85"/>
      <c r="EK1" s="85"/>
      <c r="EL1" s="85"/>
      <c r="EM1" s="85"/>
      <c r="EN1" s="85"/>
      <c r="EO1" s="85"/>
      <c r="EP1" s="85"/>
      <c r="EQ1" s="85"/>
      <c r="ER1" s="82" t="s">
        <v>6</v>
      </c>
      <c r="GK1" s="82" t="s">
        <v>7</v>
      </c>
      <c r="KU1" s="82" t="s">
        <v>9</v>
      </c>
      <c r="QF1" s="82" t="s">
        <v>23</v>
      </c>
      <c r="QS1" s="82" t="s">
        <v>24</v>
      </c>
      <c r="UE1" s="82" t="s">
        <v>25</v>
      </c>
      <c r="VN1" s="82" t="s">
        <v>25</v>
      </c>
      <c r="WW1" s="82" t="s">
        <v>25</v>
      </c>
      <c r="YF1" s="82" t="s">
        <v>26</v>
      </c>
      <c r="YK1" s="82" t="s">
        <v>27</v>
      </c>
      <c r="ZJ1" s="82" t="s">
        <v>28</v>
      </c>
      <c r="AAI1" s="82" t="s">
        <v>29</v>
      </c>
      <c r="ABU1" s="82" t="s">
        <v>30</v>
      </c>
      <c r="ADC1" s="82" t="s">
        <v>31</v>
      </c>
    </row>
    <row r="2" spans="1:1713" s="87" customFormat="1" ht="19" hidden="1" thickTop="1" x14ac:dyDescent="0.45">
      <c r="A2" s="80"/>
      <c r="B2" s="86"/>
      <c r="C2" s="86"/>
      <c r="E2" s="88"/>
      <c r="J2" s="89"/>
      <c r="L2" s="90"/>
      <c r="N2" s="90"/>
      <c r="S2" s="87">
        <f>SUM(R3:R5)</f>
        <v>0</v>
      </c>
      <c r="T2" s="87" t="e">
        <f>#REF!</f>
        <v>#REF!</v>
      </c>
      <c r="U2" s="87">
        <f t="shared" ref="U2:AY2" si="0">SUM(U11:U72)</f>
        <v>0</v>
      </c>
      <c r="V2" s="87">
        <f t="shared" si="0"/>
        <v>0</v>
      </c>
      <c r="W2" s="87">
        <f t="shared" si="0"/>
        <v>0</v>
      </c>
      <c r="X2" s="87">
        <f t="shared" si="0"/>
        <v>0</v>
      </c>
      <c r="Y2" s="87">
        <f t="shared" si="0"/>
        <v>0</v>
      </c>
      <c r="Z2" s="87">
        <f t="shared" si="0"/>
        <v>0</v>
      </c>
      <c r="AA2" s="87">
        <f t="shared" si="0"/>
        <v>0</v>
      </c>
      <c r="AB2" s="87">
        <f t="shared" si="0"/>
        <v>0</v>
      </c>
      <c r="AC2" s="87">
        <f t="shared" si="0"/>
        <v>0</v>
      </c>
      <c r="AD2" s="87">
        <f t="shared" si="0"/>
        <v>0</v>
      </c>
      <c r="AE2" s="87">
        <f t="shared" si="0"/>
        <v>0</v>
      </c>
      <c r="AF2" s="87">
        <f t="shared" si="0"/>
        <v>0</v>
      </c>
      <c r="AG2" s="87">
        <f t="shared" si="0"/>
        <v>0</v>
      </c>
      <c r="AH2" s="87">
        <f t="shared" si="0"/>
        <v>0</v>
      </c>
      <c r="AI2" s="87">
        <f t="shared" si="0"/>
        <v>0</v>
      </c>
      <c r="AJ2" s="87">
        <f t="shared" si="0"/>
        <v>0</v>
      </c>
      <c r="AK2" s="87">
        <f t="shared" si="0"/>
        <v>0</v>
      </c>
      <c r="AL2" s="87">
        <f t="shared" si="0"/>
        <v>0</v>
      </c>
      <c r="AM2" s="87">
        <f t="shared" si="0"/>
        <v>0</v>
      </c>
      <c r="AN2" s="87">
        <f t="shared" si="0"/>
        <v>0</v>
      </c>
      <c r="AO2" s="87">
        <f t="shared" si="0"/>
        <v>0</v>
      </c>
      <c r="AP2" s="87">
        <f t="shared" si="0"/>
        <v>0</v>
      </c>
      <c r="AQ2" s="87">
        <f t="shared" si="0"/>
        <v>0</v>
      </c>
      <c r="AR2" s="87">
        <f t="shared" si="0"/>
        <v>0</v>
      </c>
      <c r="AS2" s="87">
        <f t="shared" si="0"/>
        <v>0</v>
      </c>
      <c r="AT2" s="87">
        <f t="shared" si="0"/>
        <v>0</v>
      </c>
      <c r="AU2" s="87">
        <f t="shared" si="0"/>
        <v>0</v>
      </c>
      <c r="AV2" s="87">
        <f t="shared" si="0"/>
        <v>0</v>
      </c>
      <c r="AW2" s="87">
        <f t="shared" si="0"/>
        <v>0</v>
      </c>
      <c r="AX2" s="87">
        <f t="shared" si="0"/>
        <v>0</v>
      </c>
      <c r="AY2" s="87">
        <f t="shared" si="0"/>
        <v>0</v>
      </c>
      <c r="BA2" s="87">
        <f t="shared" ref="BA2:DL2" si="1">SUM(BA11:BA72)</f>
        <v>0</v>
      </c>
      <c r="BB2" s="87">
        <f t="shared" si="1"/>
        <v>0</v>
      </c>
      <c r="BC2" s="87">
        <f t="shared" si="1"/>
        <v>0</v>
      </c>
      <c r="BD2" s="87">
        <f t="shared" si="1"/>
        <v>0</v>
      </c>
      <c r="BE2" s="87">
        <f t="shared" si="1"/>
        <v>0</v>
      </c>
      <c r="BF2" s="87">
        <f t="shared" si="1"/>
        <v>0</v>
      </c>
      <c r="BG2" s="87">
        <f t="shared" si="1"/>
        <v>0</v>
      </c>
      <c r="BH2" s="87">
        <f t="shared" si="1"/>
        <v>0</v>
      </c>
      <c r="BI2" s="87">
        <f t="shared" si="1"/>
        <v>0</v>
      </c>
      <c r="BJ2" s="87">
        <f t="shared" si="1"/>
        <v>0</v>
      </c>
      <c r="BK2" s="87">
        <f t="shared" si="1"/>
        <v>0</v>
      </c>
      <c r="BL2" s="87">
        <f t="shared" si="1"/>
        <v>0</v>
      </c>
      <c r="BM2" s="87">
        <f t="shared" si="1"/>
        <v>0</v>
      </c>
      <c r="BN2" s="87">
        <f t="shared" si="1"/>
        <v>0</v>
      </c>
      <c r="BO2" s="87">
        <f t="shared" si="1"/>
        <v>0</v>
      </c>
      <c r="BP2" s="87">
        <f t="shared" si="1"/>
        <v>0</v>
      </c>
      <c r="BQ2" s="87">
        <f t="shared" si="1"/>
        <v>0</v>
      </c>
      <c r="BR2" s="87">
        <f t="shared" si="1"/>
        <v>0</v>
      </c>
      <c r="BS2" s="87">
        <f t="shared" si="1"/>
        <v>0</v>
      </c>
      <c r="BT2" s="87">
        <f t="shared" si="1"/>
        <v>0</v>
      </c>
      <c r="BU2" s="87">
        <f t="shared" si="1"/>
        <v>0</v>
      </c>
      <c r="BV2" s="87">
        <f t="shared" si="1"/>
        <v>0</v>
      </c>
      <c r="BW2" s="87">
        <f t="shared" si="1"/>
        <v>0</v>
      </c>
      <c r="BX2" s="87">
        <f t="shared" si="1"/>
        <v>0</v>
      </c>
      <c r="BY2" s="87">
        <f t="shared" si="1"/>
        <v>0</v>
      </c>
      <c r="BZ2" s="87">
        <f t="shared" si="1"/>
        <v>0</v>
      </c>
      <c r="CA2" s="87">
        <f t="shared" si="1"/>
        <v>0</v>
      </c>
      <c r="CB2" s="87">
        <f t="shared" si="1"/>
        <v>0</v>
      </c>
      <c r="CC2" s="87">
        <f t="shared" si="1"/>
        <v>0</v>
      </c>
      <c r="CD2" s="87">
        <f t="shared" si="1"/>
        <v>0</v>
      </c>
      <c r="CE2" s="87">
        <f t="shared" si="1"/>
        <v>0</v>
      </c>
      <c r="CF2" s="87">
        <f t="shared" si="1"/>
        <v>0</v>
      </c>
      <c r="CG2" s="87">
        <f t="shared" si="1"/>
        <v>0</v>
      </c>
      <c r="CH2" s="87">
        <f t="shared" si="1"/>
        <v>0</v>
      </c>
      <c r="CI2" s="87">
        <f t="shared" si="1"/>
        <v>0</v>
      </c>
      <c r="CJ2" s="87">
        <f t="shared" si="1"/>
        <v>0</v>
      </c>
      <c r="CK2" s="87">
        <f t="shared" si="1"/>
        <v>0</v>
      </c>
      <c r="CL2" s="87">
        <f t="shared" si="1"/>
        <v>0</v>
      </c>
      <c r="CM2" s="87">
        <f t="shared" si="1"/>
        <v>0</v>
      </c>
      <c r="CN2" s="87">
        <f t="shared" si="1"/>
        <v>0</v>
      </c>
      <c r="CO2" s="87">
        <f t="shared" si="1"/>
        <v>0</v>
      </c>
      <c r="CP2" s="87">
        <f t="shared" si="1"/>
        <v>0</v>
      </c>
      <c r="CQ2" s="87">
        <f t="shared" si="1"/>
        <v>0</v>
      </c>
      <c r="CR2" s="87">
        <f t="shared" si="1"/>
        <v>0</v>
      </c>
      <c r="CS2" s="87">
        <f t="shared" si="1"/>
        <v>0</v>
      </c>
      <c r="CT2" s="87">
        <f t="shared" si="1"/>
        <v>0</v>
      </c>
      <c r="CU2" s="87">
        <f t="shared" si="1"/>
        <v>0</v>
      </c>
      <c r="CV2" s="87">
        <f t="shared" si="1"/>
        <v>0</v>
      </c>
      <c r="CW2" s="87">
        <f t="shared" si="1"/>
        <v>0</v>
      </c>
      <c r="CX2" s="87">
        <f t="shared" si="1"/>
        <v>0</v>
      </c>
      <c r="CY2" s="87">
        <f t="shared" si="1"/>
        <v>0</v>
      </c>
      <c r="CZ2" s="87">
        <f t="shared" si="1"/>
        <v>0</v>
      </c>
      <c r="DA2" s="87">
        <f t="shared" si="1"/>
        <v>0</v>
      </c>
      <c r="DB2" s="87">
        <f t="shared" si="1"/>
        <v>0</v>
      </c>
      <c r="DC2" s="87">
        <f t="shared" si="1"/>
        <v>0</v>
      </c>
      <c r="DD2" s="87">
        <f t="shared" si="1"/>
        <v>0</v>
      </c>
      <c r="DE2" s="87">
        <f t="shared" si="1"/>
        <v>0</v>
      </c>
      <c r="DF2" s="87">
        <f t="shared" si="1"/>
        <v>0</v>
      </c>
      <c r="DG2" s="87">
        <f t="shared" si="1"/>
        <v>0</v>
      </c>
      <c r="DH2" s="87">
        <f t="shared" si="1"/>
        <v>0</v>
      </c>
      <c r="DI2" s="87">
        <f t="shared" si="1"/>
        <v>0</v>
      </c>
      <c r="DJ2" s="87">
        <f t="shared" si="1"/>
        <v>0</v>
      </c>
      <c r="DK2" s="87">
        <f t="shared" si="1"/>
        <v>0</v>
      </c>
      <c r="DL2" s="87">
        <f t="shared" si="1"/>
        <v>0</v>
      </c>
      <c r="DM2" s="87">
        <f t="shared" ref="DM2:FX2" si="2">SUM(DM11:DM72)</f>
        <v>0</v>
      </c>
      <c r="DN2" s="87">
        <f t="shared" si="2"/>
        <v>0</v>
      </c>
      <c r="DO2" s="87">
        <f t="shared" si="2"/>
        <v>0</v>
      </c>
      <c r="DP2" s="87">
        <f t="shared" si="2"/>
        <v>0</v>
      </c>
      <c r="DQ2" s="87">
        <f t="shared" si="2"/>
        <v>0</v>
      </c>
      <c r="DR2" s="87">
        <f t="shared" si="2"/>
        <v>0</v>
      </c>
      <c r="DS2" s="87">
        <f t="shared" si="2"/>
        <v>0</v>
      </c>
      <c r="DT2" s="87">
        <f t="shared" si="2"/>
        <v>0</v>
      </c>
      <c r="DU2" s="87">
        <f t="shared" si="2"/>
        <v>0</v>
      </c>
      <c r="DV2" s="87">
        <f t="shared" si="2"/>
        <v>0</v>
      </c>
      <c r="DW2" s="87">
        <f t="shared" si="2"/>
        <v>0</v>
      </c>
      <c r="DX2" s="87">
        <f t="shared" si="2"/>
        <v>0</v>
      </c>
      <c r="DY2" s="87">
        <f t="shared" si="2"/>
        <v>0</v>
      </c>
      <c r="DZ2" s="87">
        <f t="shared" si="2"/>
        <v>0</v>
      </c>
      <c r="EA2" s="87">
        <f t="shared" si="2"/>
        <v>0</v>
      </c>
      <c r="EB2" s="87">
        <f t="shared" si="2"/>
        <v>0</v>
      </c>
      <c r="EC2" s="87">
        <f t="shared" si="2"/>
        <v>0</v>
      </c>
      <c r="ED2" s="87">
        <f t="shared" si="2"/>
        <v>0</v>
      </c>
      <c r="EE2" s="87">
        <f t="shared" si="2"/>
        <v>0</v>
      </c>
      <c r="EF2" s="87">
        <f t="shared" si="2"/>
        <v>0</v>
      </c>
      <c r="EG2" s="87">
        <f t="shared" si="2"/>
        <v>0</v>
      </c>
      <c r="EH2" s="87">
        <f t="shared" si="2"/>
        <v>0</v>
      </c>
      <c r="EI2" s="87">
        <f t="shared" si="2"/>
        <v>0</v>
      </c>
      <c r="EJ2" s="87">
        <f t="shared" si="2"/>
        <v>0</v>
      </c>
      <c r="EK2" s="87">
        <f t="shared" si="2"/>
        <v>0</v>
      </c>
      <c r="EL2" s="87">
        <f t="shared" si="2"/>
        <v>0</v>
      </c>
      <c r="EM2" s="87">
        <f t="shared" si="2"/>
        <v>0</v>
      </c>
      <c r="EN2" s="87">
        <f t="shared" si="2"/>
        <v>0</v>
      </c>
      <c r="EO2" s="87">
        <f t="shared" si="2"/>
        <v>0</v>
      </c>
      <c r="EP2" s="87">
        <f t="shared" si="2"/>
        <v>0</v>
      </c>
      <c r="EQ2" s="87">
        <f t="shared" si="2"/>
        <v>0</v>
      </c>
      <c r="ER2" s="87">
        <f t="shared" si="2"/>
        <v>0</v>
      </c>
      <c r="ES2" s="87">
        <f t="shared" si="2"/>
        <v>0</v>
      </c>
      <c r="ET2" s="87">
        <f t="shared" si="2"/>
        <v>0</v>
      </c>
      <c r="EU2" s="87">
        <f t="shared" si="2"/>
        <v>0</v>
      </c>
      <c r="EV2" s="87">
        <f t="shared" si="2"/>
        <v>0</v>
      </c>
      <c r="EW2" s="87">
        <f t="shared" si="2"/>
        <v>0</v>
      </c>
      <c r="EX2" s="87">
        <f t="shared" si="2"/>
        <v>0</v>
      </c>
      <c r="EY2" s="87">
        <f t="shared" si="2"/>
        <v>0</v>
      </c>
      <c r="EZ2" s="87">
        <f t="shared" si="2"/>
        <v>0</v>
      </c>
      <c r="FA2" s="87">
        <f t="shared" si="2"/>
        <v>0</v>
      </c>
      <c r="FB2" s="87">
        <f t="shared" si="2"/>
        <v>0</v>
      </c>
      <c r="FC2" s="87">
        <f t="shared" si="2"/>
        <v>0</v>
      </c>
      <c r="FD2" s="87">
        <f t="shared" si="2"/>
        <v>0</v>
      </c>
      <c r="FE2" s="87">
        <f t="shared" si="2"/>
        <v>0</v>
      </c>
      <c r="FF2" s="87">
        <f t="shared" si="2"/>
        <v>0</v>
      </c>
      <c r="FG2" s="87">
        <f t="shared" si="2"/>
        <v>0</v>
      </c>
      <c r="FH2" s="87">
        <f t="shared" si="2"/>
        <v>0</v>
      </c>
      <c r="FI2" s="87">
        <f t="shared" si="2"/>
        <v>0</v>
      </c>
      <c r="FJ2" s="87">
        <f t="shared" si="2"/>
        <v>0</v>
      </c>
      <c r="FK2" s="87">
        <f t="shared" si="2"/>
        <v>0</v>
      </c>
      <c r="FL2" s="87">
        <f t="shared" si="2"/>
        <v>0</v>
      </c>
      <c r="FM2" s="87">
        <f t="shared" si="2"/>
        <v>0</v>
      </c>
      <c r="FN2" s="87">
        <f t="shared" si="2"/>
        <v>0</v>
      </c>
      <c r="FO2" s="87">
        <f t="shared" si="2"/>
        <v>0</v>
      </c>
      <c r="FP2" s="87">
        <f t="shared" si="2"/>
        <v>0</v>
      </c>
      <c r="FQ2" s="87">
        <f t="shared" si="2"/>
        <v>0</v>
      </c>
      <c r="FR2" s="87">
        <f t="shared" si="2"/>
        <v>0</v>
      </c>
      <c r="FS2" s="87">
        <f t="shared" si="2"/>
        <v>0</v>
      </c>
      <c r="FT2" s="87">
        <f t="shared" si="2"/>
        <v>0</v>
      </c>
      <c r="FU2" s="87">
        <f t="shared" si="2"/>
        <v>0</v>
      </c>
      <c r="FV2" s="87">
        <f t="shared" si="2"/>
        <v>0</v>
      </c>
      <c r="FW2" s="87">
        <f t="shared" si="2"/>
        <v>0</v>
      </c>
      <c r="FX2" s="87">
        <f t="shared" si="2"/>
        <v>0</v>
      </c>
      <c r="FY2" s="87">
        <f t="shared" ref="FY2:IJ2" si="3">SUM(FY11:FY72)</f>
        <v>0</v>
      </c>
      <c r="FZ2" s="87">
        <f t="shared" si="3"/>
        <v>0</v>
      </c>
      <c r="GA2" s="87">
        <f t="shared" si="3"/>
        <v>0</v>
      </c>
      <c r="GB2" s="87">
        <f t="shared" si="3"/>
        <v>0</v>
      </c>
      <c r="GC2" s="87">
        <f t="shared" si="3"/>
        <v>0</v>
      </c>
      <c r="GD2" s="87">
        <f t="shared" si="3"/>
        <v>0</v>
      </c>
      <c r="GE2" s="87">
        <f t="shared" si="3"/>
        <v>0</v>
      </c>
      <c r="GF2" s="87">
        <f t="shared" si="3"/>
        <v>0</v>
      </c>
      <c r="GG2" s="87">
        <f t="shared" si="3"/>
        <v>0</v>
      </c>
      <c r="GH2" s="87">
        <f t="shared" si="3"/>
        <v>0</v>
      </c>
      <c r="GI2" s="87">
        <f t="shared" si="3"/>
        <v>0</v>
      </c>
      <c r="GJ2" s="87">
        <f t="shared" si="3"/>
        <v>0</v>
      </c>
      <c r="GK2" s="87">
        <f t="shared" si="3"/>
        <v>0</v>
      </c>
      <c r="GL2" s="87">
        <f t="shared" si="3"/>
        <v>0</v>
      </c>
      <c r="GM2" s="87">
        <f t="shared" si="3"/>
        <v>0</v>
      </c>
      <c r="GN2" s="87">
        <f t="shared" si="3"/>
        <v>0</v>
      </c>
      <c r="GO2" s="87">
        <f t="shared" si="3"/>
        <v>0</v>
      </c>
      <c r="GP2" s="87">
        <f t="shared" si="3"/>
        <v>0</v>
      </c>
      <c r="GQ2" s="87">
        <f t="shared" si="3"/>
        <v>0</v>
      </c>
      <c r="GR2" s="87">
        <f t="shared" si="3"/>
        <v>0</v>
      </c>
      <c r="GS2" s="87">
        <f t="shared" si="3"/>
        <v>0</v>
      </c>
      <c r="GT2" s="87">
        <f t="shared" si="3"/>
        <v>0</v>
      </c>
      <c r="GU2" s="87">
        <f t="shared" si="3"/>
        <v>0</v>
      </c>
      <c r="GV2" s="87">
        <f t="shared" si="3"/>
        <v>0</v>
      </c>
      <c r="GW2" s="87">
        <f t="shared" si="3"/>
        <v>0</v>
      </c>
      <c r="GX2" s="87">
        <f t="shared" si="3"/>
        <v>0</v>
      </c>
      <c r="GY2" s="87">
        <f t="shared" si="3"/>
        <v>0</v>
      </c>
      <c r="GZ2" s="87">
        <f t="shared" si="3"/>
        <v>0</v>
      </c>
      <c r="HA2" s="87">
        <f t="shared" si="3"/>
        <v>0</v>
      </c>
      <c r="HB2" s="87">
        <f t="shared" si="3"/>
        <v>0</v>
      </c>
      <c r="HC2" s="87">
        <f t="shared" si="3"/>
        <v>0</v>
      </c>
      <c r="HD2" s="87">
        <f t="shared" si="3"/>
        <v>0</v>
      </c>
      <c r="HE2" s="87">
        <f t="shared" si="3"/>
        <v>0</v>
      </c>
      <c r="HF2" s="87">
        <f t="shared" si="3"/>
        <v>0</v>
      </c>
      <c r="HG2" s="87">
        <f t="shared" si="3"/>
        <v>0</v>
      </c>
      <c r="HH2" s="87">
        <f t="shared" si="3"/>
        <v>0</v>
      </c>
      <c r="HI2" s="87">
        <f t="shared" si="3"/>
        <v>0</v>
      </c>
      <c r="HJ2" s="87">
        <f t="shared" si="3"/>
        <v>0</v>
      </c>
      <c r="HK2" s="87">
        <f t="shared" si="3"/>
        <v>0</v>
      </c>
      <c r="HL2" s="87">
        <f t="shared" si="3"/>
        <v>0</v>
      </c>
      <c r="HM2" s="87">
        <f t="shared" si="3"/>
        <v>0</v>
      </c>
      <c r="HN2" s="87">
        <f t="shared" si="3"/>
        <v>0</v>
      </c>
      <c r="HO2" s="87">
        <f t="shared" si="3"/>
        <v>0</v>
      </c>
      <c r="HP2" s="87">
        <f t="shared" si="3"/>
        <v>0</v>
      </c>
      <c r="HQ2" s="87">
        <f t="shared" si="3"/>
        <v>0</v>
      </c>
      <c r="HR2" s="87">
        <f t="shared" si="3"/>
        <v>0</v>
      </c>
      <c r="HS2" s="87">
        <f t="shared" si="3"/>
        <v>0</v>
      </c>
      <c r="HT2" s="87">
        <f t="shared" si="3"/>
        <v>0</v>
      </c>
      <c r="HU2" s="87">
        <f t="shared" si="3"/>
        <v>0</v>
      </c>
      <c r="HV2" s="87">
        <f t="shared" si="3"/>
        <v>0</v>
      </c>
      <c r="HW2" s="87">
        <f t="shared" si="3"/>
        <v>0</v>
      </c>
      <c r="HX2" s="87">
        <f t="shared" si="3"/>
        <v>0</v>
      </c>
      <c r="HY2" s="87">
        <f t="shared" si="3"/>
        <v>0</v>
      </c>
      <c r="HZ2" s="87">
        <f t="shared" si="3"/>
        <v>0</v>
      </c>
      <c r="IA2" s="87">
        <f t="shared" si="3"/>
        <v>0</v>
      </c>
      <c r="IB2" s="87">
        <f t="shared" si="3"/>
        <v>0</v>
      </c>
      <c r="IC2" s="87">
        <f t="shared" si="3"/>
        <v>0</v>
      </c>
      <c r="ID2" s="87">
        <f t="shared" si="3"/>
        <v>0</v>
      </c>
      <c r="IE2" s="87">
        <f t="shared" si="3"/>
        <v>0</v>
      </c>
      <c r="IF2" s="87">
        <f t="shared" si="3"/>
        <v>0</v>
      </c>
      <c r="IG2" s="87">
        <f t="shared" si="3"/>
        <v>0</v>
      </c>
      <c r="IH2" s="87">
        <f t="shared" si="3"/>
        <v>0</v>
      </c>
      <c r="II2" s="87">
        <f t="shared" si="3"/>
        <v>0</v>
      </c>
      <c r="IJ2" s="87">
        <f t="shared" si="3"/>
        <v>0</v>
      </c>
      <c r="IK2" s="87">
        <f t="shared" ref="IK2:KV2" si="4">SUM(IK11:IK72)</f>
        <v>0</v>
      </c>
      <c r="IL2" s="87">
        <f t="shared" si="4"/>
        <v>0</v>
      </c>
      <c r="IM2" s="87">
        <f t="shared" si="4"/>
        <v>0</v>
      </c>
      <c r="IN2" s="87">
        <f t="shared" si="4"/>
        <v>0</v>
      </c>
      <c r="IO2" s="87">
        <f t="shared" si="4"/>
        <v>0</v>
      </c>
      <c r="IP2" s="87">
        <f t="shared" si="4"/>
        <v>0</v>
      </c>
      <c r="IQ2" s="87">
        <f t="shared" si="4"/>
        <v>0</v>
      </c>
      <c r="IR2" s="87">
        <f t="shared" si="4"/>
        <v>0</v>
      </c>
      <c r="IS2" s="87">
        <f t="shared" si="4"/>
        <v>0</v>
      </c>
      <c r="IT2" s="87">
        <f t="shared" si="4"/>
        <v>0</v>
      </c>
      <c r="IU2" s="87">
        <f t="shared" si="4"/>
        <v>0</v>
      </c>
      <c r="IV2" s="87">
        <f t="shared" si="4"/>
        <v>0</v>
      </c>
      <c r="IW2" s="87">
        <f t="shared" si="4"/>
        <v>0</v>
      </c>
      <c r="IX2" s="87">
        <f t="shared" si="4"/>
        <v>0</v>
      </c>
      <c r="IY2" s="87">
        <f t="shared" si="4"/>
        <v>0</v>
      </c>
      <c r="IZ2" s="87">
        <f t="shared" si="4"/>
        <v>0</v>
      </c>
      <c r="JA2" s="87">
        <f t="shared" si="4"/>
        <v>0</v>
      </c>
      <c r="JB2" s="87">
        <f t="shared" si="4"/>
        <v>0</v>
      </c>
      <c r="JC2" s="87">
        <f t="shared" si="4"/>
        <v>0</v>
      </c>
      <c r="JD2" s="87">
        <f t="shared" si="4"/>
        <v>0</v>
      </c>
      <c r="JE2" s="87">
        <f t="shared" si="4"/>
        <v>0</v>
      </c>
      <c r="JF2" s="87">
        <f t="shared" si="4"/>
        <v>0</v>
      </c>
      <c r="JG2" s="87">
        <f t="shared" si="4"/>
        <v>0</v>
      </c>
      <c r="JH2" s="87">
        <f t="shared" si="4"/>
        <v>0</v>
      </c>
      <c r="JI2" s="87">
        <f t="shared" si="4"/>
        <v>0</v>
      </c>
      <c r="JJ2" s="87">
        <f t="shared" si="4"/>
        <v>0</v>
      </c>
      <c r="JK2" s="87">
        <f t="shared" si="4"/>
        <v>0</v>
      </c>
      <c r="JL2" s="87">
        <f t="shared" si="4"/>
        <v>0</v>
      </c>
      <c r="JM2" s="87">
        <f t="shared" si="4"/>
        <v>0</v>
      </c>
      <c r="JN2" s="87">
        <f t="shared" si="4"/>
        <v>0</v>
      </c>
      <c r="JO2" s="87">
        <f t="shared" si="4"/>
        <v>0</v>
      </c>
      <c r="JP2" s="87">
        <f t="shared" si="4"/>
        <v>0</v>
      </c>
      <c r="JQ2" s="87">
        <f t="shared" si="4"/>
        <v>0</v>
      </c>
      <c r="JR2" s="87">
        <f t="shared" si="4"/>
        <v>0</v>
      </c>
      <c r="JS2" s="87">
        <f t="shared" si="4"/>
        <v>0</v>
      </c>
      <c r="JT2" s="87">
        <f t="shared" si="4"/>
        <v>0</v>
      </c>
      <c r="JU2" s="87">
        <f t="shared" si="4"/>
        <v>0</v>
      </c>
      <c r="JV2" s="87">
        <f t="shared" si="4"/>
        <v>0</v>
      </c>
      <c r="JW2" s="87">
        <f t="shared" si="4"/>
        <v>0</v>
      </c>
      <c r="JX2" s="87">
        <f t="shared" si="4"/>
        <v>0</v>
      </c>
      <c r="JY2" s="87">
        <f t="shared" si="4"/>
        <v>0</v>
      </c>
      <c r="JZ2" s="87">
        <f t="shared" si="4"/>
        <v>0</v>
      </c>
      <c r="KA2" s="87">
        <f t="shared" si="4"/>
        <v>0</v>
      </c>
      <c r="KB2" s="87">
        <f t="shared" si="4"/>
        <v>0</v>
      </c>
      <c r="KC2" s="87">
        <f t="shared" si="4"/>
        <v>0</v>
      </c>
      <c r="KD2" s="87">
        <f t="shared" si="4"/>
        <v>0</v>
      </c>
      <c r="KE2" s="87">
        <f t="shared" si="4"/>
        <v>0</v>
      </c>
      <c r="KF2" s="87">
        <f t="shared" si="4"/>
        <v>0</v>
      </c>
      <c r="KG2" s="87">
        <f t="shared" si="4"/>
        <v>0</v>
      </c>
      <c r="KH2" s="87">
        <f t="shared" si="4"/>
        <v>0</v>
      </c>
      <c r="KI2" s="87">
        <f t="shared" si="4"/>
        <v>0</v>
      </c>
      <c r="KJ2" s="87">
        <f t="shared" si="4"/>
        <v>0</v>
      </c>
      <c r="KK2" s="87">
        <f t="shared" si="4"/>
        <v>0</v>
      </c>
      <c r="KL2" s="87">
        <f t="shared" si="4"/>
        <v>0</v>
      </c>
      <c r="KM2" s="87">
        <f t="shared" si="4"/>
        <v>0</v>
      </c>
      <c r="KN2" s="87">
        <f t="shared" si="4"/>
        <v>0</v>
      </c>
      <c r="KO2" s="87">
        <f t="shared" si="4"/>
        <v>0</v>
      </c>
      <c r="KP2" s="87">
        <f t="shared" si="4"/>
        <v>0</v>
      </c>
      <c r="KQ2" s="87">
        <f t="shared" si="4"/>
        <v>0</v>
      </c>
      <c r="KR2" s="87">
        <f t="shared" si="4"/>
        <v>0</v>
      </c>
      <c r="KS2" s="87">
        <f t="shared" si="4"/>
        <v>0</v>
      </c>
      <c r="KT2" s="87">
        <f t="shared" si="4"/>
        <v>0</v>
      </c>
      <c r="KU2" s="87">
        <f t="shared" si="4"/>
        <v>0</v>
      </c>
      <c r="KV2" s="87">
        <f t="shared" si="4"/>
        <v>0</v>
      </c>
      <c r="KW2" s="87">
        <f t="shared" ref="KW2:NH2" si="5">SUM(KW11:KW72)</f>
        <v>0</v>
      </c>
      <c r="KX2" s="87">
        <f t="shared" si="5"/>
        <v>0</v>
      </c>
      <c r="KY2" s="87">
        <f t="shared" si="5"/>
        <v>0</v>
      </c>
      <c r="KZ2" s="87">
        <f t="shared" si="5"/>
        <v>0</v>
      </c>
      <c r="LA2" s="87">
        <f t="shared" si="5"/>
        <v>0</v>
      </c>
      <c r="LB2" s="87">
        <f t="shared" si="5"/>
        <v>0</v>
      </c>
      <c r="LC2" s="87">
        <f t="shared" si="5"/>
        <v>0</v>
      </c>
      <c r="LD2" s="87">
        <f t="shared" si="5"/>
        <v>0</v>
      </c>
      <c r="LE2" s="87">
        <f t="shared" si="5"/>
        <v>0</v>
      </c>
      <c r="LF2" s="87">
        <f t="shared" si="5"/>
        <v>0</v>
      </c>
      <c r="LG2" s="87">
        <f t="shared" si="5"/>
        <v>0</v>
      </c>
      <c r="LH2" s="87">
        <f t="shared" si="5"/>
        <v>0</v>
      </c>
      <c r="LI2" s="87">
        <f t="shared" si="5"/>
        <v>0</v>
      </c>
      <c r="LJ2" s="87">
        <f t="shared" si="5"/>
        <v>0</v>
      </c>
      <c r="LK2" s="87">
        <f t="shared" si="5"/>
        <v>0</v>
      </c>
      <c r="LL2" s="87">
        <f t="shared" si="5"/>
        <v>0</v>
      </c>
      <c r="LM2" s="87">
        <f t="shared" si="5"/>
        <v>0</v>
      </c>
      <c r="LN2" s="87">
        <f t="shared" si="5"/>
        <v>0</v>
      </c>
      <c r="LO2" s="87">
        <f t="shared" si="5"/>
        <v>0</v>
      </c>
      <c r="LP2" s="87">
        <f t="shared" si="5"/>
        <v>0</v>
      </c>
      <c r="LQ2" s="87">
        <f t="shared" si="5"/>
        <v>0</v>
      </c>
      <c r="LR2" s="87">
        <f t="shared" si="5"/>
        <v>0</v>
      </c>
      <c r="LS2" s="87">
        <f t="shared" si="5"/>
        <v>0</v>
      </c>
      <c r="LT2" s="87">
        <f t="shared" si="5"/>
        <v>0</v>
      </c>
      <c r="LU2" s="87">
        <f t="shared" si="5"/>
        <v>0</v>
      </c>
      <c r="LV2" s="87">
        <f t="shared" si="5"/>
        <v>0</v>
      </c>
      <c r="LW2" s="87">
        <f t="shared" si="5"/>
        <v>0</v>
      </c>
      <c r="LX2" s="87">
        <f t="shared" si="5"/>
        <v>0</v>
      </c>
      <c r="LY2" s="87">
        <f t="shared" si="5"/>
        <v>0</v>
      </c>
      <c r="LZ2" s="87">
        <f t="shared" si="5"/>
        <v>0</v>
      </c>
      <c r="MA2" s="87">
        <f t="shared" si="5"/>
        <v>0</v>
      </c>
      <c r="MB2" s="87">
        <f t="shared" si="5"/>
        <v>0</v>
      </c>
      <c r="MC2" s="87">
        <f t="shared" si="5"/>
        <v>0</v>
      </c>
      <c r="MD2" s="87">
        <f t="shared" si="5"/>
        <v>0</v>
      </c>
      <c r="ME2" s="87">
        <f t="shared" si="5"/>
        <v>0</v>
      </c>
      <c r="MF2" s="87">
        <f t="shared" si="5"/>
        <v>0</v>
      </c>
      <c r="MG2" s="87">
        <f t="shared" si="5"/>
        <v>0</v>
      </c>
      <c r="MH2" s="87">
        <f t="shared" si="5"/>
        <v>0</v>
      </c>
      <c r="MI2" s="87">
        <f t="shared" si="5"/>
        <v>0</v>
      </c>
      <c r="MJ2" s="87">
        <f t="shared" si="5"/>
        <v>0</v>
      </c>
      <c r="MK2" s="87">
        <f t="shared" si="5"/>
        <v>0</v>
      </c>
      <c r="ML2" s="87">
        <f t="shared" si="5"/>
        <v>0</v>
      </c>
      <c r="MM2" s="87">
        <f t="shared" si="5"/>
        <v>0</v>
      </c>
      <c r="MN2" s="87">
        <f t="shared" si="5"/>
        <v>0</v>
      </c>
      <c r="MO2" s="87">
        <f t="shared" si="5"/>
        <v>0</v>
      </c>
      <c r="MP2" s="87">
        <f t="shared" si="5"/>
        <v>0</v>
      </c>
      <c r="MQ2" s="87">
        <f t="shared" si="5"/>
        <v>0</v>
      </c>
      <c r="MR2" s="87">
        <f t="shared" si="5"/>
        <v>0</v>
      </c>
      <c r="MS2" s="87">
        <f t="shared" si="5"/>
        <v>0</v>
      </c>
      <c r="MT2" s="87">
        <f t="shared" si="5"/>
        <v>0</v>
      </c>
      <c r="MU2" s="87">
        <f t="shared" si="5"/>
        <v>0</v>
      </c>
      <c r="MV2" s="87">
        <f t="shared" si="5"/>
        <v>0</v>
      </c>
      <c r="MW2" s="87">
        <f t="shared" si="5"/>
        <v>0</v>
      </c>
      <c r="MX2" s="87">
        <f t="shared" si="5"/>
        <v>0</v>
      </c>
      <c r="MY2" s="87">
        <f t="shared" si="5"/>
        <v>0</v>
      </c>
      <c r="MZ2" s="87">
        <f t="shared" si="5"/>
        <v>0</v>
      </c>
      <c r="NA2" s="87">
        <f t="shared" si="5"/>
        <v>0</v>
      </c>
      <c r="NB2" s="87">
        <f t="shared" si="5"/>
        <v>0</v>
      </c>
      <c r="NC2" s="87">
        <f t="shared" si="5"/>
        <v>0</v>
      </c>
      <c r="ND2" s="87">
        <f t="shared" si="5"/>
        <v>0</v>
      </c>
      <c r="NE2" s="87">
        <f t="shared" si="5"/>
        <v>0</v>
      </c>
      <c r="NF2" s="87">
        <f t="shared" si="5"/>
        <v>0</v>
      </c>
      <c r="NG2" s="87">
        <f t="shared" si="5"/>
        <v>0</v>
      </c>
      <c r="NH2" s="87">
        <f t="shared" si="5"/>
        <v>0</v>
      </c>
      <c r="NI2" s="87">
        <f t="shared" ref="NI2:PT2" si="6">SUM(NI11:NI72)</f>
        <v>0</v>
      </c>
      <c r="NJ2" s="87">
        <f t="shared" si="6"/>
        <v>0</v>
      </c>
      <c r="NK2" s="87">
        <f t="shared" si="6"/>
        <v>0</v>
      </c>
      <c r="NL2" s="87">
        <f t="shared" si="6"/>
        <v>0</v>
      </c>
      <c r="NM2" s="87">
        <f t="shared" si="6"/>
        <v>0</v>
      </c>
      <c r="NN2" s="87">
        <f t="shared" si="6"/>
        <v>0</v>
      </c>
      <c r="NO2" s="87">
        <f t="shared" si="6"/>
        <v>0</v>
      </c>
      <c r="NP2" s="87">
        <f t="shared" si="6"/>
        <v>0</v>
      </c>
      <c r="NQ2" s="87">
        <f t="shared" si="6"/>
        <v>0</v>
      </c>
      <c r="NR2" s="87">
        <f t="shared" si="6"/>
        <v>0</v>
      </c>
      <c r="NS2" s="87">
        <f t="shared" si="6"/>
        <v>0</v>
      </c>
      <c r="NT2" s="87">
        <f t="shared" si="6"/>
        <v>0</v>
      </c>
      <c r="NU2" s="87">
        <f t="shared" si="6"/>
        <v>0</v>
      </c>
      <c r="NV2" s="87">
        <f t="shared" si="6"/>
        <v>0</v>
      </c>
      <c r="NW2" s="87">
        <f t="shared" si="6"/>
        <v>0</v>
      </c>
      <c r="NX2" s="87">
        <f t="shared" si="6"/>
        <v>0</v>
      </c>
      <c r="NY2" s="87">
        <f t="shared" si="6"/>
        <v>0</v>
      </c>
      <c r="NZ2" s="87">
        <f t="shared" si="6"/>
        <v>0</v>
      </c>
      <c r="OA2" s="87">
        <f t="shared" si="6"/>
        <v>0</v>
      </c>
      <c r="OB2" s="87">
        <f t="shared" si="6"/>
        <v>0</v>
      </c>
      <c r="OC2" s="87">
        <f t="shared" si="6"/>
        <v>0</v>
      </c>
      <c r="OD2" s="87">
        <f t="shared" si="6"/>
        <v>0</v>
      </c>
      <c r="OE2" s="87">
        <f t="shared" si="6"/>
        <v>0</v>
      </c>
      <c r="OF2" s="87">
        <f t="shared" si="6"/>
        <v>0</v>
      </c>
      <c r="OG2" s="87">
        <f t="shared" si="6"/>
        <v>0</v>
      </c>
      <c r="OH2" s="87">
        <f t="shared" si="6"/>
        <v>0</v>
      </c>
      <c r="OI2" s="87">
        <f t="shared" si="6"/>
        <v>0</v>
      </c>
      <c r="OJ2" s="87">
        <f t="shared" si="6"/>
        <v>0</v>
      </c>
      <c r="OK2" s="87">
        <f t="shared" si="6"/>
        <v>0</v>
      </c>
      <c r="OL2" s="87">
        <f t="shared" si="6"/>
        <v>0</v>
      </c>
      <c r="OM2" s="87">
        <f t="shared" si="6"/>
        <v>0</v>
      </c>
      <c r="ON2" s="87">
        <f t="shared" si="6"/>
        <v>0</v>
      </c>
      <c r="OO2" s="87">
        <f t="shared" si="6"/>
        <v>0</v>
      </c>
      <c r="OP2" s="87">
        <f t="shared" si="6"/>
        <v>0</v>
      </c>
      <c r="OQ2" s="87">
        <f t="shared" si="6"/>
        <v>0</v>
      </c>
      <c r="OR2" s="87">
        <f t="shared" si="6"/>
        <v>0</v>
      </c>
      <c r="OS2" s="87">
        <f t="shared" si="6"/>
        <v>0</v>
      </c>
      <c r="OT2" s="87">
        <f t="shared" si="6"/>
        <v>0</v>
      </c>
      <c r="OU2" s="87">
        <f t="shared" si="6"/>
        <v>0</v>
      </c>
      <c r="OV2" s="87">
        <f t="shared" si="6"/>
        <v>0</v>
      </c>
      <c r="OW2" s="87">
        <f t="shared" si="6"/>
        <v>0</v>
      </c>
      <c r="OX2" s="87">
        <f t="shared" si="6"/>
        <v>0</v>
      </c>
      <c r="OY2" s="87">
        <f t="shared" si="6"/>
        <v>0</v>
      </c>
      <c r="OZ2" s="87">
        <f t="shared" si="6"/>
        <v>0</v>
      </c>
      <c r="PA2" s="87">
        <f t="shared" si="6"/>
        <v>0</v>
      </c>
      <c r="PB2" s="87">
        <f t="shared" si="6"/>
        <v>0</v>
      </c>
      <c r="PC2" s="87">
        <f t="shared" si="6"/>
        <v>0</v>
      </c>
      <c r="PD2" s="87">
        <f t="shared" si="6"/>
        <v>0</v>
      </c>
      <c r="PE2" s="87">
        <f t="shared" si="6"/>
        <v>0</v>
      </c>
      <c r="PF2" s="87">
        <f t="shared" si="6"/>
        <v>0</v>
      </c>
      <c r="PG2" s="87">
        <f t="shared" si="6"/>
        <v>0</v>
      </c>
      <c r="PH2" s="87">
        <f t="shared" si="6"/>
        <v>0</v>
      </c>
      <c r="PI2" s="87">
        <f t="shared" si="6"/>
        <v>0</v>
      </c>
      <c r="PJ2" s="87">
        <f t="shared" si="6"/>
        <v>0</v>
      </c>
      <c r="PK2" s="87">
        <f t="shared" si="6"/>
        <v>0</v>
      </c>
      <c r="PL2" s="87">
        <f t="shared" si="6"/>
        <v>0</v>
      </c>
      <c r="PM2" s="87">
        <f t="shared" si="6"/>
        <v>0</v>
      </c>
      <c r="PN2" s="87">
        <f t="shared" si="6"/>
        <v>0</v>
      </c>
      <c r="PO2" s="87">
        <f t="shared" si="6"/>
        <v>0</v>
      </c>
      <c r="PP2" s="87">
        <f t="shared" si="6"/>
        <v>0</v>
      </c>
      <c r="PQ2" s="87">
        <f t="shared" si="6"/>
        <v>0</v>
      </c>
      <c r="PR2" s="87">
        <f t="shared" si="6"/>
        <v>0</v>
      </c>
      <c r="PS2" s="87">
        <f t="shared" si="6"/>
        <v>0</v>
      </c>
      <c r="PT2" s="87">
        <f t="shared" si="6"/>
        <v>0</v>
      </c>
      <c r="PU2" s="87">
        <f t="shared" ref="PU2:SF2" si="7">SUM(PU11:PU72)</f>
        <v>0</v>
      </c>
      <c r="PV2" s="87">
        <f t="shared" si="7"/>
        <v>0</v>
      </c>
      <c r="PW2" s="87">
        <f t="shared" si="7"/>
        <v>0</v>
      </c>
      <c r="PX2" s="87">
        <f t="shared" si="7"/>
        <v>0</v>
      </c>
      <c r="PY2" s="87">
        <f t="shared" si="7"/>
        <v>0</v>
      </c>
      <c r="PZ2" s="87">
        <f t="shared" si="7"/>
        <v>0</v>
      </c>
      <c r="QA2" s="87">
        <f t="shared" si="7"/>
        <v>0</v>
      </c>
      <c r="QB2" s="87">
        <f t="shared" si="7"/>
        <v>0</v>
      </c>
      <c r="QC2" s="87">
        <f t="shared" si="7"/>
        <v>0</v>
      </c>
      <c r="QD2" s="87">
        <f t="shared" si="7"/>
        <v>0</v>
      </c>
      <c r="QE2" s="87">
        <f t="shared" si="7"/>
        <v>0</v>
      </c>
      <c r="QF2" s="87">
        <f t="shared" si="7"/>
        <v>0</v>
      </c>
      <c r="QG2" s="87">
        <f t="shared" si="7"/>
        <v>0</v>
      </c>
      <c r="QH2" s="87">
        <f t="shared" si="7"/>
        <v>0</v>
      </c>
      <c r="QI2" s="87">
        <f t="shared" si="7"/>
        <v>0</v>
      </c>
      <c r="QJ2" s="87">
        <f t="shared" si="7"/>
        <v>0</v>
      </c>
      <c r="QK2" s="87">
        <f t="shared" si="7"/>
        <v>0</v>
      </c>
      <c r="QL2" s="87">
        <f t="shared" si="7"/>
        <v>0</v>
      </c>
      <c r="QM2" s="87">
        <f t="shared" si="7"/>
        <v>0</v>
      </c>
      <c r="QN2" s="87">
        <f t="shared" si="7"/>
        <v>0</v>
      </c>
      <c r="QO2" s="87">
        <f t="shared" si="7"/>
        <v>0</v>
      </c>
      <c r="QP2" s="87">
        <f t="shared" si="7"/>
        <v>0</v>
      </c>
      <c r="QQ2" s="87">
        <f t="shared" si="7"/>
        <v>0</v>
      </c>
      <c r="QR2" s="87">
        <f t="shared" si="7"/>
        <v>0</v>
      </c>
      <c r="QS2" s="87">
        <f t="shared" si="7"/>
        <v>0</v>
      </c>
      <c r="QT2" s="87">
        <f t="shared" si="7"/>
        <v>0</v>
      </c>
      <c r="QU2" s="87">
        <f t="shared" si="7"/>
        <v>0</v>
      </c>
      <c r="QV2" s="87">
        <f t="shared" si="7"/>
        <v>0</v>
      </c>
      <c r="QW2" s="87">
        <f t="shared" si="7"/>
        <v>0</v>
      </c>
      <c r="QX2" s="87">
        <f t="shared" si="7"/>
        <v>0</v>
      </c>
      <c r="QY2" s="87">
        <f t="shared" si="7"/>
        <v>0</v>
      </c>
      <c r="QZ2" s="87">
        <f t="shared" si="7"/>
        <v>0</v>
      </c>
      <c r="RA2" s="87">
        <f t="shared" si="7"/>
        <v>0</v>
      </c>
      <c r="RB2" s="87">
        <f t="shared" si="7"/>
        <v>0</v>
      </c>
      <c r="RC2" s="87">
        <f t="shared" si="7"/>
        <v>0</v>
      </c>
      <c r="RD2" s="87">
        <f t="shared" si="7"/>
        <v>0</v>
      </c>
      <c r="RE2" s="87">
        <f t="shared" si="7"/>
        <v>0</v>
      </c>
      <c r="RF2" s="87">
        <f t="shared" si="7"/>
        <v>0</v>
      </c>
      <c r="RG2" s="87">
        <f t="shared" si="7"/>
        <v>0</v>
      </c>
      <c r="RH2" s="87">
        <f t="shared" si="7"/>
        <v>0</v>
      </c>
      <c r="RI2" s="87">
        <f t="shared" si="7"/>
        <v>0</v>
      </c>
      <c r="RJ2" s="87">
        <f t="shared" si="7"/>
        <v>0</v>
      </c>
      <c r="RK2" s="87">
        <f t="shared" si="7"/>
        <v>0</v>
      </c>
      <c r="RL2" s="87">
        <f t="shared" si="7"/>
        <v>0</v>
      </c>
      <c r="RM2" s="87">
        <f t="shared" si="7"/>
        <v>0</v>
      </c>
      <c r="RN2" s="87">
        <f t="shared" si="7"/>
        <v>0</v>
      </c>
      <c r="RO2" s="87">
        <f t="shared" si="7"/>
        <v>0</v>
      </c>
      <c r="RP2" s="87">
        <f t="shared" si="7"/>
        <v>0</v>
      </c>
      <c r="RQ2" s="87">
        <f t="shared" si="7"/>
        <v>0</v>
      </c>
      <c r="RR2" s="87">
        <f t="shared" si="7"/>
        <v>0</v>
      </c>
      <c r="RS2" s="87">
        <f t="shared" si="7"/>
        <v>0</v>
      </c>
      <c r="RT2" s="87">
        <f t="shared" si="7"/>
        <v>0</v>
      </c>
      <c r="RU2" s="87">
        <f t="shared" si="7"/>
        <v>0</v>
      </c>
      <c r="RV2" s="87">
        <f t="shared" si="7"/>
        <v>0</v>
      </c>
      <c r="RW2" s="87">
        <f t="shared" si="7"/>
        <v>0</v>
      </c>
      <c r="RX2" s="87">
        <f t="shared" si="7"/>
        <v>0</v>
      </c>
      <c r="RY2" s="87">
        <f t="shared" si="7"/>
        <v>0</v>
      </c>
      <c r="RZ2" s="87">
        <f t="shared" si="7"/>
        <v>0</v>
      </c>
      <c r="SA2" s="87">
        <f t="shared" si="7"/>
        <v>0</v>
      </c>
      <c r="SB2" s="87">
        <f t="shared" si="7"/>
        <v>0</v>
      </c>
      <c r="SC2" s="87">
        <f t="shared" si="7"/>
        <v>0</v>
      </c>
      <c r="SD2" s="87">
        <f t="shared" si="7"/>
        <v>0</v>
      </c>
      <c r="SE2" s="87">
        <f t="shared" si="7"/>
        <v>0</v>
      </c>
      <c r="SF2" s="87">
        <f t="shared" si="7"/>
        <v>0</v>
      </c>
      <c r="SG2" s="87">
        <f t="shared" ref="SG2:UR2" si="8">SUM(SG11:SG72)</f>
        <v>0</v>
      </c>
      <c r="SH2" s="87">
        <f t="shared" si="8"/>
        <v>0</v>
      </c>
      <c r="SI2" s="87">
        <f t="shared" si="8"/>
        <v>0</v>
      </c>
      <c r="SJ2" s="87">
        <f t="shared" si="8"/>
        <v>0</v>
      </c>
      <c r="SK2" s="87">
        <f t="shared" si="8"/>
        <v>0</v>
      </c>
      <c r="SL2" s="87">
        <f t="shared" si="8"/>
        <v>0</v>
      </c>
      <c r="SM2" s="87">
        <f t="shared" si="8"/>
        <v>0</v>
      </c>
      <c r="SN2" s="87">
        <f t="shared" si="8"/>
        <v>0</v>
      </c>
      <c r="SO2" s="87">
        <f t="shared" si="8"/>
        <v>0</v>
      </c>
      <c r="SP2" s="87">
        <f t="shared" si="8"/>
        <v>0</v>
      </c>
      <c r="SQ2" s="87">
        <f t="shared" si="8"/>
        <v>0</v>
      </c>
      <c r="SR2" s="87">
        <f t="shared" si="8"/>
        <v>0</v>
      </c>
      <c r="SS2" s="87">
        <f t="shared" si="8"/>
        <v>0</v>
      </c>
      <c r="ST2" s="87">
        <f t="shared" si="8"/>
        <v>0</v>
      </c>
      <c r="SU2" s="87">
        <f t="shared" si="8"/>
        <v>0</v>
      </c>
      <c r="SV2" s="87">
        <f t="shared" si="8"/>
        <v>0</v>
      </c>
      <c r="SW2" s="87">
        <f t="shared" si="8"/>
        <v>0</v>
      </c>
      <c r="SX2" s="87">
        <f t="shared" si="8"/>
        <v>0</v>
      </c>
      <c r="SY2" s="87">
        <f t="shared" si="8"/>
        <v>0</v>
      </c>
      <c r="SZ2" s="87">
        <f t="shared" si="8"/>
        <v>0</v>
      </c>
      <c r="TA2" s="87">
        <f t="shared" si="8"/>
        <v>0</v>
      </c>
      <c r="TB2" s="87">
        <f t="shared" si="8"/>
        <v>0</v>
      </c>
      <c r="TC2" s="87">
        <f t="shared" si="8"/>
        <v>0</v>
      </c>
      <c r="TD2" s="87">
        <f t="shared" si="8"/>
        <v>0</v>
      </c>
      <c r="TE2" s="87">
        <f t="shared" si="8"/>
        <v>0</v>
      </c>
      <c r="TF2" s="87">
        <f t="shared" si="8"/>
        <v>0</v>
      </c>
      <c r="TG2" s="87">
        <f t="shared" si="8"/>
        <v>0</v>
      </c>
      <c r="TH2" s="87">
        <f t="shared" si="8"/>
        <v>0</v>
      </c>
      <c r="TI2" s="87">
        <f t="shared" si="8"/>
        <v>0</v>
      </c>
      <c r="TJ2" s="87">
        <f t="shared" si="8"/>
        <v>0</v>
      </c>
      <c r="TK2" s="87">
        <f t="shared" si="8"/>
        <v>0</v>
      </c>
      <c r="TL2" s="87">
        <f t="shared" si="8"/>
        <v>0</v>
      </c>
      <c r="TM2" s="87">
        <f t="shared" si="8"/>
        <v>0</v>
      </c>
      <c r="TN2" s="87">
        <f t="shared" si="8"/>
        <v>0</v>
      </c>
      <c r="TO2" s="87">
        <f t="shared" si="8"/>
        <v>0</v>
      </c>
      <c r="TP2" s="87">
        <f t="shared" si="8"/>
        <v>0</v>
      </c>
      <c r="TQ2" s="87">
        <f t="shared" si="8"/>
        <v>0</v>
      </c>
      <c r="TR2" s="87">
        <f t="shared" si="8"/>
        <v>0</v>
      </c>
      <c r="TS2" s="87">
        <f t="shared" si="8"/>
        <v>0</v>
      </c>
      <c r="TT2" s="87">
        <f t="shared" si="8"/>
        <v>0</v>
      </c>
      <c r="TU2" s="87">
        <f t="shared" si="8"/>
        <v>0</v>
      </c>
      <c r="TV2" s="87">
        <f t="shared" si="8"/>
        <v>0</v>
      </c>
      <c r="TW2" s="87">
        <f t="shared" si="8"/>
        <v>0</v>
      </c>
      <c r="TX2" s="87">
        <f t="shared" si="8"/>
        <v>0</v>
      </c>
      <c r="TY2" s="87">
        <f t="shared" si="8"/>
        <v>0</v>
      </c>
      <c r="TZ2" s="87">
        <f t="shared" si="8"/>
        <v>0</v>
      </c>
      <c r="UA2" s="87">
        <f t="shared" si="8"/>
        <v>0</v>
      </c>
      <c r="UB2" s="87">
        <f t="shared" si="8"/>
        <v>0</v>
      </c>
      <c r="UC2" s="87">
        <f t="shared" si="8"/>
        <v>0</v>
      </c>
      <c r="UD2" s="87">
        <f t="shared" si="8"/>
        <v>0</v>
      </c>
      <c r="UE2" s="87">
        <f t="shared" si="8"/>
        <v>0</v>
      </c>
      <c r="UF2" s="87">
        <f t="shared" si="8"/>
        <v>0</v>
      </c>
      <c r="UG2" s="87">
        <f t="shared" si="8"/>
        <v>0</v>
      </c>
      <c r="UH2" s="87">
        <f t="shared" si="8"/>
        <v>0</v>
      </c>
      <c r="UI2" s="87">
        <f t="shared" si="8"/>
        <v>0</v>
      </c>
      <c r="UJ2" s="87">
        <f t="shared" si="8"/>
        <v>0</v>
      </c>
      <c r="UK2" s="87">
        <f t="shared" si="8"/>
        <v>0</v>
      </c>
      <c r="UL2" s="87">
        <f t="shared" si="8"/>
        <v>0</v>
      </c>
      <c r="UM2" s="87">
        <f t="shared" si="8"/>
        <v>0</v>
      </c>
      <c r="UN2" s="87">
        <f t="shared" si="8"/>
        <v>0</v>
      </c>
      <c r="UO2" s="87">
        <f t="shared" si="8"/>
        <v>0</v>
      </c>
      <c r="UP2" s="87">
        <f t="shared" si="8"/>
        <v>0</v>
      </c>
      <c r="UQ2" s="87">
        <f t="shared" si="8"/>
        <v>0</v>
      </c>
      <c r="UR2" s="87">
        <f t="shared" si="8"/>
        <v>0</v>
      </c>
      <c r="US2" s="87">
        <f t="shared" ref="US2:XD2" si="9">SUM(US11:US72)</f>
        <v>0</v>
      </c>
      <c r="UT2" s="87">
        <f t="shared" si="9"/>
        <v>0</v>
      </c>
      <c r="UU2" s="87">
        <f t="shared" si="9"/>
        <v>0</v>
      </c>
      <c r="UV2" s="87">
        <f t="shared" si="9"/>
        <v>0</v>
      </c>
      <c r="UW2" s="87">
        <f t="shared" si="9"/>
        <v>0</v>
      </c>
      <c r="UX2" s="87">
        <f t="shared" si="9"/>
        <v>0</v>
      </c>
      <c r="UY2" s="87">
        <f t="shared" si="9"/>
        <v>0</v>
      </c>
      <c r="UZ2" s="87">
        <f t="shared" si="9"/>
        <v>0</v>
      </c>
      <c r="VA2" s="87">
        <f t="shared" si="9"/>
        <v>0</v>
      </c>
      <c r="VB2" s="87">
        <f t="shared" si="9"/>
        <v>0</v>
      </c>
      <c r="VC2" s="87">
        <f t="shared" si="9"/>
        <v>0</v>
      </c>
      <c r="VD2" s="87">
        <f t="shared" si="9"/>
        <v>0</v>
      </c>
      <c r="VE2" s="87">
        <f t="shared" si="9"/>
        <v>0</v>
      </c>
      <c r="VF2" s="87">
        <f t="shared" si="9"/>
        <v>0</v>
      </c>
      <c r="VG2" s="87">
        <f t="shared" si="9"/>
        <v>0</v>
      </c>
      <c r="VH2" s="87">
        <f t="shared" si="9"/>
        <v>0</v>
      </c>
      <c r="VI2" s="87">
        <f t="shared" si="9"/>
        <v>0</v>
      </c>
      <c r="VJ2" s="87">
        <f t="shared" si="9"/>
        <v>0</v>
      </c>
      <c r="VK2" s="87">
        <f t="shared" si="9"/>
        <v>0</v>
      </c>
      <c r="VL2" s="87">
        <f t="shared" si="9"/>
        <v>0</v>
      </c>
      <c r="VM2" s="87">
        <f t="shared" si="9"/>
        <v>0</v>
      </c>
      <c r="VN2" s="87">
        <f t="shared" si="9"/>
        <v>0</v>
      </c>
      <c r="VO2" s="87">
        <f t="shared" si="9"/>
        <v>0</v>
      </c>
      <c r="VP2" s="87">
        <f t="shared" si="9"/>
        <v>0</v>
      </c>
      <c r="VQ2" s="87">
        <f t="shared" si="9"/>
        <v>0</v>
      </c>
      <c r="VR2" s="87">
        <f t="shared" si="9"/>
        <v>0</v>
      </c>
      <c r="VS2" s="87">
        <f t="shared" si="9"/>
        <v>0</v>
      </c>
      <c r="VT2" s="87">
        <f t="shared" si="9"/>
        <v>0</v>
      </c>
      <c r="VU2" s="87">
        <f t="shared" si="9"/>
        <v>0</v>
      </c>
      <c r="VV2" s="87">
        <f t="shared" si="9"/>
        <v>0</v>
      </c>
      <c r="VW2" s="87">
        <f t="shared" si="9"/>
        <v>0</v>
      </c>
      <c r="VX2" s="87">
        <f t="shared" si="9"/>
        <v>0</v>
      </c>
      <c r="VY2" s="87">
        <f t="shared" si="9"/>
        <v>0</v>
      </c>
      <c r="VZ2" s="87">
        <f t="shared" si="9"/>
        <v>0</v>
      </c>
      <c r="WA2" s="87">
        <f t="shared" si="9"/>
        <v>0</v>
      </c>
      <c r="WB2" s="87">
        <f t="shared" si="9"/>
        <v>0</v>
      </c>
      <c r="WC2" s="87">
        <f t="shared" si="9"/>
        <v>0</v>
      </c>
      <c r="WD2" s="87">
        <f t="shared" si="9"/>
        <v>0</v>
      </c>
      <c r="WE2" s="87">
        <f t="shared" si="9"/>
        <v>0</v>
      </c>
      <c r="WF2" s="87">
        <f t="shared" si="9"/>
        <v>0</v>
      </c>
      <c r="WG2" s="87">
        <f t="shared" si="9"/>
        <v>0</v>
      </c>
      <c r="WH2" s="87">
        <f t="shared" si="9"/>
        <v>0</v>
      </c>
      <c r="WI2" s="87">
        <f t="shared" si="9"/>
        <v>0</v>
      </c>
      <c r="WJ2" s="87">
        <f t="shared" si="9"/>
        <v>0</v>
      </c>
      <c r="WK2" s="87">
        <f t="shared" si="9"/>
        <v>0</v>
      </c>
      <c r="WL2" s="87">
        <f t="shared" si="9"/>
        <v>0</v>
      </c>
      <c r="WM2" s="87">
        <f t="shared" si="9"/>
        <v>0</v>
      </c>
      <c r="WN2" s="87">
        <f t="shared" si="9"/>
        <v>0</v>
      </c>
      <c r="WO2" s="87">
        <f t="shared" si="9"/>
        <v>0</v>
      </c>
      <c r="WP2" s="87">
        <f t="shared" si="9"/>
        <v>0</v>
      </c>
      <c r="WQ2" s="87">
        <f t="shared" si="9"/>
        <v>0</v>
      </c>
      <c r="WR2" s="87">
        <f t="shared" si="9"/>
        <v>0</v>
      </c>
      <c r="WS2" s="87">
        <f t="shared" si="9"/>
        <v>0</v>
      </c>
      <c r="WT2" s="87">
        <f t="shared" si="9"/>
        <v>0</v>
      </c>
      <c r="WU2" s="87">
        <f t="shared" si="9"/>
        <v>0</v>
      </c>
      <c r="WV2" s="87">
        <f t="shared" si="9"/>
        <v>0</v>
      </c>
      <c r="WW2" s="87">
        <f t="shared" si="9"/>
        <v>0</v>
      </c>
      <c r="WX2" s="87">
        <f t="shared" si="9"/>
        <v>0</v>
      </c>
      <c r="WY2" s="87">
        <f t="shared" si="9"/>
        <v>0</v>
      </c>
      <c r="WZ2" s="87">
        <f t="shared" si="9"/>
        <v>0</v>
      </c>
      <c r="XA2" s="87">
        <f t="shared" si="9"/>
        <v>0</v>
      </c>
      <c r="XB2" s="87">
        <f t="shared" si="9"/>
        <v>0</v>
      </c>
      <c r="XC2" s="87">
        <f t="shared" si="9"/>
        <v>0</v>
      </c>
      <c r="XD2" s="87">
        <f t="shared" si="9"/>
        <v>0</v>
      </c>
      <c r="XE2" s="87">
        <f t="shared" ref="XE2:ZP2" si="10">SUM(XE11:XE72)</f>
        <v>0</v>
      </c>
      <c r="XF2" s="87">
        <f t="shared" si="10"/>
        <v>0</v>
      </c>
      <c r="XG2" s="87">
        <f t="shared" si="10"/>
        <v>0</v>
      </c>
      <c r="XH2" s="87">
        <f t="shared" si="10"/>
        <v>0</v>
      </c>
      <c r="XI2" s="87">
        <f t="shared" si="10"/>
        <v>0</v>
      </c>
      <c r="XJ2" s="87">
        <f t="shared" si="10"/>
        <v>0</v>
      </c>
      <c r="XK2" s="87">
        <f t="shared" si="10"/>
        <v>0</v>
      </c>
      <c r="XL2" s="87">
        <f t="shared" si="10"/>
        <v>0</v>
      </c>
      <c r="XM2" s="87">
        <f t="shared" si="10"/>
        <v>0</v>
      </c>
      <c r="XN2" s="87">
        <f t="shared" si="10"/>
        <v>0</v>
      </c>
      <c r="XO2" s="87">
        <f t="shared" si="10"/>
        <v>0</v>
      </c>
      <c r="XP2" s="87">
        <f t="shared" si="10"/>
        <v>0</v>
      </c>
      <c r="XQ2" s="87">
        <f t="shared" si="10"/>
        <v>0</v>
      </c>
      <c r="XR2" s="87">
        <f t="shared" si="10"/>
        <v>0</v>
      </c>
      <c r="XS2" s="87">
        <f t="shared" si="10"/>
        <v>0</v>
      </c>
      <c r="XT2" s="87">
        <f t="shared" si="10"/>
        <v>0</v>
      </c>
      <c r="XU2" s="87">
        <f t="shared" si="10"/>
        <v>0</v>
      </c>
      <c r="XV2" s="87">
        <f t="shared" si="10"/>
        <v>0</v>
      </c>
      <c r="XW2" s="87">
        <f t="shared" si="10"/>
        <v>0</v>
      </c>
      <c r="XX2" s="87">
        <f t="shared" si="10"/>
        <v>0</v>
      </c>
      <c r="XY2" s="87">
        <f t="shared" si="10"/>
        <v>0</v>
      </c>
      <c r="XZ2" s="87">
        <f t="shared" si="10"/>
        <v>0</v>
      </c>
      <c r="YA2" s="87">
        <f t="shared" si="10"/>
        <v>0</v>
      </c>
      <c r="YB2" s="87">
        <f t="shared" si="10"/>
        <v>0</v>
      </c>
      <c r="YC2" s="87">
        <f t="shared" si="10"/>
        <v>0</v>
      </c>
      <c r="YD2" s="87">
        <f t="shared" si="10"/>
        <v>0</v>
      </c>
      <c r="YE2" s="87">
        <f t="shared" si="10"/>
        <v>0</v>
      </c>
      <c r="YF2" s="87">
        <f t="shared" si="10"/>
        <v>0</v>
      </c>
      <c r="YG2" s="87">
        <f t="shared" si="10"/>
        <v>0</v>
      </c>
      <c r="YH2" s="87">
        <f t="shared" si="10"/>
        <v>0</v>
      </c>
      <c r="YI2" s="87">
        <f t="shared" si="10"/>
        <v>0</v>
      </c>
      <c r="YJ2" s="87">
        <f t="shared" si="10"/>
        <v>0</v>
      </c>
      <c r="YK2" s="87">
        <f t="shared" si="10"/>
        <v>0</v>
      </c>
      <c r="YL2" s="87">
        <f t="shared" si="10"/>
        <v>0</v>
      </c>
      <c r="YM2" s="87">
        <f t="shared" si="10"/>
        <v>0</v>
      </c>
      <c r="YN2" s="87">
        <f t="shared" si="10"/>
        <v>0</v>
      </c>
      <c r="YO2" s="87">
        <f t="shared" si="10"/>
        <v>0</v>
      </c>
      <c r="YP2" s="87">
        <f t="shared" si="10"/>
        <v>0</v>
      </c>
      <c r="YQ2" s="87">
        <f t="shared" si="10"/>
        <v>0</v>
      </c>
      <c r="YR2" s="87">
        <f t="shared" si="10"/>
        <v>0</v>
      </c>
      <c r="YS2" s="87">
        <f t="shared" si="10"/>
        <v>0</v>
      </c>
      <c r="YT2" s="87">
        <f t="shared" si="10"/>
        <v>0</v>
      </c>
      <c r="YU2" s="87">
        <f t="shared" si="10"/>
        <v>0</v>
      </c>
      <c r="YV2" s="87">
        <f t="shared" si="10"/>
        <v>0</v>
      </c>
      <c r="YW2" s="87">
        <f t="shared" si="10"/>
        <v>0</v>
      </c>
      <c r="YX2" s="87">
        <f t="shared" si="10"/>
        <v>0</v>
      </c>
      <c r="YY2" s="87">
        <f t="shared" si="10"/>
        <v>0</v>
      </c>
      <c r="YZ2" s="87">
        <f t="shared" si="10"/>
        <v>0</v>
      </c>
      <c r="ZA2" s="87">
        <f t="shared" si="10"/>
        <v>0</v>
      </c>
      <c r="ZB2" s="87">
        <f t="shared" si="10"/>
        <v>0</v>
      </c>
      <c r="ZC2" s="87">
        <f t="shared" si="10"/>
        <v>0</v>
      </c>
      <c r="ZD2" s="87">
        <f t="shared" si="10"/>
        <v>0</v>
      </c>
      <c r="ZE2" s="87">
        <f t="shared" si="10"/>
        <v>0</v>
      </c>
      <c r="ZF2" s="87">
        <f t="shared" si="10"/>
        <v>0</v>
      </c>
      <c r="ZG2" s="87">
        <f t="shared" si="10"/>
        <v>0</v>
      </c>
      <c r="ZH2" s="87">
        <f t="shared" si="10"/>
        <v>0</v>
      </c>
      <c r="ZI2" s="87">
        <f t="shared" si="10"/>
        <v>0</v>
      </c>
      <c r="ZJ2" s="87">
        <f t="shared" si="10"/>
        <v>0</v>
      </c>
      <c r="ZK2" s="87">
        <f t="shared" si="10"/>
        <v>0</v>
      </c>
      <c r="ZL2" s="87">
        <f t="shared" si="10"/>
        <v>0</v>
      </c>
      <c r="ZM2" s="87">
        <f t="shared" si="10"/>
        <v>0</v>
      </c>
      <c r="ZN2" s="87">
        <f t="shared" si="10"/>
        <v>0</v>
      </c>
      <c r="ZO2" s="87">
        <f t="shared" si="10"/>
        <v>0</v>
      </c>
      <c r="ZP2" s="87">
        <f t="shared" si="10"/>
        <v>0</v>
      </c>
      <c r="ZQ2" s="87">
        <f t="shared" ref="ZQ2:ACB2" si="11">SUM(ZQ11:ZQ72)</f>
        <v>0</v>
      </c>
      <c r="ZR2" s="87">
        <f t="shared" si="11"/>
        <v>0</v>
      </c>
      <c r="ZS2" s="87">
        <f t="shared" si="11"/>
        <v>0</v>
      </c>
      <c r="ZT2" s="87">
        <f t="shared" si="11"/>
        <v>0</v>
      </c>
      <c r="ZU2" s="87">
        <f t="shared" si="11"/>
        <v>0</v>
      </c>
      <c r="ZV2" s="87">
        <f t="shared" si="11"/>
        <v>0</v>
      </c>
      <c r="ZW2" s="87">
        <f t="shared" si="11"/>
        <v>0</v>
      </c>
      <c r="ZX2" s="87">
        <f t="shared" si="11"/>
        <v>0</v>
      </c>
      <c r="ZY2" s="87">
        <f t="shared" si="11"/>
        <v>0</v>
      </c>
      <c r="ZZ2" s="87">
        <f t="shared" si="11"/>
        <v>0</v>
      </c>
      <c r="AAA2" s="87">
        <f t="shared" si="11"/>
        <v>0</v>
      </c>
      <c r="AAB2" s="87">
        <f t="shared" si="11"/>
        <v>0</v>
      </c>
      <c r="AAC2" s="87">
        <f t="shared" si="11"/>
        <v>0</v>
      </c>
      <c r="AAD2" s="87">
        <f t="shared" si="11"/>
        <v>0</v>
      </c>
      <c r="AAE2" s="87">
        <f t="shared" si="11"/>
        <v>0</v>
      </c>
      <c r="AAF2" s="87">
        <f t="shared" si="11"/>
        <v>0</v>
      </c>
      <c r="AAG2" s="87">
        <f t="shared" si="11"/>
        <v>0</v>
      </c>
      <c r="AAH2" s="87">
        <f t="shared" si="11"/>
        <v>0</v>
      </c>
      <c r="AAI2" s="87">
        <f t="shared" si="11"/>
        <v>0</v>
      </c>
      <c r="AAJ2" s="87">
        <f t="shared" si="11"/>
        <v>0</v>
      </c>
      <c r="AAK2" s="87">
        <f t="shared" si="11"/>
        <v>0</v>
      </c>
      <c r="AAL2" s="87">
        <f t="shared" si="11"/>
        <v>0</v>
      </c>
      <c r="AAM2" s="87">
        <f t="shared" si="11"/>
        <v>0</v>
      </c>
      <c r="AAN2" s="87">
        <f t="shared" si="11"/>
        <v>0</v>
      </c>
      <c r="AAO2" s="87">
        <f t="shared" si="11"/>
        <v>0</v>
      </c>
      <c r="AAP2" s="87">
        <f t="shared" si="11"/>
        <v>0</v>
      </c>
      <c r="AAQ2" s="87">
        <f t="shared" si="11"/>
        <v>0</v>
      </c>
      <c r="AAR2" s="87">
        <f t="shared" si="11"/>
        <v>0</v>
      </c>
      <c r="AAS2" s="87">
        <f t="shared" si="11"/>
        <v>0</v>
      </c>
      <c r="AAT2" s="87">
        <f t="shared" si="11"/>
        <v>0</v>
      </c>
      <c r="AAU2" s="87">
        <f t="shared" si="11"/>
        <v>0</v>
      </c>
      <c r="AAV2" s="87">
        <f t="shared" si="11"/>
        <v>0</v>
      </c>
      <c r="AAW2" s="87">
        <f t="shared" si="11"/>
        <v>0</v>
      </c>
      <c r="AAX2" s="87">
        <f t="shared" si="11"/>
        <v>0</v>
      </c>
      <c r="AAY2" s="87">
        <f t="shared" si="11"/>
        <v>0</v>
      </c>
      <c r="AAZ2" s="87">
        <f t="shared" si="11"/>
        <v>0</v>
      </c>
      <c r="ABA2" s="87">
        <f t="shared" si="11"/>
        <v>0</v>
      </c>
      <c r="ABB2" s="87">
        <f t="shared" si="11"/>
        <v>0</v>
      </c>
      <c r="ABC2" s="87">
        <f t="shared" si="11"/>
        <v>0</v>
      </c>
      <c r="ABD2" s="87">
        <f t="shared" si="11"/>
        <v>0</v>
      </c>
      <c r="ABE2" s="87">
        <f t="shared" si="11"/>
        <v>0</v>
      </c>
      <c r="ABF2" s="87">
        <f t="shared" si="11"/>
        <v>0</v>
      </c>
      <c r="ABG2" s="87">
        <f t="shared" si="11"/>
        <v>0</v>
      </c>
      <c r="ABH2" s="87">
        <f t="shared" si="11"/>
        <v>0</v>
      </c>
      <c r="ABI2" s="87">
        <f t="shared" si="11"/>
        <v>0</v>
      </c>
      <c r="ABJ2" s="87">
        <f t="shared" si="11"/>
        <v>0</v>
      </c>
      <c r="ABK2" s="87">
        <f t="shared" si="11"/>
        <v>0</v>
      </c>
      <c r="ABL2" s="87">
        <f t="shared" si="11"/>
        <v>0</v>
      </c>
      <c r="ABM2" s="87">
        <f t="shared" si="11"/>
        <v>0</v>
      </c>
      <c r="ABN2" s="87">
        <f t="shared" si="11"/>
        <v>0</v>
      </c>
      <c r="ABO2" s="87">
        <f t="shared" si="11"/>
        <v>0</v>
      </c>
      <c r="ABP2" s="87">
        <f t="shared" si="11"/>
        <v>0</v>
      </c>
      <c r="ABQ2" s="87">
        <f t="shared" si="11"/>
        <v>0</v>
      </c>
      <c r="ABR2" s="87">
        <f t="shared" si="11"/>
        <v>0</v>
      </c>
      <c r="ABS2" s="87">
        <f t="shared" si="11"/>
        <v>0</v>
      </c>
      <c r="ABT2" s="87">
        <f t="shared" si="11"/>
        <v>0</v>
      </c>
      <c r="ABU2" s="87">
        <f t="shared" si="11"/>
        <v>0</v>
      </c>
      <c r="ABV2" s="87">
        <f t="shared" si="11"/>
        <v>0</v>
      </c>
      <c r="ABW2" s="87">
        <f t="shared" si="11"/>
        <v>0</v>
      </c>
      <c r="ABX2" s="87">
        <f t="shared" si="11"/>
        <v>0</v>
      </c>
      <c r="ABY2" s="87">
        <f t="shared" si="11"/>
        <v>0</v>
      </c>
      <c r="ABZ2" s="87">
        <f t="shared" si="11"/>
        <v>0</v>
      </c>
      <c r="ACA2" s="87">
        <f t="shared" si="11"/>
        <v>0</v>
      </c>
      <c r="ACB2" s="87">
        <f t="shared" si="11"/>
        <v>0</v>
      </c>
      <c r="ACC2" s="87">
        <f t="shared" ref="ACC2:AEN2" si="12">SUM(ACC11:ACC72)</f>
        <v>0</v>
      </c>
      <c r="ACD2" s="87">
        <f t="shared" si="12"/>
        <v>0</v>
      </c>
      <c r="ACE2" s="87">
        <f t="shared" si="12"/>
        <v>0</v>
      </c>
      <c r="ACF2" s="87">
        <f t="shared" si="12"/>
        <v>0</v>
      </c>
      <c r="ACG2" s="87">
        <f t="shared" si="12"/>
        <v>0</v>
      </c>
      <c r="ACH2" s="87">
        <f t="shared" si="12"/>
        <v>0</v>
      </c>
      <c r="ACI2" s="87">
        <f t="shared" si="12"/>
        <v>0</v>
      </c>
      <c r="ACJ2" s="87">
        <f t="shared" si="12"/>
        <v>0</v>
      </c>
      <c r="ACK2" s="87">
        <f t="shared" si="12"/>
        <v>0</v>
      </c>
      <c r="ACL2" s="87">
        <f t="shared" si="12"/>
        <v>0</v>
      </c>
      <c r="ACM2" s="87">
        <f t="shared" si="12"/>
        <v>0</v>
      </c>
      <c r="ACN2" s="87">
        <f t="shared" si="12"/>
        <v>0</v>
      </c>
      <c r="ACO2" s="87">
        <f t="shared" si="12"/>
        <v>0</v>
      </c>
      <c r="ACP2" s="87">
        <f t="shared" si="12"/>
        <v>0</v>
      </c>
      <c r="ACQ2" s="87">
        <f t="shared" si="12"/>
        <v>0</v>
      </c>
      <c r="ACR2" s="87">
        <f t="shared" si="12"/>
        <v>0</v>
      </c>
      <c r="ACS2" s="87">
        <f t="shared" si="12"/>
        <v>0</v>
      </c>
      <c r="ACT2" s="87">
        <f t="shared" si="12"/>
        <v>0</v>
      </c>
      <c r="ACU2" s="87">
        <f t="shared" si="12"/>
        <v>0</v>
      </c>
      <c r="ACV2" s="87">
        <f t="shared" si="12"/>
        <v>0</v>
      </c>
      <c r="ACW2" s="87">
        <f t="shared" si="12"/>
        <v>0</v>
      </c>
      <c r="ACX2" s="87">
        <f t="shared" si="12"/>
        <v>0</v>
      </c>
      <c r="ACY2" s="87">
        <f t="shared" si="12"/>
        <v>0</v>
      </c>
      <c r="ACZ2" s="87">
        <f t="shared" si="12"/>
        <v>0</v>
      </c>
      <c r="ADA2" s="87">
        <f t="shared" si="12"/>
        <v>0</v>
      </c>
      <c r="ADB2" s="87">
        <f t="shared" si="12"/>
        <v>0</v>
      </c>
      <c r="ADC2" s="87">
        <f t="shared" si="12"/>
        <v>0</v>
      </c>
      <c r="ADD2" s="87">
        <f t="shared" si="12"/>
        <v>0</v>
      </c>
      <c r="ADE2" s="87">
        <f t="shared" si="12"/>
        <v>0</v>
      </c>
      <c r="ADF2" s="87">
        <f t="shared" si="12"/>
        <v>0</v>
      </c>
      <c r="ADG2" s="87">
        <f t="shared" si="12"/>
        <v>0</v>
      </c>
      <c r="ADH2" s="87">
        <f t="shared" si="12"/>
        <v>0</v>
      </c>
      <c r="ADI2" s="87">
        <f t="shared" si="12"/>
        <v>0</v>
      </c>
      <c r="ADJ2" s="87">
        <f t="shared" si="12"/>
        <v>0</v>
      </c>
      <c r="ADK2" s="87">
        <f t="shared" si="12"/>
        <v>0</v>
      </c>
      <c r="ADL2" s="87">
        <f t="shared" si="12"/>
        <v>0</v>
      </c>
      <c r="ADM2" s="87">
        <f t="shared" si="12"/>
        <v>0</v>
      </c>
      <c r="ADN2" s="87">
        <f t="shared" si="12"/>
        <v>0</v>
      </c>
      <c r="ADO2" s="87">
        <f t="shared" si="12"/>
        <v>0</v>
      </c>
      <c r="ADP2" s="87">
        <f t="shared" si="12"/>
        <v>0</v>
      </c>
      <c r="ADQ2" s="87">
        <f t="shared" si="12"/>
        <v>0</v>
      </c>
      <c r="ADR2" s="87">
        <f t="shared" si="12"/>
        <v>0</v>
      </c>
      <c r="ADS2" s="87">
        <f t="shared" si="12"/>
        <v>0</v>
      </c>
      <c r="ADT2" s="87">
        <f t="shared" si="12"/>
        <v>0</v>
      </c>
      <c r="ADU2" s="87">
        <f t="shared" si="12"/>
        <v>0</v>
      </c>
      <c r="ADV2" s="87">
        <f t="shared" si="12"/>
        <v>0</v>
      </c>
      <c r="ADW2" s="87">
        <f t="shared" si="12"/>
        <v>0</v>
      </c>
      <c r="ADX2" s="87">
        <f t="shared" si="12"/>
        <v>0</v>
      </c>
      <c r="ADY2" s="87">
        <f t="shared" si="12"/>
        <v>0</v>
      </c>
      <c r="ADZ2" s="87">
        <f t="shared" si="12"/>
        <v>0</v>
      </c>
      <c r="AEA2" s="87">
        <f t="shared" si="12"/>
        <v>0</v>
      </c>
      <c r="AEB2" s="87">
        <f t="shared" si="12"/>
        <v>0</v>
      </c>
      <c r="AEC2" s="87">
        <f t="shared" si="12"/>
        <v>0</v>
      </c>
      <c r="AED2" s="87">
        <f t="shared" si="12"/>
        <v>0</v>
      </c>
      <c r="AEE2" s="87">
        <f t="shared" si="12"/>
        <v>0</v>
      </c>
      <c r="AEF2" s="87">
        <f t="shared" si="12"/>
        <v>0</v>
      </c>
      <c r="AEG2" s="87">
        <f t="shared" si="12"/>
        <v>0</v>
      </c>
      <c r="AEH2" s="87">
        <f t="shared" si="12"/>
        <v>0</v>
      </c>
      <c r="AEI2" s="87">
        <f t="shared" si="12"/>
        <v>0</v>
      </c>
      <c r="AEJ2" s="87">
        <f t="shared" si="12"/>
        <v>0</v>
      </c>
      <c r="AEK2" s="87">
        <f t="shared" si="12"/>
        <v>0</v>
      </c>
      <c r="AEL2" s="87">
        <f t="shared" si="12"/>
        <v>0</v>
      </c>
      <c r="AEM2" s="87">
        <f t="shared" si="12"/>
        <v>0</v>
      </c>
      <c r="AEN2" s="87">
        <f t="shared" si="12"/>
        <v>0</v>
      </c>
      <c r="AEO2" s="87">
        <f t="shared" ref="AEO2:AGZ2" si="13">SUM(AEO11:AEO72)</f>
        <v>0</v>
      </c>
      <c r="AEP2" s="87">
        <f t="shared" si="13"/>
        <v>0</v>
      </c>
      <c r="AEQ2" s="87">
        <f t="shared" si="13"/>
        <v>0</v>
      </c>
      <c r="AER2" s="87">
        <f t="shared" si="13"/>
        <v>0</v>
      </c>
      <c r="AES2" s="87">
        <f t="shared" si="13"/>
        <v>0</v>
      </c>
      <c r="AET2" s="87">
        <f t="shared" si="13"/>
        <v>0</v>
      </c>
      <c r="AEU2" s="87">
        <f t="shared" si="13"/>
        <v>0</v>
      </c>
      <c r="AEV2" s="87">
        <f t="shared" si="13"/>
        <v>0</v>
      </c>
      <c r="AEW2" s="87">
        <f t="shared" si="13"/>
        <v>0</v>
      </c>
      <c r="AEX2" s="87">
        <f t="shared" si="13"/>
        <v>0</v>
      </c>
      <c r="AEY2" s="87">
        <f t="shared" si="13"/>
        <v>0</v>
      </c>
      <c r="AEZ2" s="87">
        <f t="shared" si="13"/>
        <v>0</v>
      </c>
      <c r="AFA2" s="87">
        <f t="shared" si="13"/>
        <v>0</v>
      </c>
      <c r="AFB2" s="87">
        <f t="shared" si="13"/>
        <v>0</v>
      </c>
      <c r="AFC2" s="87">
        <f t="shared" si="13"/>
        <v>0</v>
      </c>
      <c r="AFD2" s="87">
        <f t="shared" si="13"/>
        <v>0</v>
      </c>
      <c r="AFE2" s="87">
        <f t="shared" si="13"/>
        <v>0</v>
      </c>
      <c r="AFF2" s="87">
        <f t="shared" si="13"/>
        <v>0</v>
      </c>
      <c r="AFG2" s="87">
        <f t="shared" si="13"/>
        <v>0</v>
      </c>
      <c r="AFH2" s="87">
        <f t="shared" si="13"/>
        <v>0</v>
      </c>
      <c r="AFI2" s="87">
        <f t="shared" si="13"/>
        <v>0</v>
      </c>
      <c r="AFJ2" s="87">
        <f t="shared" si="13"/>
        <v>0</v>
      </c>
      <c r="AFK2" s="87">
        <f t="shared" si="13"/>
        <v>0</v>
      </c>
      <c r="AFL2" s="87">
        <f t="shared" si="13"/>
        <v>0</v>
      </c>
      <c r="AFM2" s="87">
        <f t="shared" si="13"/>
        <v>0</v>
      </c>
      <c r="AFN2" s="87">
        <f t="shared" si="13"/>
        <v>0</v>
      </c>
      <c r="AFO2" s="87">
        <f t="shared" si="13"/>
        <v>0</v>
      </c>
      <c r="AFP2" s="87">
        <f t="shared" si="13"/>
        <v>0</v>
      </c>
      <c r="AFQ2" s="87">
        <f t="shared" si="13"/>
        <v>0</v>
      </c>
      <c r="AFR2" s="87">
        <f t="shared" si="13"/>
        <v>0</v>
      </c>
      <c r="AFS2" s="87">
        <f t="shared" si="13"/>
        <v>0</v>
      </c>
      <c r="AFT2" s="87">
        <f t="shared" si="13"/>
        <v>0</v>
      </c>
      <c r="AFU2" s="87">
        <f t="shared" si="13"/>
        <v>0</v>
      </c>
      <c r="AFV2" s="87">
        <f t="shared" si="13"/>
        <v>0</v>
      </c>
      <c r="AFW2" s="87">
        <f t="shared" si="13"/>
        <v>0</v>
      </c>
      <c r="AFX2" s="87">
        <f t="shared" si="13"/>
        <v>0</v>
      </c>
      <c r="AFY2" s="87">
        <f t="shared" si="13"/>
        <v>0</v>
      </c>
      <c r="AFZ2" s="87">
        <f t="shared" si="13"/>
        <v>0</v>
      </c>
      <c r="AGA2" s="87">
        <f t="shared" si="13"/>
        <v>0</v>
      </c>
      <c r="AGB2" s="87">
        <f t="shared" si="13"/>
        <v>0</v>
      </c>
      <c r="AGC2" s="87">
        <f t="shared" si="13"/>
        <v>0</v>
      </c>
      <c r="AGD2" s="87">
        <f t="shared" si="13"/>
        <v>0</v>
      </c>
      <c r="AGE2" s="87">
        <f t="shared" si="13"/>
        <v>0</v>
      </c>
      <c r="AGF2" s="87">
        <f t="shared" si="13"/>
        <v>0</v>
      </c>
      <c r="AGG2" s="87">
        <f t="shared" si="13"/>
        <v>0</v>
      </c>
      <c r="AGH2" s="87">
        <f t="shared" si="13"/>
        <v>0</v>
      </c>
      <c r="AGI2" s="87">
        <f t="shared" si="13"/>
        <v>0</v>
      </c>
      <c r="AGJ2" s="87">
        <f t="shared" si="13"/>
        <v>0</v>
      </c>
      <c r="AGK2" s="87">
        <f t="shared" si="13"/>
        <v>0</v>
      </c>
      <c r="AGL2" s="87">
        <f t="shared" si="13"/>
        <v>0</v>
      </c>
      <c r="AGM2" s="87">
        <f t="shared" si="13"/>
        <v>0</v>
      </c>
      <c r="AGN2" s="87">
        <f t="shared" si="13"/>
        <v>0</v>
      </c>
      <c r="AGO2" s="87">
        <f t="shared" si="13"/>
        <v>0</v>
      </c>
      <c r="AGP2" s="87">
        <f t="shared" si="13"/>
        <v>0</v>
      </c>
      <c r="AGQ2" s="87">
        <f t="shared" si="13"/>
        <v>0</v>
      </c>
      <c r="AGR2" s="87">
        <f t="shared" si="13"/>
        <v>0</v>
      </c>
      <c r="AGS2" s="87">
        <f t="shared" si="13"/>
        <v>0</v>
      </c>
      <c r="AGT2" s="87">
        <f t="shared" si="13"/>
        <v>0</v>
      </c>
      <c r="AGU2" s="87">
        <f t="shared" si="13"/>
        <v>0</v>
      </c>
      <c r="AGV2" s="87">
        <f t="shared" si="13"/>
        <v>0</v>
      </c>
      <c r="AGW2" s="87">
        <f t="shared" si="13"/>
        <v>0</v>
      </c>
      <c r="AGX2" s="87">
        <f t="shared" si="13"/>
        <v>0</v>
      </c>
      <c r="AGY2" s="87">
        <f t="shared" si="13"/>
        <v>0</v>
      </c>
      <c r="AGZ2" s="87">
        <f t="shared" si="13"/>
        <v>0</v>
      </c>
      <c r="AHA2" s="87">
        <f t="shared" ref="AHA2:AJL2" si="14">SUM(AHA11:AHA72)</f>
        <v>0</v>
      </c>
      <c r="AHB2" s="87">
        <f t="shared" si="14"/>
        <v>0</v>
      </c>
      <c r="AHC2" s="87">
        <f t="shared" si="14"/>
        <v>0</v>
      </c>
      <c r="AHD2" s="87">
        <f t="shared" si="14"/>
        <v>0</v>
      </c>
      <c r="AHE2" s="87">
        <f t="shared" si="14"/>
        <v>0</v>
      </c>
      <c r="AHF2" s="87">
        <f t="shared" si="14"/>
        <v>0</v>
      </c>
      <c r="AHG2" s="87">
        <f t="shared" si="14"/>
        <v>0</v>
      </c>
      <c r="AHH2" s="87">
        <f t="shared" si="14"/>
        <v>0</v>
      </c>
      <c r="AHI2" s="87">
        <f t="shared" si="14"/>
        <v>0</v>
      </c>
      <c r="AHJ2" s="87">
        <f t="shared" si="14"/>
        <v>0</v>
      </c>
      <c r="AHK2" s="87">
        <f t="shared" si="14"/>
        <v>0</v>
      </c>
      <c r="AHL2" s="87">
        <f t="shared" si="14"/>
        <v>0</v>
      </c>
      <c r="AHM2" s="87">
        <f t="shared" si="14"/>
        <v>0</v>
      </c>
      <c r="AHN2" s="87">
        <f t="shared" si="14"/>
        <v>0</v>
      </c>
      <c r="AHO2" s="87">
        <f t="shared" si="14"/>
        <v>0</v>
      </c>
      <c r="AHP2" s="87">
        <f t="shared" si="14"/>
        <v>0</v>
      </c>
      <c r="AHQ2" s="87">
        <f t="shared" si="14"/>
        <v>0</v>
      </c>
      <c r="AHR2" s="87">
        <f t="shared" si="14"/>
        <v>0</v>
      </c>
      <c r="AHS2" s="87">
        <f t="shared" si="14"/>
        <v>0</v>
      </c>
      <c r="AHT2" s="87">
        <f t="shared" si="14"/>
        <v>0</v>
      </c>
      <c r="AHU2" s="87">
        <f t="shared" si="14"/>
        <v>0</v>
      </c>
      <c r="AHV2" s="87">
        <f t="shared" si="14"/>
        <v>0</v>
      </c>
      <c r="AHW2" s="87">
        <f t="shared" si="14"/>
        <v>0</v>
      </c>
      <c r="AHX2" s="87">
        <f t="shared" si="14"/>
        <v>0</v>
      </c>
      <c r="AHY2" s="87">
        <f t="shared" si="14"/>
        <v>0</v>
      </c>
      <c r="AHZ2" s="87">
        <f t="shared" si="14"/>
        <v>0</v>
      </c>
      <c r="AIA2" s="87">
        <f t="shared" si="14"/>
        <v>0</v>
      </c>
      <c r="AIB2" s="87">
        <f t="shared" si="14"/>
        <v>0</v>
      </c>
      <c r="AIC2" s="87">
        <f t="shared" si="14"/>
        <v>0</v>
      </c>
      <c r="AID2" s="87">
        <f t="shared" si="14"/>
        <v>0</v>
      </c>
      <c r="AIE2" s="87">
        <f t="shared" si="14"/>
        <v>0</v>
      </c>
      <c r="AIF2" s="87">
        <f t="shared" si="14"/>
        <v>0</v>
      </c>
      <c r="AIG2" s="87">
        <f t="shared" si="14"/>
        <v>0</v>
      </c>
      <c r="AIH2" s="87">
        <f t="shared" si="14"/>
        <v>0</v>
      </c>
      <c r="AII2" s="87">
        <f t="shared" si="14"/>
        <v>0</v>
      </c>
      <c r="AIJ2" s="87">
        <f t="shared" si="14"/>
        <v>0</v>
      </c>
      <c r="AIK2" s="87">
        <f t="shared" si="14"/>
        <v>0</v>
      </c>
      <c r="AIL2" s="87">
        <f t="shared" si="14"/>
        <v>0</v>
      </c>
      <c r="AIM2" s="87">
        <f t="shared" si="14"/>
        <v>0</v>
      </c>
      <c r="AIN2" s="87">
        <f t="shared" si="14"/>
        <v>0</v>
      </c>
      <c r="AIO2" s="87">
        <f t="shared" si="14"/>
        <v>0</v>
      </c>
      <c r="AIP2" s="87">
        <f t="shared" si="14"/>
        <v>0</v>
      </c>
      <c r="AIQ2" s="87">
        <f t="shared" si="14"/>
        <v>0</v>
      </c>
      <c r="AIR2" s="87">
        <f t="shared" si="14"/>
        <v>0</v>
      </c>
      <c r="AIS2" s="87">
        <f t="shared" si="14"/>
        <v>0</v>
      </c>
      <c r="AIT2" s="87">
        <f t="shared" si="14"/>
        <v>0</v>
      </c>
      <c r="AIU2" s="87">
        <f t="shared" si="14"/>
        <v>0</v>
      </c>
      <c r="AIV2" s="87">
        <f t="shared" si="14"/>
        <v>0</v>
      </c>
      <c r="AIW2" s="87">
        <f t="shared" si="14"/>
        <v>0</v>
      </c>
      <c r="AIX2" s="87">
        <f t="shared" si="14"/>
        <v>0</v>
      </c>
      <c r="AIY2" s="87">
        <f t="shared" si="14"/>
        <v>0</v>
      </c>
      <c r="AIZ2" s="87">
        <f t="shared" si="14"/>
        <v>0</v>
      </c>
      <c r="AJA2" s="87">
        <f t="shared" si="14"/>
        <v>0</v>
      </c>
      <c r="AJB2" s="87">
        <f t="shared" si="14"/>
        <v>0</v>
      </c>
      <c r="AJC2" s="87">
        <f t="shared" si="14"/>
        <v>0</v>
      </c>
      <c r="AJD2" s="87">
        <f t="shared" si="14"/>
        <v>0</v>
      </c>
      <c r="AJE2" s="87">
        <f t="shared" si="14"/>
        <v>0</v>
      </c>
      <c r="AJF2" s="87">
        <f t="shared" si="14"/>
        <v>0</v>
      </c>
      <c r="AJG2" s="87">
        <f t="shared" si="14"/>
        <v>0</v>
      </c>
      <c r="AJH2" s="87">
        <f t="shared" si="14"/>
        <v>0</v>
      </c>
      <c r="AJI2" s="87">
        <f t="shared" si="14"/>
        <v>0</v>
      </c>
      <c r="AJJ2" s="87">
        <f t="shared" si="14"/>
        <v>0</v>
      </c>
      <c r="AJK2" s="87">
        <f t="shared" si="14"/>
        <v>0</v>
      </c>
      <c r="AJL2" s="87">
        <f t="shared" si="14"/>
        <v>0</v>
      </c>
      <c r="AJM2" s="87">
        <f t="shared" ref="AJM2:ALX2" si="15">SUM(AJM11:AJM72)</f>
        <v>0</v>
      </c>
      <c r="AJN2" s="87">
        <f t="shared" si="15"/>
        <v>0</v>
      </c>
      <c r="AJO2" s="87">
        <f t="shared" si="15"/>
        <v>0</v>
      </c>
      <c r="AJP2" s="87">
        <f t="shared" si="15"/>
        <v>0</v>
      </c>
      <c r="AJQ2" s="87">
        <f t="shared" si="15"/>
        <v>0</v>
      </c>
      <c r="AJR2" s="87">
        <f t="shared" si="15"/>
        <v>0</v>
      </c>
      <c r="AJS2" s="87">
        <f t="shared" si="15"/>
        <v>0</v>
      </c>
      <c r="AJT2" s="87">
        <f t="shared" si="15"/>
        <v>0</v>
      </c>
      <c r="AJU2" s="87">
        <f t="shared" si="15"/>
        <v>0</v>
      </c>
      <c r="AJV2" s="87">
        <f t="shared" si="15"/>
        <v>0</v>
      </c>
      <c r="AJW2" s="87">
        <f t="shared" si="15"/>
        <v>0</v>
      </c>
      <c r="AJX2" s="87">
        <f t="shared" si="15"/>
        <v>0</v>
      </c>
      <c r="AJY2" s="87">
        <f t="shared" si="15"/>
        <v>0</v>
      </c>
      <c r="AJZ2" s="87">
        <f t="shared" si="15"/>
        <v>0</v>
      </c>
      <c r="AKA2" s="87">
        <f t="shared" si="15"/>
        <v>0</v>
      </c>
      <c r="AKB2" s="87">
        <f t="shared" si="15"/>
        <v>0</v>
      </c>
      <c r="AKC2" s="87">
        <f t="shared" si="15"/>
        <v>0</v>
      </c>
      <c r="AKD2" s="87">
        <f t="shared" si="15"/>
        <v>0</v>
      </c>
      <c r="AKE2" s="87">
        <f t="shared" si="15"/>
        <v>0</v>
      </c>
      <c r="AKF2" s="87">
        <f t="shared" si="15"/>
        <v>0</v>
      </c>
      <c r="AKG2" s="87">
        <f t="shared" si="15"/>
        <v>0</v>
      </c>
      <c r="AKH2" s="87">
        <f t="shared" si="15"/>
        <v>0</v>
      </c>
      <c r="AKI2" s="87">
        <f t="shared" si="15"/>
        <v>0</v>
      </c>
      <c r="AKJ2" s="87">
        <f t="shared" si="15"/>
        <v>0</v>
      </c>
      <c r="AKK2" s="87">
        <f t="shared" si="15"/>
        <v>0</v>
      </c>
      <c r="AKL2" s="87">
        <f t="shared" si="15"/>
        <v>0</v>
      </c>
      <c r="AKM2" s="87">
        <f t="shared" si="15"/>
        <v>0</v>
      </c>
      <c r="AKN2" s="87">
        <f t="shared" si="15"/>
        <v>0</v>
      </c>
      <c r="AKO2" s="87">
        <f t="shared" si="15"/>
        <v>0</v>
      </c>
      <c r="AKP2" s="87">
        <f t="shared" si="15"/>
        <v>0</v>
      </c>
      <c r="AKQ2" s="87">
        <f t="shared" si="15"/>
        <v>0</v>
      </c>
      <c r="AKR2" s="87">
        <f t="shared" si="15"/>
        <v>0</v>
      </c>
      <c r="AKS2" s="87">
        <f t="shared" si="15"/>
        <v>0</v>
      </c>
      <c r="AKT2" s="87">
        <f t="shared" si="15"/>
        <v>0</v>
      </c>
      <c r="AKU2" s="87">
        <f t="shared" si="15"/>
        <v>0</v>
      </c>
      <c r="AKV2" s="87">
        <f t="shared" si="15"/>
        <v>0</v>
      </c>
      <c r="AKW2" s="87">
        <f t="shared" si="15"/>
        <v>0</v>
      </c>
      <c r="AKX2" s="87">
        <f t="shared" si="15"/>
        <v>0</v>
      </c>
      <c r="AKY2" s="87">
        <f t="shared" si="15"/>
        <v>0</v>
      </c>
      <c r="AKZ2" s="87">
        <f t="shared" si="15"/>
        <v>0</v>
      </c>
      <c r="ALA2" s="87">
        <f t="shared" si="15"/>
        <v>0</v>
      </c>
      <c r="ALB2" s="87">
        <f t="shared" si="15"/>
        <v>0</v>
      </c>
      <c r="ALC2" s="87">
        <f t="shared" si="15"/>
        <v>0</v>
      </c>
      <c r="ALD2" s="87">
        <f t="shared" si="15"/>
        <v>0</v>
      </c>
      <c r="ALE2" s="87">
        <f t="shared" si="15"/>
        <v>0</v>
      </c>
      <c r="ALF2" s="87">
        <f t="shared" si="15"/>
        <v>0</v>
      </c>
      <c r="ALG2" s="87">
        <f t="shared" si="15"/>
        <v>0</v>
      </c>
      <c r="ALH2" s="87">
        <f t="shared" si="15"/>
        <v>0</v>
      </c>
      <c r="ALI2" s="87">
        <f t="shared" si="15"/>
        <v>0</v>
      </c>
      <c r="ALJ2" s="87">
        <f t="shared" si="15"/>
        <v>0</v>
      </c>
      <c r="ALK2" s="87">
        <f t="shared" si="15"/>
        <v>0</v>
      </c>
      <c r="ALL2" s="87">
        <f t="shared" si="15"/>
        <v>0</v>
      </c>
      <c r="ALM2" s="87">
        <f t="shared" si="15"/>
        <v>0</v>
      </c>
      <c r="ALN2" s="87">
        <f t="shared" si="15"/>
        <v>0</v>
      </c>
      <c r="ALO2" s="87">
        <f t="shared" si="15"/>
        <v>0</v>
      </c>
      <c r="ALP2" s="87">
        <f t="shared" si="15"/>
        <v>0</v>
      </c>
      <c r="ALQ2" s="87">
        <f t="shared" si="15"/>
        <v>0</v>
      </c>
      <c r="ALR2" s="87">
        <f t="shared" si="15"/>
        <v>0</v>
      </c>
      <c r="ALS2" s="87">
        <f t="shared" si="15"/>
        <v>0</v>
      </c>
      <c r="ALT2" s="87">
        <f t="shared" si="15"/>
        <v>0</v>
      </c>
      <c r="ALU2" s="87">
        <f t="shared" si="15"/>
        <v>0</v>
      </c>
      <c r="ALV2" s="87">
        <f t="shared" si="15"/>
        <v>0</v>
      </c>
      <c r="ALW2" s="87">
        <f t="shared" si="15"/>
        <v>0</v>
      </c>
      <c r="ALX2" s="87">
        <f t="shared" si="15"/>
        <v>0</v>
      </c>
      <c r="ALY2" s="87">
        <f t="shared" ref="ALY2:AOJ2" si="16">SUM(ALY11:ALY72)</f>
        <v>0</v>
      </c>
      <c r="ALZ2" s="87">
        <f t="shared" si="16"/>
        <v>0</v>
      </c>
      <c r="AMA2" s="87">
        <f t="shared" si="16"/>
        <v>0</v>
      </c>
      <c r="AMB2" s="87">
        <f t="shared" si="16"/>
        <v>0</v>
      </c>
      <c r="AMC2" s="87">
        <f t="shared" si="16"/>
        <v>0</v>
      </c>
      <c r="AMD2" s="87">
        <f t="shared" si="16"/>
        <v>0</v>
      </c>
      <c r="AME2" s="87">
        <f t="shared" si="16"/>
        <v>0</v>
      </c>
      <c r="AMF2" s="87">
        <f t="shared" si="16"/>
        <v>0</v>
      </c>
      <c r="AMG2" s="87">
        <f t="shared" si="16"/>
        <v>0</v>
      </c>
      <c r="AMH2" s="87">
        <f t="shared" si="16"/>
        <v>0</v>
      </c>
      <c r="AMI2" s="87">
        <f t="shared" si="16"/>
        <v>0</v>
      </c>
      <c r="AMJ2" s="87">
        <f t="shared" si="16"/>
        <v>0</v>
      </c>
      <c r="AMK2" s="87">
        <f t="shared" si="16"/>
        <v>0</v>
      </c>
      <c r="AML2" s="87">
        <f t="shared" si="16"/>
        <v>0</v>
      </c>
      <c r="AMM2" s="87">
        <f t="shared" si="16"/>
        <v>0</v>
      </c>
      <c r="AMN2" s="87">
        <f t="shared" si="16"/>
        <v>0</v>
      </c>
      <c r="AMO2" s="87">
        <f t="shared" si="16"/>
        <v>0</v>
      </c>
      <c r="AMP2" s="87">
        <f t="shared" si="16"/>
        <v>0</v>
      </c>
      <c r="AMQ2" s="87">
        <f t="shared" si="16"/>
        <v>0</v>
      </c>
      <c r="AMR2" s="87">
        <f t="shared" si="16"/>
        <v>0</v>
      </c>
      <c r="AMS2" s="87">
        <f t="shared" si="16"/>
        <v>0</v>
      </c>
      <c r="AMT2" s="87">
        <f t="shared" si="16"/>
        <v>0</v>
      </c>
      <c r="AMU2" s="87">
        <f t="shared" si="16"/>
        <v>0</v>
      </c>
      <c r="AMV2" s="87">
        <f t="shared" si="16"/>
        <v>0</v>
      </c>
      <c r="AMW2" s="87">
        <f t="shared" si="16"/>
        <v>0</v>
      </c>
      <c r="AMX2" s="87">
        <f t="shared" si="16"/>
        <v>0</v>
      </c>
      <c r="AMY2" s="87">
        <f t="shared" si="16"/>
        <v>0</v>
      </c>
      <c r="AMZ2" s="87">
        <f t="shared" si="16"/>
        <v>0</v>
      </c>
      <c r="ANA2" s="87">
        <f t="shared" si="16"/>
        <v>0</v>
      </c>
      <c r="ANB2" s="87">
        <f t="shared" si="16"/>
        <v>0</v>
      </c>
      <c r="ANC2" s="87">
        <f t="shared" si="16"/>
        <v>0</v>
      </c>
      <c r="AND2" s="87">
        <f t="shared" si="16"/>
        <v>0</v>
      </c>
      <c r="ANE2" s="87">
        <f t="shared" si="16"/>
        <v>0</v>
      </c>
      <c r="ANF2" s="87">
        <f t="shared" si="16"/>
        <v>0</v>
      </c>
      <c r="ANG2" s="87">
        <f t="shared" si="16"/>
        <v>0</v>
      </c>
      <c r="ANH2" s="87">
        <f t="shared" si="16"/>
        <v>0</v>
      </c>
      <c r="ANI2" s="87">
        <f t="shared" si="16"/>
        <v>0</v>
      </c>
      <c r="ANJ2" s="87">
        <f t="shared" si="16"/>
        <v>0</v>
      </c>
      <c r="ANK2" s="87">
        <f t="shared" si="16"/>
        <v>0</v>
      </c>
      <c r="ANL2" s="87">
        <f t="shared" si="16"/>
        <v>0</v>
      </c>
      <c r="ANM2" s="87">
        <f t="shared" si="16"/>
        <v>0</v>
      </c>
      <c r="ANN2" s="87">
        <f t="shared" si="16"/>
        <v>0</v>
      </c>
      <c r="ANO2" s="87">
        <f t="shared" si="16"/>
        <v>0</v>
      </c>
      <c r="ANP2" s="87">
        <f t="shared" si="16"/>
        <v>0</v>
      </c>
      <c r="ANQ2" s="87">
        <f t="shared" si="16"/>
        <v>0</v>
      </c>
      <c r="ANR2" s="87">
        <f t="shared" si="16"/>
        <v>0</v>
      </c>
      <c r="ANS2" s="87">
        <f t="shared" si="16"/>
        <v>0</v>
      </c>
      <c r="ANT2" s="87">
        <f t="shared" si="16"/>
        <v>0</v>
      </c>
      <c r="ANU2" s="87">
        <f t="shared" si="16"/>
        <v>0</v>
      </c>
      <c r="ANV2" s="87">
        <f t="shared" si="16"/>
        <v>0</v>
      </c>
      <c r="ANW2" s="87">
        <f t="shared" si="16"/>
        <v>0</v>
      </c>
      <c r="ANX2" s="87">
        <f t="shared" si="16"/>
        <v>0</v>
      </c>
      <c r="ANY2" s="87">
        <f t="shared" si="16"/>
        <v>0</v>
      </c>
      <c r="ANZ2" s="87">
        <f t="shared" si="16"/>
        <v>0</v>
      </c>
      <c r="AOA2" s="87">
        <f t="shared" si="16"/>
        <v>0</v>
      </c>
      <c r="AOB2" s="87">
        <f t="shared" si="16"/>
        <v>0</v>
      </c>
      <c r="AOC2" s="87">
        <f t="shared" si="16"/>
        <v>0</v>
      </c>
      <c r="AOD2" s="87">
        <f t="shared" si="16"/>
        <v>0</v>
      </c>
      <c r="AOE2" s="87">
        <f t="shared" si="16"/>
        <v>0</v>
      </c>
      <c r="AOF2" s="87">
        <f t="shared" si="16"/>
        <v>0</v>
      </c>
      <c r="AOG2" s="87">
        <f t="shared" si="16"/>
        <v>0</v>
      </c>
      <c r="AOH2" s="87">
        <f t="shared" si="16"/>
        <v>0</v>
      </c>
      <c r="AOI2" s="87">
        <f t="shared" si="16"/>
        <v>0</v>
      </c>
      <c r="AOJ2" s="87">
        <f t="shared" si="16"/>
        <v>0</v>
      </c>
      <c r="AOK2" s="87">
        <f t="shared" ref="AOK2:AQV2" si="17">SUM(AOK11:AOK72)</f>
        <v>0</v>
      </c>
      <c r="AOL2" s="87">
        <f t="shared" si="17"/>
        <v>0</v>
      </c>
      <c r="AOM2" s="87">
        <f t="shared" si="17"/>
        <v>0</v>
      </c>
      <c r="AON2" s="87">
        <f t="shared" si="17"/>
        <v>0</v>
      </c>
      <c r="AOO2" s="87">
        <f t="shared" si="17"/>
        <v>0</v>
      </c>
      <c r="AOP2" s="87">
        <f t="shared" si="17"/>
        <v>0</v>
      </c>
      <c r="AOQ2" s="87">
        <f t="shared" si="17"/>
        <v>0</v>
      </c>
      <c r="AOR2" s="87">
        <f t="shared" si="17"/>
        <v>0</v>
      </c>
      <c r="AOS2" s="87">
        <f t="shared" si="17"/>
        <v>0</v>
      </c>
      <c r="AOT2" s="87">
        <f t="shared" si="17"/>
        <v>0</v>
      </c>
      <c r="AOU2" s="87">
        <f t="shared" si="17"/>
        <v>0</v>
      </c>
      <c r="AOV2" s="87">
        <f t="shared" si="17"/>
        <v>0</v>
      </c>
      <c r="AOW2" s="87">
        <f t="shared" si="17"/>
        <v>0</v>
      </c>
      <c r="AOX2" s="87">
        <f t="shared" si="17"/>
        <v>0</v>
      </c>
      <c r="AOY2" s="87">
        <f t="shared" si="17"/>
        <v>0</v>
      </c>
      <c r="AOZ2" s="87">
        <f t="shared" si="17"/>
        <v>0</v>
      </c>
      <c r="APA2" s="87">
        <f t="shared" si="17"/>
        <v>0</v>
      </c>
      <c r="APB2" s="87">
        <f t="shared" si="17"/>
        <v>0</v>
      </c>
      <c r="APC2" s="87">
        <f t="shared" si="17"/>
        <v>0</v>
      </c>
      <c r="APD2" s="87">
        <f t="shared" si="17"/>
        <v>0</v>
      </c>
      <c r="APE2" s="87">
        <f t="shared" si="17"/>
        <v>0</v>
      </c>
      <c r="APF2" s="87">
        <f t="shared" si="17"/>
        <v>0</v>
      </c>
      <c r="APG2" s="87">
        <f t="shared" si="17"/>
        <v>0</v>
      </c>
      <c r="APH2" s="87">
        <f t="shared" si="17"/>
        <v>0</v>
      </c>
      <c r="API2" s="87">
        <f t="shared" si="17"/>
        <v>0</v>
      </c>
      <c r="APJ2" s="87">
        <f t="shared" si="17"/>
        <v>0</v>
      </c>
      <c r="APK2" s="87">
        <f t="shared" si="17"/>
        <v>0</v>
      </c>
      <c r="APL2" s="87">
        <f t="shared" si="17"/>
        <v>0</v>
      </c>
      <c r="APM2" s="87">
        <f t="shared" si="17"/>
        <v>0</v>
      </c>
      <c r="APN2" s="87">
        <f t="shared" si="17"/>
        <v>0</v>
      </c>
      <c r="APO2" s="87">
        <f t="shared" si="17"/>
        <v>0</v>
      </c>
      <c r="APP2" s="87">
        <f t="shared" si="17"/>
        <v>0</v>
      </c>
      <c r="APQ2" s="87">
        <f t="shared" si="17"/>
        <v>0</v>
      </c>
      <c r="APR2" s="87">
        <f t="shared" si="17"/>
        <v>0</v>
      </c>
      <c r="APS2" s="87">
        <f t="shared" si="17"/>
        <v>0</v>
      </c>
      <c r="APT2" s="87">
        <f t="shared" si="17"/>
        <v>0</v>
      </c>
      <c r="APU2" s="87">
        <f t="shared" si="17"/>
        <v>0</v>
      </c>
      <c r="APV2" s="87">
        <f t="shared" si="17"/>
        <v>0</v>
      </c>
      <c r="APW2" s="87">
        <f t="shared" si="17"/>
        <v>0</v>
      </c>
      <c r="APX2" s="87">
        <f t="shared" si="17"/>
        <v>0</v>
      </c>
      <c r="APY2" s="87">
        <f t="shared" si="17"/>
        <v>0</v>
      </c>
      <c r="APZ2" s="87">
        <f t="shared" si="17"/>
        <v>0</v>
      </c>
      <c r="AQA2" s="87">
        <f t="shared" si="17"/>
        <v>0</v>
      </c>
      <c r="AQB2" s="87">
        <f t="shared" si="17"/>
        <v>0</v>
      </c>
      <c r="AQC2" s="87">
        <f t="shared" si="17"/>
        <v>0</v>
      </c>
      <c r="AQD2" s="87">
        <f t="shared" si="17"/>
        <v>0</v>
      </c>
      <c r="AQE2" s="87">
        <f t="shared" si="17"/>
        <v>0</v>
      </c>
      <c r="AQF2" s="87">
        <f t="shared" si="17"/>
        <v>0</v>
      </c>
      <c r="AQG2" s="87">
        <f t="shared" si="17"/>
        <v>0</v>
      </c>
      <c r="AQH2" s="87">
        <f t="shared" si="17"/>
        <v>0</v>
      </c>
      <c r="AQI2" s="87">
        <f t="shared" si="17"/>
        <v>0</v>
      </c>
      <c r="AQJ2" s="87">
        <f t="shared" si="17"/>
        <v>0</v>
      </c>
      <c r="AQK2" s="87">
        <f t="shared" si="17"/>
        <v>0</v>
      </c>
      <c r="AQL2" s="87">
        <f t="shared" si="17"/>
        <v>0</v>
      </c>
      <c r="AQM2" s="87">
        <f t="shared" si="17"/>
        <v>0</v>
      </c>
      <c r="AQN2" s="87">
        <f t="shared" si="17"/>
        <v>0</v>
      </c>
      <c r="AQO2" s="87">
        <f t="shared" si="17"/>
        <v>0</v>
      </c>
      <c r="AQP2" s="87">
        <f t="shared" si="17"/>
        <v>0</v>
      </c>
      <c r="AQQ2" s="87">
        <f t="shared" si="17"/>
        <v>0</v>
      </c>
      <c r="AQR2" s="87">
        <f t="shared" si="17"/>
        <v>0</v>
      </c>
      <c r="AQS2" s="87">
        <f t="shared" si="17"/>
        <v>0</v>
      </c>
      <c r="AQT2" s="87">
        <f t="shared" si="17"/>
        <v>0</v>
      </c>
      <c r="AQU2" s="87">
        <f t="shared" si="17"/>
        <v>0</v>
      </c>
      <c r="AQV2" s="87">
        <f t="shared" si="17"/>
        <v>0</v>
      </c>
      <c r="AQW2" s="87">
        <f t="shared" ref="AQW2:ATH2" si="18">SUM(AQW11:AQW72)</f>
        <v>0</v>
      </c>
      <c r="AQX2" s="87">
        <f t="shared" si="18"/>
        <v>0</v>
      </c>
      <c r="AQY2" s="87">
        <f t="shared" si="18"/>
        <v>0</v>
      </c>
      <c r="AQZ2" s="87">
        <f t="shared" si="18"/>
        <v>0</v>
      </c>
      <c r="ARA2" s="87">
        <f t="shared" si="18"/>
        <v>0</v>
      </c>
      <c r="ARB2" s="87">
        <f t="shared" si="18"/>
        <v>0</v>
      </c>
      <c r="ARC2" s="87">
        <f t="shared" si="18"/>
        <v>0</v>
      </c>
      <c r="ARD2" s="87">
        <f t="shared" si="18"/>
        <v>0</v>
      </c>
      <c r="ARE2" s="87">
        <f t="shared" si="18"/>
        <v>0</v>
      </c>
      <c r="ARF2" s="87">
        <f t="shared" si="18"/>
        <v>0</v>
      </c>
      <c r="ARG2" s="87">
        <f t="shared" si="18"/>
        <v>0</v>
      </c>
      <c r="ARH2" s="87">
        <f t="shared" si="18"/>
        <v>0</v>
      </c>
      <c r="ARI2" s="87">
        <f t="shared" si="18"/>
        <v>0</v>
      </c>
      <c r="ARJ2" s="87">
        <f t="shared" si="18"/>
        <v>0</v>
      </c>
      <c r="ARK2" s="87">
        <f t="shared" si="18"/>
        <v>0</v>
      </c>
      <c r="ARL2" s="87">
        <f t="shared" si="18"/>
        <v>0</v>
      </c>
      <c r="ARM2" s="87">
        <f t="shared" si="18"/>
        <v>0</v>
      </c>
      <c r="ARN2" s="87">
        <f t="shared" si="18"/>
        <v>0</v>
      </c>
      <c r="ARO2" s="87">
        <f t="shared" si="18"/>
        <v>0</v>
      </c>
      <c r="ARP2" s="87">
        <f t="shared" si="18"/>
        <v>0</v>
      </c>
      <c r="ARQ2" s="87">
        <f t="shared" si="18"/>
        <v>0</v>
      </c>
      <c r="ARR2" s="87">
        <f t="shared" si="18"/>
        <v>0</v>
      </c>
      <c r="ARS2" s="87">
        <f t="shared" si="18"/>
        <v>0</v>
      </c>
      <c r="ART2" s="87">
        <f t="shared" si="18"/>
        <v>0</v>
      </c>
      <c r="ARU2" s="87">
        <f t="shared" si="18"/>
        <v>0</v>
      </c>
      <c r="ARV2" s="87">
        <f t="shared" si="18"/>
        <v>0</v>
      </c>
      <c r="ARW2" s="87">
        <f t="shared" si="18"/>
        <v>0</v>
      </c>
      <c r="ARX2" s="87">
        <f t="shared" si="18"/>
        <v>0</v>
      </c>
      <c r="ARY2" s="87">
        <f t="shared" si="18"/>
        <v>0</v>
      </c>
      <c r="ARZ2" s="87">
        <f t="shared" si="18"/>
        <v>0</v>
      </c>
      <c r="ASA2" s="87">
        <f t="shared" si="18"/>
        <v>0</v>
      </c>
      <c r="ASB2" s="87">
        <f t="shared" si="18"/>
        <v>0</v>
      </c>
      <c r="ASC2" s="87">
        <f t="shared" si="18"/>
        <v>0</v>
      </c>
      <c r="ASD2" s="87">
        <f t="shared" si="18"/>
        <v>0</v>
      </c>
      <c r="ASE2" s="87">
        <f t="shared" si="18"/>
        <v>0</v>
      </c>
      <c r="ASF2" s="87">
        <f t="shared" si="18"/>
        <v>0</v>
      </c>
      <c r="ASG2" s="87">
        <f t="shared" si="18"/>
        <v>0</v>
      </c>
      <c r="ASH2" s="87">
        <f t="shared" si="18"/>
        <v>0</v>
      </c>
      <c r="ASI2" s="87">
        <f t="shared" si="18"/>
        <v>0</v>
      </c>
      <c r="ASJ2" s="87">
        <f t="shared" si="18"/>
        <v>0</v>
      </c>
      <c r="ASK2" s="87">
        <f t="shared" si="18"/>
        <v>0</v>
      </c>
      <c r="ASL2" s="87">
        <f t="shared" si="18"/>
        <v>0</v>
      </c>
      <c r="ASM2" s="87">
        <f t="shared" si="18"/>
        <v>0</v>
      </c>
      <c r="ASN2" s="87">
        <f t="shared" si="18"/>
        <v>0</v>
      </c>
      <c r="ASO2" s="87">
        <f t="shared" si="18"/>
        <v>0</v>
      </c>
      <c r="ASP2" s="87">
        <f t="shared" si="18"/>
        <v>0</v>
      </c>
      <c r="ASQ2" s="87">
        <f t="shared" si="18"/>
        <v>0</v>
      </c>
      <c r="ASR2" s="87">
        <f t="shared" si="18"/>
        <v>0</v>
      </c>
      <c r="ASS2" s="87">
        <f t="shared" si="18"/>
        <v>0</v>
      </c>
      <c r="AST2" s="87">
        <f t="shared" si="18"/>
        <v>0</v>
      </c>
      <c r="ASU2" s="87">
        <f t="shared" si="18"/>
        <v>0</v>
      </c>
      <c r="ASV2" s="87">
        <f t="shared" si="18"/>
        <v>0</v>
      </c>
      <c r="ASW2" s="87">
        <f t="shared" si="18"/>
        <v>0</v>
      </c>
      <c r="ASX2" s="87">
        <f t="shared" si="18"/>
        <v>0</v>
      </c>
      <c r="ASY2" s="87">
        <f t="shared" si="18"/>
        <v>0</v>
      </c>
      <c r="ASZ2" s="87">
        <f t="shared" si="18"/>
        <v>0</v>
      </c>
      <c r="ATA2" s="87">
        <f t="shared" si="18"/>
        <v>0</v>
      </c>
      <c r="ATB2" s="87">
        <f t="shared" si="18"/>
        <v>0</v>
      </c>
      <c r="ATC2" s="87">
        <f t="shared" si="18"/>
        <v>0</v>
      </c>
      <c r="ATD2" s="87">
        <f t="shared" si="18"/>
        <v>0</v>
      </c>
      <c r="ATE2" s="87">
        <f t="shared" si="18"/>
        <v>0</v>
      </c>
      <c r="ATF2" s="87">
        <f t="shared" si="18"/>
        <v>0</v>
      </c>
      <c r="ATG2" s="87">
        <f t="shared" si="18"/>
        <v>0</v>
      </c>
      <c r="ATH2" s="87">
        <f t="shared" si="18"/>
        <v>0</v>
      </c>
      <c r="ATI2" s="87">
        <f t="shared" ref="ATI2:AVT2" si="19">SUM(ATI11:ATI72)</f>
        <v>0</v>
      </c>
      <c r="ATJ2" s="87">
        <f t="shared" si="19"/>
        <v>0</v>
      </c>
      <c r="ATK2" s="87">
        <f t="shared" si="19"/>
        <v>0</v>
      </c>
      <c r="ATL2" s="87">
        <f t="shared" si="19"/>
        <v>0</v>
      </c>
      <c r="ATM2" s="87">
        <f t="shared" si="19"/>
        <v>0</v>
      </c>
      <c r="ATN2" s="87">
        <f t="shared" si="19"/>
        <v>0</v>
      </c>
      <c r="ATO2" s="87">
        <f t="shared" si="19"/>
        <v>0</v>
      </c>
      <c r="ATP2" s="87">
        <f t="shared" si="19"/>
        <v>0</v>
      </c>
      <c r="ATQ2" s="87">
        <f t="shared" si="19"/>
        <v>0</v>
      </c>
      <c r="ATR2" s="87">
        <f t="shared" si="19"/>
        <v>0</v>
      </c>
      <c r="ATS2" s="87">
        <f t="shared" si="19"/>
        <v>0</v>
      </c>
      <c r="ATT2" s="87">
        <f t="shared" si="19"/>
        <v>0</v>
      </c>
      <c r="ATU2" s="87">
        <f t="shared" si="19"/>
        <v>0</v>
      </c>
      <c r="ATV2" s="87">
        <f t="shared" si="19"/>
        <v>0</v>
      </c>
      <c r="ATW2" s="87">
        <f t="shared" si="19"/>
        <v>0</v>
      </c>
      <c r="ATX2" s="87">
        <f t="shared" si="19"/>
        <v>0</v>
      </c>
      <c r="ATY2" s="87">
        <f t="shared" si="19"/>
        <v>0</v>
      </c>
      <c r="ATZ2" s="87">
        <f t="shared" si="19"/>
        <v>0</v>
      </c>
      <c r="AUA2" s="87">
        <f t="shared" si="19"/>
        <v>0</v>
      </c>
      <c r="AUB2" s="87">
        <f t="shared" si="19"/>
        <v>0</v>
      </c>
      <c r="AUC2" s="87">
        <f t="shared" si="19"/>
        <v>0</v>
      </c>
      <c r="AUD2" s="87">
        <f t="shared" si="19"/>
        <v>0</v>
      </c>
      <c r="AUE2" s="87">
        <f t="shared" si="19"/>
        <v>0</v>
      </c>
      <c r="AUF2" s="87">
        <f t="shared" si="19"/>
        <v>0</v>
      </c>
      <c r="AUG2" s="87">
        <f t="shared" si="19"/>
        <v>0</v>
      </c>
      <c r="AUH2" s="87">
        <f t="shared" si="19"/>
        <v>0</v>
      </c>
      <c r="AUI2" s="87">
        <f t="shared" si="19"/>
        <v>0</v>
      </c>
      <c r="AUJ2" s="87">
        <f t="shared" si="19"/>
        <v>0</v>
      </c>
      <c r="AUK2" s="87">
        <f t="shared" si="19"/>
        <v>0</v>
      </c>
      <c r="AUL2" s="87">
        <f t="shared" si="19"/>
        <v>0</v>
      </c>
      <c r="AUM2" s="87">
        <f t="shared" si="19"/>
        <v>0</v>
      </c>
      <c r="AUN2" s="87">
        <f t="shared" si="19"/>
        <v>0</v>
      </c>
      <c r="AUO2" s="87">
        <f t="shared" si="19"/>
        <v>0</v>
      </c>
      <c r="AUP2" s="87">
        <f t="shared" si="19"/>
        <v>0</v>
      </c>
      <c r="AUQ2" s="87">
        <f t="shared" si="19"/>
        <v>0</v>
      </c>
      <c r="AUR2" s="87">
        <f t="shared" si="19"/>
        <v>0</v>
      </c>
      <c r="AUS2" s="87">
        <f t="shared" si="19"/>
        <v>0</v>
      </c>
      <c r="AUT2" s="87">
        <f t="shared" si="19"/>
        <v>0</v>
      </c>
      <c r="AUU2" s="87">
        <f t="shared" si="19"/>
        <v>0</v>
      </c>
      <c r="AUV2" s="87">
        <f t="shared" si="19"/>
        <v>0</v>
      </c>
      <c r="AUW2" s="87">
        <f t="shared" si="19"/>
        <v>0</v>
      </c>
      <c r="AUX2" s="87">
        <f t="shared" si="19"/>
        <v>0</v>
      </c>
      <c r="AUY2" s="87">
        <f t="shared" si="19"/>
        <v>0</v>
      </c>
      <c r="AUZ2" s="87">
        <f t="shared" si="19"/>
        <v>0</v>
      </c>
      <c r="AVA2" s="87">
        <f t="shared" si="19"/>
        <v>0</v>
      </c>
      <c r="AVB2" s="87">
        <f t="shared" si="19"/>
        <v>0</v>
      </c>
      <c r="AVC2" s="87">
        <f t="shared" si="19"/>
        <v>0</v>
      </c>
      <c r="AVD2" s="87">
        <f t="shared" si="19"/>
        <v>0</v>
      </c>
      <c r="AVE2" s="87">
        <f t="shared" si="19"/>
        <v>0</v>
      </c>
      <c r="AVF2" s="87">
        <f t="shared" si="19"/>
        <v>0</v>
      </c>
      <c r="AVG2" s="87">
        <f t="shared" si="19"/>
        <v>0</v>
      </c>
      <c r="AVH2" s="87">
        <f t="shared" si="19"/>
        <v>0</v>
      </c>
      <c r="AVI2" s="87">
        <f t="shared" si="19"/>
        <v>0</v>
      </c>
      <c r="AVJ2" s="87">
        <f t="shared" si="19"/>
        <v>0</v>
      </c>
      <c r="AVK2" s="87">
        <f t="shared" si="19"/>
        <v>0</v>
      </c>
      <c r="AVL2" s="87">
        <f t="shared" si="19"/>
        <v>0</v>
      </c>
      <c r="AVM2" s="87">
        <f t="shared" si="19"/>
        <v>0</v>
      </c>
      <c r="AVN2" s="87">
        <f t="shared" si="19"/>
        <v>0</v>
      </c>
      <c r="AVO2" s="87">
        <f t="shared" si="19"/>
        <v>0</v>
      </c>
      <c r="AVP2" s="87">
        <f t="shared" si="19"/>
        <v>0</v>
      </c>
      <c r="AVQ2" s="87">
        <f t="shared" si="19"/>
        <v>0</v>
      </c>
      <c r="AVR2" s="87">
        <f t="shared" si="19"/>
        <v>0</v>
      </c>
      <c r="AVS2" s="87">
        <f t="shared" si="19"/>
        <v>0</v>
      </c>
      <c r="AVT2" s="87">
        <f t="shared" si="19"/>
        <v>0</v>
      </c>
      <c r="AVU2" s="87">
        <f t="shared" ref="AVU2:AYF2" si="20">SUM(AVU11:AVU72)</f>
        <v>0</v>
      </c>
      <c r="AVV2" s="87">
        <f t="shared" si="20"/>
        <v>0</v>
      </c>
      <c r="AVW2" s="87">
        <f t="shared" si="20"/>
        <v>0</v>
      </c>
      <c r="AVX2" s="87">
        <f t="shared" si="20"/>
        <v>0</v>
      </c>
      <c r="AVY2" s="87">
        <f t="shared" si="20"/>
        <v>0</v>
      </c>
      <c r="AVZ2" s="87">
        <f t="shared" si="20"/>
        <v>0</v>
      </c>
      <c r="AWA2" s="87">
        <f t="shared" si="20"/>
        <v>0</v>
      </c>
      <c r="AWB2" s="87">
        <f t="shared" si="20"/>
        <v>0</v>
      </c>
      <c r="AWC2" s="87">
        <f t="shared" si="20"/>
        <v>0</v>
      </c>
      <c r="AWD2" s="87">
        <f t="shared" si="20"/>
        <v>0</v>
      </c>
      <c r="AWE2" s="87">
        <f t="shared" si="20"/>
        <v>0</v>
      </c>
      <c r="AWF2" s="87">
        <f t="shared" si="20"/>
        <v>0</v>
      </c>
      <c r="AWG2" s="87">
        <f t="shared" si="20"/>
        <v>0</v>
      </c>
      <c r="AWH2" s="87">
        <f t="shared" si="20"/>
        <v>0</v>
      </c>
      <c r="AWI2" s="87">
        <f t="shared" si="20"/>
        <v>0</v>
      </c>
      <c r="AWJ2" s="87">
        <f t="shared" si="20"/>
        <v>0</v>
      </c>
      <c r="AWK2" s="87">
        <f t="shared" si="20"/>
        <v>0</v>
      </c>
      <c r="AWL2" s="87">
        <f t="shared" si="20"/>
        <v>0</v>
      </c>
      <c r="AWM2" s="87">
        <f t="shared" si="20"/>
        <v>0</v>
      </c>
      <c r="AWN2" s="87">
        <f t="shared" si="20"/>
        <v>0</v>
      </c>
      <c r="AWO2" s="87">
        <f t="shared" si="20"/>
        <v>0</v>
      </c>
      <c r="AWP2" s="87">
        <f t="shared" si="20"/>
        <v>0</v>
      </c>
      <c r="AWQ2" s="87">
        <f t="shared" si="20"/>
        <v>0</v>
      </c>
      <c r="AWR2" s="87">
        <f t="shared" si="20"/>
        <v>0</v>
      </c>
      <c r="AWS2" s="87">
        <f t="shared" si="20"/>
        <v>0</v>
      </c>
      <c r="AWT2" s="87">
        <f t="shared" si="20"/>
        <v>0</v>
      </c>
      <c r="AWU2" s="87">
        <f t="shared" si="20"/>
        <v>0</v>
      </c>
      <c r="AWV2" s="87">
        <f t="shared" si="20"/>
        <v>0</v>
      </c>
      <c r="AWW2" s="87">
        <f t="shared" si="20"/>
        <v>0</v>
      </c>
      <c r="AWX2" s="87">
        <f t="shared" si="20"/>
        <v>0</v>
      </c>
      <c r="AWY2" s="87">
        <f t="shared" si="20"/>
        <v>0</v>
      </c>
      <c r="AWZ2" s="87">
        <f t="shared" si="20"/>
        <v>0</v>
      </c>
      <c r="AXA2" s="87">
        <f t="shared" si="20"/>
        <v>0</v>
      </c>
      <c r="AXB2" s="87">
        <f t="shared" si="20"/>
        <v>0</v>
      </c>
      <c r="AXC2" s="87">
        <f t="shared" si="20"/>
        <v>0</v>
      </c>
      <c r="AXD2" s="87">
        <f t="shared" si="20"/>
        <v>0</v>
      </c>
      <c r="AXE2" s="87">
        <f t="shared" si="20"/>
        <v>0</v>
      </c>
      <c r="AXF2" s="87">
        <f t="shared" si="20"/>
        <v>0</v>
      </c>
      <c r="AXG2" s="87">
        <f t="shared" si="20"/>
        <v>0</v>
      </c>
      <c r="AXH2" s="87">
        <f t="shared" si="20"/>
        <v>0</v>
      </c>
      <c r="AXI2" s="87">
        <f t="shared" si="20"/>
        <v>0</v>
      </c>
      <c r="AXJ2" s="87">
        <f t="shared" si="20"/>
        <v>0</v>
      </c>
      <c r="AXK2" s="87">
        <f t="shared" si="20"/>
        <v>0</v>
      </c>
      <c r="AXL2" s="87">
        <f t="shared" si="20"/>
        <v>0</v>
      </c>
      <c r="AXM2" s="87">
        <f t="shared" si="20"/>
        <v>0</v>
      </c>
      <c r="AXN2" s="87">
        <f t="shared" si="20"/>
        <v>0</v>
      </c>
      <c r="AXO2" s="87">
        <f t="shared" si="20"/>
        <v>0</v>
      </c>
      <c r="AXP2" s="87">
        <f t="shared" si="20"/>
        <v>0</v>
      </c>
      <c r="AXQ2" s="87">
        <f t="shared" si="20"/>
        <v>0</v>
      </c>
      <c r="AXR2" s="87">
        <f t="shared" si="20"/>
        <v>0</v>
      </c>
      <c r="AXS2" s="87">
        <f t="shared" si="20"/>
        <v>0</v>
      </c>
      <c r="AXT2" s="87">
        <f t="shared" si="20"/>
        <v>0</v>
      </c>
      <c r="AXU2" s="87">
        <f t="shared" si="20"/>
        <v>0</v>
      </c>
      <c r="AXV2" s="87">
        <f t="shared" si="20"/>
        <v>0</v>
      </c>
      <c r="AXW2" s="87">
        <f t="shared" si="20"/>
        <v>0</v>
      </c>
      <c r="AXX2" s="87">
        <f t="shared" si="20"/>
        <v>0</v>
      </c>
      <c r="AXY2" s="87">
        <f t="shared" si="20"/>
        <v>0</v>
      </c>
      <c r="AXZ2" s="87">
        <f t="shared" si="20"/>
        <v>0</v>
      </c>
      <c r="AYA2" s="87">
        <f t="shared" si="20"/>
        <v>0</v>
      </c>
      <c r="AYB2" s="87">
        <f t="shared" si="20"/>
        <v>0</v>
      </c>
      <c r="AYC2" s="87">
        <f t="shared" si="20"/>
        <v>0</v>
      </c>
      <c r="AYD2" s="87">
        <f t="shared" si="20"/>
        <v>0</v>
      </c>
      <c r="AYE2" s="87">
        <f t="shared" si="20"/>
        <v>0</v>
      </c>
      <c r="AYF2" s="87">
        <f t="shared" si="20"/>
        <v>0</v>
      </c>
      <c r="AYG2" s="87">
        <f t="shared" ref="AYG2:BAR2" si="21">SUM(AYG11:AYG72)</f>
        <v>0</v>
      </c>
      <c r="AYH2" s="87">
        <f t="shared" si="21"/>
        <v>0</v>
      </c>
      <c r="AYI2" s="87">
        <f t="shared" si="21"/>
        <v>0</v>
      </c>
      <c r="AYJ2" s="87">
        <f t="shared" si="21"/>
        <v>0</v>
      </c>
      <c r="AYK2" s="87">
        <f t="shared" si="21"/>
        <v>0</v>
      </c>
      <c r="AYL2" s="87">
        <f t="shared" si="21"/>
        <v>0</v>
      </c>
      <c r="AYM2" s="87">
        <f t="shared" si="21"/>
        <v>0</v>
      </c>
      <c r="AYN2" s="87">
        <f t="shared" si="21"/>
        <v>0</v>
      </c>
      <c r="AYO2" s="87">
        <f t="shared" si="21"/>
        <v>0</v>
      </c>
      <c r="AYP2" s="87">
        <f t="shared" si="21"/>
        <v>0</v>
      </c>
      <c r="AYQ2" s="87">
        <f t="shared" si="21"/>
        <v>0</v>
      </c>
      <c r="AYR2" s="87">
        <f t="shared" si="21"/>
        <v>0</v>
      </c>
      <c r="AYS2" s="87">
        <f t="shared" si="21"/>
        <v>0</v>
      </c>
      <c r="AYT2" s="87">
        <f t="shared" si="21"/>
        <v>0</v>
      </c>
      <c r="AYU2" s="87">
        <f t="shared" si="21"/>
        <v>0</v>
      </c>
      <c r="AYV2" s="87">
        <f t="shared" si="21"/>
        <v>0</v>
      </c>
      <c r="AYW2" s="87">
        <f t="shared" si="21"/>
        <v>0</v>
      </c>
      <c r="AYX2" s="87">
        <f t="shared" si="21"/>
        <v>0</v>
      </c>
      <c r="AYY2" s="87">
        <f t="shared" si="21"/>
        <v>0</v>
      </c>
      <c r="AYZ2" s="87">
        <f t="shared" si="21"/>
        <v>0</v>
      </c>
      <c r="AZA2" s="87">
        <f t="shared" si="21"/>
        <v>0</v>
      </c>
      <c r="AZB2" s="87">
        <f t="shared" si="21"/>
        <v>0</v>
      </c>
      <c r="AZC2" s="87">
        <f t="shared" si="21"/>
        <v>0</v>
      </c>
      <c r="AZD2" s="87">
        <f t="shared" si="21"/>
        <v>0</v>
      </c>
      <c r="AZE2" s="87">
        <f t="shared" si="21"/>
        <v>0</v>
      </c>
      <c r="AZF2" s="87">
        <f t="shared" si="21"/>
        <v>0</v>
      </c>
      <c r="AZG2" s="87">
        <f t="shared" si="21"/>
        <v>0</v>
      </c>
      <c r="AZH2" s="87">
        <f t="shared" si="21"/>
        <v>0</v>
      </c>
      <c r="AZI2" s="87">
        <f t="shared" si="21"/>
        <v>0</v>
      </c>
      <c r="AZJ2" s="87">
        <f t="shared" si="21"/>
        <v>0</v>
      </c>
      <c r="AZK2" s="87">
        <f t="shared" si="21"/>
        <v>0</v>
      </c>
      <c r="AZL2" s="87">
        <f t="shared" si="21"/>
        <v>0</v>
      </c>
      <c r="AZM2" s="87">
        <f t="shared" si="21"/>
        <v>0</v>
      </c>
      <c r="AZN2" s="87">
        <f t="shared" si="21"/>
        <v>0</v>
      </c>
      <c r="AZO2" s="87">
        <f t="shared" si="21"/>
        <v>0</v>
      </c>
      <c r="AZP2" s="87">
        <f t="shared" si="21"/>
        <v>0</v>
      </c>
      <c r="AZQ2" s="87">
        <f t="shared" si="21"/>
        <v>0</v>
      </c>
      <c r="AZR2" s="87">
        <f t="shared" si="21"/>
        <v>0</v>
      </c>
      <c r="AZS2" s="87">
        <f t="shared" si="21"/>
        <v>0</v>
      </c>
      <c r="AZT2" s="87">
        <f t="shared" si="21"/>
        <v>0</v>
      </c>
      <c r="AZU2" s="87">
        <f t="shared" si="21"/>
        <v>0</v>
      </c>
      <c r="AZV2" s="87">
        <f t="shared" si="21"/>
        <v>0</v>
      </c>
      <c r="AZW2" s="87">
        <f t="shared" si="21"/>
        <v>0</v>
      </c>
      <c r="AZX2" s="87">
        <f t="shared" si="21"/>
        <v>0</v>
      </c>
      <c r="AZY2" s="87">
        <f t="shared" si="21"/>
        <v>0</v>
      </c>
      <c r="AZZ2" s="87">
        <f t="shared" si="21"/>
        <v>0</v>
      </c>
      <c r="BAA2" s="87">
        <f t="shared" si="21"/>
        <v>0</v>
      </c>
      <c r="BAB2" s="87">
        <f t="shared" si="21"/>
        <v>0</v>
      </c>
      <c r="BAC2" s="87">
        <f t="shared" si="21"/>
        <v>0</v>
      </c>
      <c r="BAD2" s="87">
        <f t="shared" si="21"/>
        <v>0</v>
      </c>
      <c r="BAE2" s="87">
        <f t="shared" si="21"/>
        <v>0</v>
      </c>
      <c r="BAF2" s="87">
        <f t="shared" si="21"/>
        <v>0</v>
      </c>
      <c r="BAG2" s="87">
        <f t="shared" si="21"/>
        <v>0</v>
      </c>
      <c r="BAH2" s="87">
        <f t="shared" si="21"/>
        <v>0</v>
      </c>
      <c r="BAI2" s="87">
        <f t="shared" si="21"/>
        <v>0</v>
      </c>
      <c r="BAJ2" s="87">
        <f t="shared" si="21"/>
        <v>0</v>
      </c>
      <c r="BAK2" s="87">
        <f t="shared" si="21"/>
        <v>0</v>
      </c>
      <c r="BAL2" s="87">
        <f t="shared" si="21"/>
        <v>0</v>
      </c>
      <c r="BAM2" s="87">
        <f t="shared" si="21"/>
        <v>0</v>
      </c>
      <c r="BAN2" s="87">
        <f t="shared" si="21"/>
        <v>0</v>
      </c>
      <c r="BAO2" s="87">
        <f t="shared" si="21"/>
        <v>0</v>
      </c>
      <c r="BAP2" s="87">
        <f t="shared" si="21"/>
        <v>0</v>
      </c>
      <c r="BAQ2" s="87">
        <f t="shared" si="21"/>
        <v>0</v>
      </c>
      <c r="BAR2" s="87">
        <f t="shared" si="21"/>
        <v>0</v>
      </c>
      <c r="BAS2" s="87">
        <f t="shared" ref="BAS2:BDD2" si="22">SUM(BAS11:BAS72)</f>
        <v>0</v>
      </c>
      <c r="BAT2" s="87">
        <f t="shared" si="22"/>
        <v>0</v>
      </c>
      <c r="BAU2" s="87">
        <f t="shared" si="22"/>
        <v>0</v>
      </c>
      <c r="BAV2" s="87">
        <f t="shared" si="22"/>
        <v>0</v>
      </c>
      <c r="BAW2" s="87">
        <f t="shared" si="22"/>
        <v>0</v>
      </c>
      <c r="BAX2" s="87">
        <f t="shared" si="22"/>
        <v>0</v>
      </c>
      <c r="BAY2" s="87">
        <f t="shared" si="22"/>
        <v>0</v>
      </c>
      <c r="BAZ2" s="87">
        <f t="shared" si="22"/>
        <v>0</v>
      </c>
      <c r="BBA2" s="87">
        <f t="shared" si="22"/>
        <v>0</v>
      </c>
      <c r="BBB2" s="87">
        <f t="shared" si="22"/>
        <v>0</v>
      </c>
      <c r="BBC2" s="87">
        <f t="shared" si="22"/>
        <v>0</v>
      </c>
      <c r="BBD2" s="87">
        <f t="shared" si="22"/>
        <v>0</v>
      </c>
      <c r="BBE2" s="87">
        <f t="shared" si="22"/>
        <v>0</v>
      </c>
      <c r="BBF2" s="87">
        <f t="shared" si="22"/>
        <v>0</v>
      </c>
      <c r="BBG2" s="87">
        <f t="shared" si="22"/>
        <v>0</v>
      </c>
      <c r="BBH2" s="87">
        <f t="shared" si="22"/>
        <v>0</v>
      </c>
      <c r="BBI2" s="87">
        <f t="shared" si="22"/>
        <v>0</v>
      </c>
      <c r="BBJ2" s="87">
        <f t="shared" si="22"/>
        <v>0</v>
      </c>
      <c r="BBK2" s="87">
        <f t="shared" si="22"/>
        <v>0</v>
      </c>
      <c r="BBL2" s="87">
        <f t="shared" si="22"/>
        <v>0</v>
      </c>
      <c r="BBM2" s="87">
        <f t="shared" si="22"/>
        <v>0</v>
      </c>
      <c r="BBN2" s="87">
        <f t="shared" si="22"/>
        <v>0</v>
      </c>
      <c r="BBO2" s="87">
        <f t="shared" si="22"/>
        <v>0</v>
      </c>
      <c r="BBP2" s="87">
        <f t="shared" si="22"/>
        <v>0</v>
      </c>
      <c r="BBQ2" s="87">
        <f t="shared" si="22"/>
        <v>0</v>
      </c>
      <c r="BBR2" s="87">
        <f t="shared" si="22"/>
        <v>0</v>
      </c>
      <c r="BBS2" s="87">
        <f t="shared" si="22"/>
        <v>0</v>
      </c>
      <c r="BBT2" s="87">
        <f t="shared" si="22"/>
        <v>0</v>
      </c>
      <c r="BBU2" s="87">
        <f t="shared" si="22"/>
        <v>0</v>
      </c>
      <c r="BBV2" s="87">
        <f t="shared" si="22"/>
        <v>0</v>
      </c>
      <c r="BBW2" s="87">
        <f t="shared" si="22"/>
        <v>0</v>
      </c>
      <c r="BBX2" s="87">
        <f t="shared" si="22"/>
        <v>0</v>
      </c>
      <c r="BBY2" s="87">
        <f t="shared" si="22"/>
        <v>0</v>
      </c>
      <c r="BBZ2" s="87">
        <f t="shared" si="22"/>
        <v>0</v>
      </c>
      <c r="BCA2" s="87">
        <f t="shared" si="22"/>
        <v>0</v>
      </c>
      <c r="BCB2" s="87">
        <f t="shared" si="22"/>
        <v>0</v>
      </c>
      <c r="BCC2" s="87">
        <f t="shared" si="22"/>
        <v>0</v>
      </c>
      <c r="BCD2" s="87">
        <f t="shared" si="22"/>
        <v>0</v>
      </c>
      <c r="BCE2" s="87">
        <f t="shared" si="22"/>
        <v>0</v>
      </c>
      <c r="BCF2" s="87">
        <f t="shared" si="22"/>
        <v>0</v>
      </c>
      <c r="BCG2" s="87">
        <f t="shared" si="22"/>
        <v>0</v>
      </c>
      <c r="BCH2" s="87">
        <f t="shared" si="22"/>
        <v>0</v>
      </c>
      <c r="BCI2" s="87">
        <f t="shared" si="22"/>
        <v>0</v>
      </c>
      <c r="BCJ2" s="87">
        <f t="shared" si="22"/>
        <v>0</v>
      </c>
      <c r="BCK2" s="87">
        <f t="shared" si="22"/>
        <v>0</v>
      </c>
      <c r="BCL2" s="87">
        <f t="shared" si="22"/>
        <v>0</v>
      </c>
      <c r="BCM2" s="87">
        <f t="shared" si="22"/>
        <v>0</v>
      </c>
      <c r="BCN2" s="87">
        <f t="shared" si="22"/>
        <v>0</v>
      </c>
      <c r="BCO2" s="87">
        <f t="shared" si="22"/>
        <v>0</v>
      </c>
      <c r="BCP2" s="87">
        <f t="shared" si="22"/>
        <v>0</v>
      </c>
      <c r="BCQ2" s="87">
        <f t="shared" si="22"/>
        <v>0</v>
      </c>
      <c r="BCR2" s="87">
        <f t="shared" si="22"/>
        <v>0</v>
      </c>
      <c r="BCS2" s="87">
        <f t="shared" si="22"/>
        <v>0</v>
      </c>
      <c r="BCT2" s="87">
        <f t="shared" si="22"/>
        <v>0</v>
      </c>
      <c r="BCU2" s="87">
        <f t="shared" si="22"/>
        <v>0</v>
      </c>
      <c r="BCV2" s="87">
        <f t="shared" si="22"/>
        <v>0</v>
      </c>
      <c r="BCW2" s="87">
        <f t="shared" si="22"/>
        <v>0</v>
      </c>
      <c r="BCX2" s="87">
        <f t="shared" si="22"/>
        <v>0</v>
      </c>
      <c r="BCY2" s="87">
        <f t="shared" si="22"/>
        <v>0</v>
      </c>
      <c r="BCZ2" s="87">
        <f t="shared" si="22"/>
        <v>0</v>
      </c>
      <c r="BDA2" s="87">
        <f t="shared" si="22"/>
        <v>0</v>
      </c>
      <c r="BDB2" s="87">
        <f t="shared" si="22"/>
        <v>0</v>
      </c>
      <c r="BDC2" s="87">
        <f t="shared" si="22"/>
        <v>0</v>
      </c>
      <c r="BDD2" s="87">
        <f t="shared" si="22"/>
        <v>0</v>
      </c>
      <c r="BDE2" s="87">
        <f t="shared" ref="BDE2:BFP2" si="23">SUM(BDE11:BDE72)</f>
        <v>0</v>
      </c>
      <c r="BDF2" s="87">
        <f t="shared" si="23"/>
        <v>0</v>
      </c>
      <c r="BDG2" s="87">
        <f t="shared" si="23"/>
        <v>0</v>
      </c>
      <c r="BDH2" s="87">
        <f t="shared" si="23"/>
        <v>0</v>
      </c>
      <c r="BDI2" s="87">
        <f t="shared" si="23"/>
        <v>0</v>
      </c>
      <c r="BDJ2" s="87">
        <f t="shared" si="23"/>
        <v>0</v>
      </c>
      <c r="BDK2" s="87">
        <f t="shared" si="23"/>
        <v>0</v>
      </c>
      <c r="BDL2" s="87">
        <f t="shared" si="23"/>
        <v>0</v>
      </c>
      <c r="BDM2" s="87">
        <f t="shared" si="23"/>
        <v>0</v>
      </c>
      <c r="BDN2" s="87">
        <f t="shared" si="23"/>
        <v>0</v>
      </c>
      <c r="BDO2" s="87">
        <f t="shared" si="23"/>
        <v>0</v>
      </c>
      <c r="BDP2" s="87">
        <f t="shared" si="23"/>
        <v>0</v>
      </c>
      <c r="BDQ2" s="87">
        <f t="shared" si="23"/>
        <v>0</v>
      </c>
      <c r="BDR2" s="87">
        <f t="shared" si="23"/>
        <v>0</v>
      </c>
      <c r="BDS2" s="87">
        <f t="shared" si="23"/>
        <v>0</v>
      </c>
      <c r="BDT2" s="87">
        <f t="shared" si="23"/>
        <v>0</v>
      </c>
      <c r="BDU2" s="87">
        <f t="shared" si="23"/>
        <v>0</v>
      </c>
      <c r="BDV2" s="87">
        <f t="shared" si="23"/>
        <v>0</v>
      </c>
      <c r="BDW2" s="87">
        <f t="shared" si="23"/>
        <v>0</v>
      </c>
      <c r="BDX2" s="87">
        <f t="shared" si="23"/>
        <v>0</v>
      </c>
      <c r="BDY2" s="87">
        <f t="shared" si="23"/>
        <v>0</v>
      </c>
      <c r="BDZ2" s="87">
        <f t="shared" si="23"/>
        <v>0</v>
      </c>
      <c r="BEA2" s="87">
        <f t="shared" si="23"/>
        <v>0</v>
      </c>
      <c r="BEB2" s="87">
        <f t="shared" si="23"/>
        <v>0</v>
      </c>
      <c r="BEC2" s="87">
        <f t="shared" si="23"/>
        <v>0</v>
      </c>
      <c r="BED2" s="87">
        <f t="shared" si="23"/>
        <v>0</v>
      </c>
      <c r="BEE2" s="87">
        <f t="shared" si="23"/>
        <v>0</v>
      </c>
      <c r="BEF2" s="87">
        <f t="shared" si="23"/>
        <v>0</v>
      </c>
      <c r="BEG2" s="87">
        <f t="shared" si="23"/>
        <v>0</v>
      </c>
      <c r="BEH2" s="87">
        <f t="shared" si="23"/>
        <v>0</v>
      </c>
      <c r="BEI2" s="87">
        <f t="shared" si="23"/>
        <v>0</v>
      </c>
      <c r="BEJ2" s="87">
        <f t="shared" si="23"/>
        <v>0</v>
      </c>
      <c r="BEK2" s="87">
        <f t="shared" si="23"/>
        <v>0</v>
      </c>
      <c r="BEL2" s="87">
        <f t="shared" si="23"/>
        <v>0</v>
      </c>
      <c r="BEM2" s="87">
        <f t="shared" si="23"/>
        <v>0</v>
      </c>
      <c r="BEN2" s="87">
        <f t="shared" si="23"/>
        <v>0</v>
      </c>
      <c r="BEO2" s="87">
        <f t="shared" si="23"/>
        <v>0</v>
      </c>
      <c r="BEP2" s="87">
        <f t="shared" si="23"/>
        <v>0</v>
      </c>
      <c r="BEQ2" s="87">
        <f t="shared" si="23"/>
        <v>0</v>
      </c>
      <c r="BER2" s="87">
        <f t="shared" si="23"/>
        <v>0</v>
      </c>
      <c r="BES2" s="87">
        <f t="shared" si="23"/>
        <v>0</v>
      </c>
      <c r="BET2" s="87">
        <f t="shared" si="23"/>
        <v>0</v>
      </c>
      <c r="BEU2" s="87">
        <f t="shared" si="23"/>
        <v>0</v>
      </c>
      <c r="BEV2" s="87">
        <f t="shared" si="23"/>
        <v>0</v>
      </c>
      <c r="BEW2" s="87">
        <f t="shared" si="23"/>
        <v>0</v>
      </c>
      <c r="BEX2" s="87">
        <f t="shared" si="23"/>
        <v>0</v>
      </c>
      <c r="BEY2" s="87">
        <f t="shared" si="23"/>
        <v>0</v>
      </c>
      <c r="BEZ2" s="87">
        <f t="shared" si="23"/>
        <v>0</v>
      </c>
      <c r="BFA2" s="87">
        <f t="shared" si="23"/>
        <v>0</v>
      </c>
      <c r="BFB2" s="87">
        <f t="shared" si="23"/>
        <v>0</v>
      </c>
      <c r="BFC2" s="87">
        <f t="shared" si="23"/>
        <v>0</v>
      </c>
      <c r="BFD2" s="87">
        <f t="shared" si="23"/>
        <v>0</v>
      </c>
      <c r="BFE2" s="87">
        <f t="shared" si="23"/>
        <v>0</v>
      </c>
      <c r="BFF2" s="87">
        <f t="shared" si="23"/>
        <v>0</v>
      </c>
      <c r="BFG2" s="87">
        <f t="shared" si="23"/>
        <v>0</v>
      </c>
      <c r="BFH2" s="87">
        <f t="shared" si="23"/>
        <v>0</v>
      </c>
      <c r="BFI2" s="87">
        <f t="shared" si="23"/>
        <v>0</v>
      </c>
      <c r="BFJ2" s="87">
        <f t="shared" si="23"/>
        <v>0</v>
      </c>
      <c r="BFK2" s="87">
        <f t="shared" si="23"/>
        <v>0</v>
      </c>
      <c r="BFL2" s="87">
        <f t="shared" si="23"/>
        <v>0</v>
      </c>
      <c r="BFM2" s="87">
        <f t="shared" si="23"/>
        <v>0</v>
      </c>
      <c r="BFN2" s="87">
        <f t="shared" si="23"/>
        <v>0</v>
      </c>
      <c r="BFO2" s="87">
        <f t="shared" si="23"/>
        <v>0</v>
      </c>
      <c r="BFP2" s="87">
        <f t="shared" si="23"/>
        <v>0</v>
      </c>
      <c r="BFQ2" s="87">
        <f t="shared" ref="BFQ2:BIB2" si="24">SUM(BFQ11:BFQ72)</f>
        <v>0</v>
      </c>
      <c r="BFR2" s="87">
        <f t="shared" si="24"/>
        <v>0</v>
      </c>
      <c r="BFS2" s="87">
        <f t="shared" si="24"/>
        <v>0</v>
      </c>
      <c r="BFT2" s="87">
        <f t="shared" si="24"/>
        <v>0</v>
      </c>
      <c r="BFU2" s="87">
        <f t="shared" si="24"/>
        <v>0</v>
      </c>
      <c r="BFV2" s="87">
        <f t="shared" si="24"/>
        <v>0</v>
      </c>
      <c r="BFW2" s="87">
        <f t="shared" si="24"/>
        <v>0</v>
      </c>
      <c r="BFX2" s="87">
        <f t="shared" si="24"/>
        <v>0</v>
      </c>
      <c r="BFY2" s="87">
        <f t="shared" si="24"/>
        <v>0</v>
      </c>
      <c r="BFZ2" s="87">
        <f t="shared" si="24"/>
        <v>0</v>
      </c>
      <c r="BGA2" s="87">
        <f t="shared" si="24"/>
        <v>0</v>
      </c>
      <c r="BGB2" s="87">
        <f t="shared" si="24"/>
        <v>0</v>
      </c>
      <c r="BGC2" s="87">
        <f t="shared" si="24"/>
        <v>0</v>
      </c>
      <c r="BGD2" s="87">
        <f t="shared" si="24"/>
        <v>0</v>
      </c>
      <c r="BGE2" s="87">
        <f t="shared" si="24"/>
        <v>0</v>
      </c>
      <c r="BGF2" s="87">
        <f t="shared" si="24"/>
        <v>0</v>
      </c>
      <c r="BGG2" s="87">
        <f t="shared" si="24"/>
        <v>0</v>
      </c>
      <c r="BGH2" s="87">
        <f t="shared" si="24"/>
        <v>0</v>
      </c>
      <c r="BGI2" s="87">
        <f t="shared" si="24"/>
        <v>0</v>
      </c>
      <c r="BGJ2" s="87">
        <f t="shared" si="24"/>
        <v>0</v>
      </c>
      <c r="BGK2" s="87">
        <f t="shared" si="24"/>
        <v>0</v>
      </c>
      <c r="BGL2" s="87">
        <f t="shared" si="24"/>
        <v>0</v>
      </c>
      <c r="BGM2" s="87">
        <f t="shared" si="24"/>
        <v>0</v>
      </c>
      <c r="BGN2" s="87">
        <f t="shared" si="24"/>
        <v>0</v>
      </c>
      <c r="BGO2" s="87">
        <f t="shared" si="24"/>
        <v>0</v>
      </c>
      <c r="BGP2" s="87">
        <f t="shared" si="24"/>
        <v>0</v>
      </c>
      <c r="BGQ2" s="87">
        <f t="shared" si="24"/>
        <v>0</v>
      </c>
      <c r="BGR2" s="87">
        <f t="shared" si="24"/>
        <v>0</v>
      </c>
      <c r="BGS2" s="87">
        <f t="shared" si="24"/>
        <v>0</v>
      </c>
      <c r="BGT2" s="87">
        <f t="shared" si="24"/>
        <v>0</v>
      </c>
      <c r="BGU2" s="87">
        <f t="shared" si="24"/>
        <v>0</v>
      </c>
      <c r="BGV2" s="87">
        <f t="shared" si="24"/>
        <v>0</v>
      </c>
      <c r="BGW2" s="87">
        <f t="shared" si="24"/>
        <v>0</v>
      </c>
      <c r="BGX2" s="87">
        <f t="shared" si="24"/>
        <v>0</v>
      </c>
      <c r="BGY2" s="87">
        <f t="shared" si="24"/>
        <v>0</v>
      </c>
      <c r="BGZ2" s="87">
        <f t="shared" si="24"/>
        <v>0</v>
      </c>
      <c r="BHA2" s="87">
        <f t="shared" si="24"/>
        <v>0</v>
      </c>
      <c r="BHB2" s="87">
        <f t="shared" si="24"/>
        <v>0</v>
      </c>
      <c r="BHC2" s="87">
        <f t="shared" si="24"/>
        <v>0</v>
      </c>
      <c r="BHD2" s="87">
        <f t="shared" si="24"/>
        <v>0</v>
      </c>
      <c r="BHE2" s="87">
        <f t="shared" si="24"/>
        <v>0</v>
      </c>
      <c r="BHF2" s="87">
        <f t="shared" si="24"/>
        <v>0</v>
      </c>
      <c r="BHG2" s="87">
        <f t="shared" si="24"/>
        <v>0</v>
      </c>
      <c r="BHH2" s="87">
        <f t="shared" si="24"/>
        <v>0</v>
      </c>
      <c r="BHI2" s="87">
        <f t="shared" si="24"/>
        <v>0</v>
      </c>
      <c r="BHJ2" s="87">
        <f t="shared" si="24"/>
        <v>0</v>
      </c>
      <c r="BHK2" s="87">
        <f t="shared" si="24"/>
        <v>0</v>
      </c>
      <c r="BHL2" s="87">
        <f t="shared" si="24"/>
        <v>0</v>
      </c>
      <c r="BHM2" s="87">
        <f t="shared" si="24"/>
        <v>0</v>
      </c>
      <c r="BHN2" s="87">
        <f t="shared" si="24"/>
        <v>0</v>
      </c>
      <c r="BHO2" s="87">
        <f t="shared" si="24"/>
        <v>0</v>
      </c>
      <c r="BHP2" s="87">
        <f t="shared" si="24"/>
        <v>0</v>
      </c>
      <c r="BHQ2" s="87">
        <f t="shared" si="24"/>
        <v>0</v>
      </c>
      <c r="BHR2" s="87">
        <f t="shared" si="24"/>
        <v>0</v>
      </c>
      <c r="BHS2" s="87">
        <f t="shared" si="24"/>
        <v>0</v>
      </c>
      <c r="BHT2" s="87">
        <f t="shared" si="24"/>
        <v>0</v>
      </c>
      <c r="BHU2" s="87">
        <f t="shared" si="24"/>
        <v>0</v>
      </c>
      <c r="BHV2" s="87">
        <f t="shared" si="24"/>
        <v>0</v>
      </c>
      <c r="BHW2" s="87">
        <f t="shared" si="24"/>
        <v>0</v>
      </c>
      <c r="BHX2" s="87">
        <f t="shared" si="24"/>
        <v>0</v>
      </c>
      <c r="BHY2" s="87">
        <f t="shared" si="24"/>
        <v>0</v>
      </c>
      <c r="BHZ2" s="87">
        <f t="shared" si="24"/>
        <v>0</v>
      </c>
      <c r="BIA2" s="87">
        <f t="shared" si="24"/>
        <v>0</v>
      </c>
      <c r="BIB2" s="87">
        <f t="shared" si="24"/>
        <v>0</v>
      </c>
      <c r="BIC2" s="87">
        <f t="shared" ref="BIC2:BJS2" si="25">SUM(BIC11:BIC72)</f>
        <v>0</v>
      </c>
      <c r="BID2" s="87">
        <f t="shared" si="25"/>
        <v>0</v>
      </c>
      <c r="BIE2" s="87">
        <f t="shared" si="25"/>
        <v>0</v>
      </c>
      <c r="BIF2" s="87">
        <f t="shared" si="25"/>
        <v>0</v>
      </c>
      <c r="BIG2" s="87">
        <f t="shared" si="25"/>
        <v>0</v>
      </c>
      <c r="BIH2" s="87">
        <f t="shared" si="25"/>
        <v>0</v>
      </c>
      <c r="BII2" s="87">
        <f t="shared" si="25"/>
        <v>0</v>
      </c>
      <c r="BIJ2" s="87">
        <f t="shared" si="25"/>
        <v>0</v>
      </c>
      <c r="BIK2" s="87">
        <f t="shared" si="25"/>
        <v>0</v>
      </c>
      <c r="BIL2" s="87">
        <f t="shared" si="25"/>
        <v>0</v>
      </c>
      <c r="BIM2" s="87">
        <f t="shared" si="25"/>
        <v>0</v>
      </c>
      <c r="BIN2" s="87">
        <f t="shared" si="25"/>
        <v>0</v>
      </c>
      <c r="BIO2" s="87">
        <f t="shared" si="25"/>
        <v>0</v>
      </c>
      <c r="BIP2" s="87">
        <f t="shared" si="25"/>
        <v>0</v>
      </c>
      <c r="BIQ2" s="87">
        <f t="shared" si="25"/>
        <v>0</v>
      </c>
      <c r="BIR2" s="87">
        <f t="shared" si="25"/>
        <v>0</v>
      </c>
      <c r="BIS2" s="87">
        <f t="shared" si="25"/>
        <v>0</v>
      </c>
      <c r="BIT2" s="87">
        <f t="shared" si="25"/>
        <v>0</v>
      </c>
      <c r="BIU2" s="87">
        <f t="shared" si="25"/>
        <v>0</v>
      </c>
      <c r="BIV2" s="87">
        <f t="shared" si="25"/>
        <v>0</v>
      </c>
      <c r="BIW2" s="87">
        <f t="shared" si="25"/>
        <v>0</v>
      </c>
      <c r="BIX2" s="87">
        <f t="shared" si="25"/>
        <v>0</v>
      </c>
      <c r="BIY2" s="87">
        <f t="shared" si="25"/>
        <v>0</v>
      </c>
      <c r="BIZ2" s="87">
        <f t="shared" si="25"/>
        <v>0</v>
      </c>
      <c r="BJA2" s="87">
        <f t="shared" si="25"/>
        <v>0</v>
      </c>
      <c r="BJB2" s="87">
        <f t="shared" si="25"/>
        <v>0</v>
      </c>
      <c r="BJC2" s="87">
        <f t="shared" si="25"/>
        <v>0</v>
      </c>
      <c r="BJD2" s="87">
        <f t="shared" si="25"/>
        <v>0</v>
      </c>
      <c r="BJE2" s="87">
        <f t="shared" si="25"/>
        <v>0</v>
      </c>
      <c r="BJF2" s="87">
        <f t="shared" si="25"/>
        <v>0</v>
      </c>
      <c r="BJG2" s="87">
        <f t="shared" si="25"/>
        <v>0</v>
      </c>
      <c r="BJH2" s="87">
        <f t="shared" si="25"/>
        <v>0</v>
      </c>
      <c r="BJI2" s="87">
        <f t="shared" si="25"/>
        <v>0</v>
      </c>
      <c r="BJJ2" s="87">
        <f t="shared" si="25"/>
        <v>0</v>
      </c>
      <c r="BJK2" s="87">
        <f t="shared" si="25"/>
        <v>0</v>
      </c>
      <c r="BJL2" s="87">
        <f t="shared" si="25"/>
        <v>0</v>
      </c>
      <c r="BJM2" s="87">
        <f t="shared" si="25"/>
        <v>0</v>
      </c>
      <c r="BJN2" s="87">
        <f t="shared" si="25"/>
        <v>0</v>
      </c>
      <c r="BJO2" s="87">
        <f t="shared" si="25"/>
        <v>0</v>
      </c>
      <c r="BJP2" s="87">
        <f t="shared" si="25"/>
        <v>0</v>
      </c>
      <c r="BJQ2" s="87">
        <f t="shared" si="25"/>
        <v>0</v>
      </c>
      <c r="BJR2" s="87">
        <f t="shared" si="25"/>
        <v>0</v>
      </c>
      <c r="BJS2" s="87">
        <f t="shared" si="25"/>
        <v>0</v>
      </c>
    </row>
    <row r="3" spans="1:1713" s="82" customFormat="1" ht="15" hidden="1" thickTop="1" x14ac:dyDescent="0.35">
      <c r="A3" s="91"/>
      <c r="C3" s="92"/>
      <c r="D3" s="93"/>
      <c r="E3" s="93"/>
      <c r="F3" s="93"/>
      <c r="G3" s="93"/>
      <c r="H3" s="93"/>
      <c r="I3" s="93"/>
      <c r="J3" s="94"/>
      <c r="K3" s="93"/>
      <c r="L3" s="95"/>
      <c r="M3" s="93"/>
      <c r="N3" s="95"/>
      <c r="O3" s="93"/>
      <c r="P3" s="93" t="s">
        <v>102</v>
      </c>
      <c r="Q3" s="93" t="s">
        <v>102</v>
      </c>
      <c r="R3" s="93" t="s">
        <v>102</v>
      </c>
      <c r="S3" s="93" t="s">
        <v>102</v>
      </c>
      <c r="T3" s="93" t="s">
        <v>102</v>
      </c>
      <c r="U3" s="93"/>
      <c r="V3" s="93" t="s">
        <v>102</v>
      </c>
      <c r="W3" s="93" t="s">
        <v>102</v>
      </c>
      <c r="X3" s="93" t="s">
        <v>103</v>
      </c>
      <c r="Y3" s="93" t="s">
        <v>103</v>
      </c>
      <c r="Z3" s="93" t="s">
        <v>103</v>
      </c>
      <c r="AA3" s="93" t="s">
        <v>103</v>
      </c>
      <c r="AB3" s="93" t="s">
        <v>103</v>
      </c>
      <c r="AC3" s="93" t="s">
        <v>103</v>
      </c>
      <c r="AD3" s="93" t="s">
        <v>103</v>
      </c>
      <c r="AE3" s="93" t="s">
        <v>103</v>
      </c>
      <c r="AF3" s="93" t="s">
        <v>103</v>
      </c>
      <c r="AG3" s="93" t="s">
        <v>103</v>
      </c>
      <c r="AH3" s="93" t="s">
        <v>103</v>
      </c>
      <c r="AI3" s="93" t="s">
        <v>103</v>
      </c>
      <c r="AJ3" s="93" t="s">
        <v>103</v>
      </c>
      <c r="AK3" s="93" t="s">
        <v>103</v>
      </c>
      <c r="AL3" s="93" t="s">
        <v>103</v>
      </c>
      <c r="AM3" s="93" t="s">
        <v>103</v>
      </c>
      <c r="AN3" s="93" t="s">
        <v>103</v>
      </c>
      <c r="AO3" s="93" t="s">
        <v>103</v>
      </c>
      <c r="AP3" s="93" t="s">
        <v>103</v>
      </c>
      <c r="AQ3" s="93" t="s">
        <v>103</v>
      </c>
      <c r="AR3" s="93" t="s">
        <v>103</v>
      </c>
      <c r="AS3" s="93" t="s">
        <v>103</v>
      </c>
      <c r="AT3" s="93" t="s">
        <v>103</v>
      </c>
      <c r="AU3" s="93" t="s">
        <v>103</v>
      </c>
      <c r="AV3" s="93" t="s">
        <v>103</v>
      </c>
      <c r="AW3" s="93" t="s">
        <v>103</v>
      </c>
      <c r="AX3" s="93" t="s">
        <v>103</v>
      </c>
      <c r="AY3" s="93" t="s">
        <v>103</v>
      </c>
      <c r="AZ3" s="93"/>
      <c r="BA3" s="93" t="s">
        <v>96</v>
      </c>
      <c r="BB3" s="93" t="s">
        <v>96</v>
      </c>
      <c r="BC3" s="93" t="s">
        <v>96</v>
      </c>
      <c r="BD3" s="93" t="s">
        <v>96</v>
      </c>
      <c r="BE3" s="93" t="s">
        <v>96</v>
      </c>
      <c r="BF3" s="93" t="s">
        <v>96</v>
      </c>
      <c r="BG3" s="93" t="s">
        <v>96</v>
      </c>
      <c r="BH3" s="93" t="s">
        <v>96</v>
      </c>
      <c r="BI3" s="93" t="s">
        <v>96</v>
      </c>
      <c r="BJ3" s="93" t="s">
        <v>96</v>
      </c>
      <c r="BK3" s="93" t="s">
        <v>96</v>
      </c>
      <c r="BL3" s="93" t="s">
        <v>96</v>
      </c>
      <c r="BM3" s="93" t="s">
        <v>96</v>
      </c>
      <c r="BN3" s="93" t="s">
        <v>97</v>
      </c>
      <c r="BO3" s="93" t="s">
        <v>97</v>
      </c>
      <c r="BP3" s="93" t="s">
        <v>97</v>
      </c>
      <c r="BQ3" s="93" t="s">
        <v>97</v>
      </c>
      <c r="BR3" s="93" t="s">
        <v>97</v>
      </c>
      <c r="BS3" s="93" t="s">
        <v>97</v>
      </c>
      <c r="BT3" s="93" t="s">
        <v>97</v>
      </c>
      <c r="BU3" s="93" t="s">
        <v>97</v>
      </c>
      <c r="BV3" s="93" t="s">
        <v>97</v>
      </c>
      <c r="BW3" s="93" t="s">
        <v>97</v>
      </c>
      <c r="BX3" s="93" t="s">
        <v>97</v>
      </c>
      <c r="BY3" s="93" t="s">
        <v>97</v>
      </c>
      <c r="BZ3" s="93" t="s">
        <v>97</v>
      </c>
      <c r="CA3" s="93" t="s">
        <v>97</v>
      </c>
      <c r="CB3" s="93" t="s">
        <v>97</v>
      </c>
      <c r="CC3" s="93" t="s">
        <v>97</v>
      </c>
      <c r="CD3" s="93" t="s">
        <v>97</v>
      </c>
      <c r="CE3" s="93" t="s">
        <v>97</v>
      </c>
      <c r="CF3" s="93" t="s">
        <v>97</v>
      </c>
      <c r="CG3" s="93" t="s">
        <v>97</v>
      </c>
      <c r="CH3" s="93" t="s">
        <v>97</v>
      </c>
      <c r="CI3" s="93" t="s">
        <v>97</v>
      </c>
      <c r="CJ3" s="93" t="s">
        <v>97</v>
      </c>
      <c r="CK3" s="93" t="s">
        <v>97</v>
      </c>
      <c r="CL3" s="93" t="s">
        <v>97</v>
      </c>
      <c r="CM3" s="93" t="s">
        <v>98</v>
      </c>
      <c r="CN3" s="93" t="s">
        <v>98</v>
      </c>
      <c r="CO3" s="93" t="s">
        <v>98</v>
      </c>
      <c r="CP3" s="93" t="s">
        <v>98</v>
      </c>
      <c r="CQ3" s="93" t="s">
        <v>98</v>
      </c>
      <c r="CR3" s="93" t="s">
        <v>99</v>
      </c>
      <c r="CS3" s="93" t="s">
        <v>99</v>
      </c>
      <c r="CT3" s="93" t="s">
        <v>99</v>
      </c>
      <c r="CU3" s="93" t="s">
        <v>99</v>
      </c>
      <c r="CV3" s="93" t="s">
        <v>99</v>
      </c>
      <c r="CW3" s="93" t="s">
        <v>99</v>
      </c>
      <c r="CX3" s="93" t="s">
        <v>99</v>
      </c>
      <c r="CY3" s="93" t="s">
        <v>99</v>
      </c>
      <c r="CZ3" s="93" t="s">
        <v>99</v>
      </c>
      <c r="DA3" s="93" t="s">
        <v>99</v>
      </c>
      <c r="DB3" s="93" t="s">
        <v>99</v>
      </c>
      <c r="DC3" s="93" t="s">
        <v>99</v>
      </c>
      <c r="DD3" s="93" t="s">
        <v>99</v>
      </c>
      <c r="DE3" s="93" t="s">
        <v>99</v>
      </c>
      <c r="DF3" s="93" t="s">
        <v>99</v>
      </c>
      <c r="DG3" s="93" t="s">
        <v>99</v>
      </c>
      <c r="DH3" s="93" t="s">
        <v>99</v>
      </c>
      <c r="DI3" s="93" t="s">
        <v>99</v>
      </c>
      <c r="DJ3" s="93" t="s">
        <v>99</v>
      </c>
      <c r="DK3" s="93" t="s">
        <v>99</v>
      </c>
      <c r="DL3" s="93" t="s">
        <v>100</v>
      </c>
      <c r="DM3" s="93" t="s">
        <v>100</v>
      </c>
      <c r="DN3" s="93" t="s">
        <v>100</v>
      </c>
      <c r="DO3" s="93" t="s">
        <v>100</v>
      </c>
      <c r="DP3" s="93" t="s">
        <v>100</v>
      </c>
      <c r="DQ3" s="93" t="s">
        <v>100</v>
      </c>
      <c r="DR3" s="93" t="s">
        <v>100</v>
      </c>
      <c r="DS3" s="93" t="s">
        <v>100</v>
      </c>
      <c r="DT3" s="93" t="s">
        <v>100</v>
      </c>
      <c r="DU3" s="93" t="s">
        <v>100</v>
      </c>
      <c r="DV3" s="93" t="s">
        <v>100</v>
      </c>
      <c r="DW3" s="93" t="s">
        <v>100</v>
      </c>
      <c r="DX3" s="93" t="s">
        <v>100</v>
      </c>
      <c r="DY3" s="93" t="s">
        <v>100</v>
      </c>
      <c r="DZ3" s="93" t="s">
        <v>100</v>
      </c>
      <c r="EA3" s="93" t="s">
        <v>100</v>
      </c>
      <c r="EB3" s="93" t="s">
        <v>100</v>
      </c>
      <c r="EC3" s="93" t="s">
        <v>100</v>
      </c>
      <c r="ED3" s="93" t="s">
        <v>100</v>
      </c>
      <c r="EE3" s="93" t="s">
        <v>100</v>
      </c>
      <c r="EF3" s="93" t="s">
        <v>100</v>
      </c>
      <c r="EG3" s="93" t="s">
        <v>100</v>
      </c>
      <c r="EH3" s="93" t="s">
        <v>100</v>
      </c>
      <c r="EI3" s="93" t="s">
        <v>100</v>
      </c>
      <c r="EJ3" s="93" t="s">
        <v>100</v>
      </c>
      <c r="EK3" s="93" t="s">
        <v>101</v>
      </c>
      <c r="EL3" s="93" t="s">
        <v>101</v>
      </c>
      <c r="EM3" s="93" t="s">
        <v>101</v>
      </c>
      <c r="EN3" s="93" t="s">
        <v>101</v>
      </c>
      <c r="EO3" s="93" t="s">
        <v>101</v>
      </c>
      <c r="EP3" s="93" t="s">
        <v>101</v>
      </c>
      <c r="EQ3" s="93" t="s">
        <v>101</v>
      </c>
      <c r="ER3" s="93" t="s">
        <v>101</v>
      </c>
      <c r="ES3" s="93" t="s">
        <v>101</v>
      </c>
      <c r="ET3" s="93" t="s">
        <v>101</v>
      </c>
      <c r="EU3" s="93" t="s">
        <v>101</v>
      </c>
      <c r="EV3" s="93" t="s">
        <v>101</v>
      </c>
      <c r="EW3" s="93" t="s">
        <v>101</v>
      </c>
      <c r="EX3" s="93" t="s">
        <v>101</v>
      </c>
      <c r="EY3" s="93" t="s">
        <v>101</v>
      </c>
      <c r="EZ3" s="93" t="s">
        <v>101</v>
      </c>
      <c r="FA3" s="93" t="s">
        <v>101</v>
      </c>
      <c r="FB3" s="93" t="s">
        <v>101</v>
      </c>
      <c r="FC3" s="93" t="s">
        <v>101</v>
      </c>
      <c r="FD3" s="93" t="s">
        <v>101</v>
      </c>
      <c r="FE3" s="93" t="s">
        <v>101</v>
      </c>
      <c r="FF3" s="93" t="s">
        <v>101</v>
      </c>
      <c r="FG3" s="93" t="s">
        <v>101</v>
      </c>
      <c r="FH3" s="93" t="s">
        <v>101</v>
      </c>
      <c r="FI3" s="93" t="s">
        <v>101</v>
      </c>
      <c r="FJ3" s="93" t="s">
        <v>101</v>
      </c>
      <c r="FK3" s="93" t="s">
        <v>101</v>
      </c>
      <c r="FL3" s="93" t="s">
        <v>101</v>
      </c>
      <c r="FM3" s="93" t="s">
        <v>101</v>
      </c>
      <c r="FN3" s="93" t="s">
        <v>101</v>
      </c>
      <c r="FO3" s="93" t="s">
        <v>75</v>
      </c>
      <c r="FP3" s="93" t="s">
        <v>75</v>
      </c>
      <c r="FQ3" s="93" t="s">
        <v>75</v>
      </c>
      <c r="FR3" s="93" t="s">
        <v>75</v>
      </c>
      <c r="FS3" s="93" t="s">
        <v>75</v>
      </c>
      <c r="FT3" s="93" t="s">
        <v>75</v>
      </c>
      <c r="FU3" s="93" t="s">
        <v>75</v>
      </c>
      <c r="FV3" s="93" t="s">
        <v>75</v>
      </c>
      <c r="FW3" s="93" t="s">
        <v>75</v>
      </c>
      <c r="FX3" s="93" t="s">
        <v>75</v>
      </c>
      <c r="FY3" s="93" t="s">
        <v>75</v>
      </c>
      <c r="FZ3" s="93" t="s">
        <v>75</v>
      </c>
      <c r="GA3" s="93" t="s">
        <v>75</v>
      </c>
      <c r="GB3" s="93" t="s">
        <v>75</v>
      </c>
      <c r="GC3" s="93" t="s">
        <v>75</v>
      </c>
      <c r="GD3" s="93" t="s">
        <v>75</v>
      </c>
      <c r="GE3" s="93" t="s">
        <v>75</v>
      </c>
      <c r="GF3" s="93" t="s">
        <v>75</v>
      </c>
      <c r="GG3" s="93" t="s">
        <v>75</v>
      </c>
      <c r="GH3" s="93" t="s">
        <v>75</v>
      </c>
      <c r="GI3" s="93" t="s">
        <v>75</v>
      </c>
      <c r="GJ3" s="93" t="s">
        <v>75</v>
      </c>
      <c r="GK3" s="93" t="s">
        <v>75</v>
      </c>
      <c r="GL3" s="93" t="s">
        <v>75</v>
      </c>
      <c r="GM3" s="93" t="s">
        <v>75</v>
      </c>
      <c r="GN3" s="93" t="s">
        <v>75</v>
      </c>
      <c r="GO3" s="93" t="s">
        <v>75</v>
      </c>
      <c r="GP3" s="93" t="s">
        <v>75</v>
      </c>
      <c r="GQ3" s="93" t="s">
        <v>75</v>
      </c>
      <c r="GR3" s="93" t="s">
        <v>75</v>
      </c>
      <c r="GS3" s="93" t="s">
        <v>75</v>
      </c>
      <c r="GT3" s="93" t="s">
        <v>75</v>
      </c>
      <c r="GU3" s="93" t="s">
        <v>76</v>
      </c>
      <c r="GV3" s="93" t="s">
        <v>76</v>
      </c>
      <c r="GW3" s="93" t="s">
        <v>76</v>
      </c>
      <c r="GX3" s="93" t="s">
        <v>76</v>
      </c>
      <c r="GY3" s="93" t="s">
        <v>76</v>
      </c>
      <c r="GZ3" s="93" t="s">
        <v>76</v>
      </c>
      <c r="HA3" s="93" t="s">
        <v>76</v>
      </c>
      <c r="HB3" s="93" t="s">
        <v>76</v>
      </c>
      <c r="HC3" s="93" t="s">
        <v>76</v>
      </c>
      <c r="HD3" s="93" t="s">
        <v>76</v>
      </c>
      <c r="HE3" s="93" t="s">
        <v>76</v>
      </c>
      <c r="HF3" s="93" t="s">
        <v>76</v>
      </c>
      <c r="HG3" s="93" t="s">
        <v>76</v>
      </c>
      <c r="HH3" s="93" t="s">
        <v>76</v>
      </c>
      <c r="HI3" s="93" t="s">
        <v>76</v>
      </c>
      <c r="HJ3" s="93" t="s">
        <v>76</v>
      </c>
      <c r="HK3" s="93" t="s">
        <v>76</v>
      </c>
      <c r="HL3" s="93" t="s">
        <v>76</v>
      </c>
      <c r="HM3" s="93" t="s">
        <v>76</v>
      </c>
      <c r="HN3" s="93" t="s">
        <v>76</v>
      </c>
      <c r="HO3" s="93" t="s">
        <v>76</v>
      </c>
      <c r="HP3" s="93" t="s">
        <v>76</v>
      </c>
      <c r="HQ3" s="93" t="s">
        <v>76</v>
      </c>
      <c r="HR3" s="93" t="s">
        <v>76</v>
      </c>
      <c r="HS3" s="93" t="s">
        <v>76</v>
      </c>
      <c r="HT3" s="93" t="s">
        <v>76</v>
      </c>
      <c r="HU3" s="93" t="s">
        <v>76</v>
      </c>
      <c r="HV3" s="93" t="s">
        <v>76</v>
      </c>
      <c r="HW3" s="93" t="s">
        <v>76</v>
      </c>
      <c r="HX3" s="93" t="s">
        <v>76</v>
      </c>
      <c r="HY3" s="93" t="s">
        <v>76</v>
      </c>
      <c r="HZ3" s="93" t="s">
        <v>76</v>
      </c>
      <c r="IA3" s="93" t="s">
        <v>77</v>
      </c>
      <c r="IB3" s="93" t="s">
        <v>77</v>
      </c>
      <c r="IC3" s="93" t="s">
        <v>77</v>
      </c>
      <c r="ID3" s="93" t="s">
        <v>77</v>
      </c>
      <c r="IE3" s="93" t="s">
        <v>77</v>
      </c>
      <c r="IF3" s="93" t="s">
        <v>77</v>
      </c>
      <c r="IG3" s="93" t="s">
        <v>77</v>
      </c>
      <c r="IH3" s="93" t="s">
        <v>77</v>
      </c>
      <c r="II3" s="93" t="s">
        <v>77</v>
      </c>
      <c r="IJ3" s="93" t="s">
        <v>77</v>
      </c>
      <c r="IK3" s="93" t="s">
        <v>77</v>
      </c>
      <c r="IL3" s="93" t="s">
        <v>77</v>
      </c>
      <c r="IM3" s="93" t="s">
        <v>77</v>
      </c>
      <c r="IN3" s="93" t="s">
        <v>77</v>
      </c>
      <c r="IO3" s="93" t="s">
        <v>77</v>
      </c>
      <c r="IP3" s="93" t="s">
        <v>77</v>
      </c>
      <c r="IQ3" s="93" t="s">
        <v>77</v>
      </c>
      <c r="IR3" s="93" t="s">
        <v>77</v>
      </c>
      <c r="IS3" s="93" t="s">
        <v>77</v>
      </c>
      <c r="IT3" s="93" t="s">
        <v>77</v>
      </c>
      <c r="IU3" s="93" t="s">
        <v>77</v>
      </c>
      <c r="IV3" s="93" t="s">
        <v>77</v>
      </c>
      <c r="IW3" s="93" t="s">
        <v>77</v>
      </c>
      <c r="IX3" s="93" t="s">
        <v>77</v>
      </c>
      <c r="IY3" s="93" t="s">
        <v>77</v>
      </c>
      <c r="IZ3" s="93" t="s">
        <v>77</v>
      </c>
      <c r="JA3" s="93" t="s">
        <v>77</v>
      </c>
      <c r="JB3" s="93" t="s">
        <v>77</v>
      </c>
      <c r="JC3" s="93" t="s">
        <v>77</v>
      </c>
      <c r="JD3" s="93" t="s">
        <v>77</v>
      </c>
      <c r="JE3" s="93" t="s">
        <v>77</v>
      </c>
      <c r="JF3" s="93" t="s">
        <v>77</v>
      </c>
      <c r="JG3" s="93" t="s">
        <v>77</v>
      </c>
      <c r="JH3" s="93" t="s">
        <v>77</v>
      </c>
      <c r="JI3" s="93" t="s">
        <v>77</v>
      </c>
      <c r="JJ3" s="93" t="s">
        <v>77</v>
      </c>
      <c r="JK3" s="93" t="s">
        <v>77</v>
      </c>
      <c r="JL3" s="93" t="s">
        <v>77</v>
      </c>
      <c r="JM3" s="93" t="s">
        <v>77</v>
      </c>
      <c r="JN3" s="93" t="s">
        <v>77</v>
      </c>
      <c r="JO3" s="93" t="s">
        <v>78</v>
      </c>
      <c r="JP3" s="93" t="s">
        <v>78</v>
      </c>
      <c r="JQ3" s="93" t="s">
        <v>78</v>
      </c>
      <c r="JR3" s="93" t="s">
        <v>78</v>
      </c>
      <c r="JS3" s="93" t="s">
        <v>78</v>
      </c>
      <c r="JT3" s="93" t="s">
        <v>78</v>
      </c>
      <c r="JU3" s="93" t="s">
        <v>78</v>
      </c>
      <c r="JV3" s="93" t="s">
        <v>78</v>
      </c>
      <c r="JW3" s="93" t="s">
        <v>78</v>
      </c>
      <c r="JX3" s="93" t="s">
        <v>78</v>
      </c>
      <c r="JY3" s="93" t="s">
        <v>78</v>
      </c>
      <c r="JZ3" s="93" t="s">
        <v>78</v>
      </c>
      <c r="KA3" s="93" t="s">
        <v>78</v>
      </c>
      <c r="KB3" s="93" t="s">
        <v>78</v>
      </c>
      <c r="KC3" s="93" t="s">
        <v>78</v>
      </c>
      <c r="KD3" s="93" t="s">
        <v>78</v>
      </c>
      <c r="KE3" s="93" t="s">
        <v>78</v>
      </c>
      <c r="KF3" s="93" t="s">
        <v>78</v>
      </c>
      <c r="KG3" s="93" t="s">
        <v>78</v>
      </c>
      <c r="KH3" s="93" t="s">
        <v>78</v>
      </c>
      <c r="KI3" s="93" t="s">
        <v>78</v>
      </c>
      <c r="KJ3" s="93" t="s">
        <v>78</v>
      </c>
      <c r="KK3" s="93" t="s">
        <v>78</v>
      </c>
      <c r="KL3" s="93" t="s">
        <v>78</v>
      </c>
      <c r="KM3" s="93" t="s">
        <v>78</v>
      </c>
      <c r="KN3" s="93" t="s">
        <v>78</v>
      </c>
      <c r="KO3" s="93" t="s">
        <v>78</v>
      </c>
      <c r="KP3" s="93" t="s">
        <v>78</v>
      </c>
      <c r="KQ3" s="93" t="s">
        <v>78</v>
      </c>
      <c r="KR3" s="93" t="s">
        <v>78</v>
      </c>
      <c r="KS3" s="93" t="s">
        <v>78</v>
      </c>
      <c r="KT3" s="93" t="s">
        <v>78</v>
      </c>
      <c r="KU3" s="93" t="s">
        <v>78</v>
      </c>
      <c r="KV3" s="93" t="s">
        <v>78</v>
      </c>
      <c r="KW3" s="93" t="s">
        <v>78</v>
      </c>
      <c r="KX3" s="93" t="s">
        <v>78</v>
      </c>
      <c r="KY3" s="93" t="s">
        <v>78</v>
      </c>
      <c r="KZ3" s="93" t="s">
        <v>78</v>
      </c>
      <c r="LA3" s="93" t="s">
        <v>78</v>
      </c>
      <c r="LB3" s="93" t="s">
        <v>78</v>
      </c>
      <c r="LC3" s="93" t="s">
        <v>78</v>
      </c>
      <c r="LD3" s="93" t="s">
        <v>78</v>
      </c>
      <c r="LE3" s="93" t="s">
        <v>79</v>
      </c>
      <c r="LF3" s="93" t="s">
        <v>79</v>
      </c>
      <c r="LG3" s="93" t="s">
        <v>79</v>
      </c>
      <c r="LH3" s="93" t="s">
        <v>79</v>
      </c>
      <c r="LI3" s="93" t="s">
        <v>79</v>
      </c>
      <c r="LJ3" s="93" t="s">
        <v>79</v>
      </c>
      <c r="LK3" s="93" t="s">
        <v>79</v>
      </c>
      <c r="LL3" s="93" t="s">
        <v>79</v>
      </c>
      <c r="LM3" s="93" t="s">
        <v>79</v>
      </c>
      <c r="LN3" s="93" t="s">
        <v>79</v>
      </c>
      <c r="LO3" s="93" t="s">
        <v>79</v>
      </c>
      <c r="LP3" s="93" t="s">
        <v>79</v>
      </c>
      <c r="LQ3" s="93" t="s">
        <v>79</v>
      </c>
      <c r="LR3" s="93" t="s">
        <v>79</v>
      </c>
      <c r="LS3" s="93" t="s">
        <v>79</v>
      </c>
      <c r="LT3" s="93" t="s">
        <v>79</v>
      </c>
      <c r="LU3" s="93" t="s">
        <v>79</v>
      </c>
      <c r="LV3" s="93" t="s">
        <v>79</v>
      </c>
      <c r="LW3" s="93" t="s">
        <v>79</v>
      </c>
      <c r="LX3" s="93" t="s">
        <v>79</v>
      </c>
      <c r="LY3" s="93" t="s">
        <v>79</v>
      </c>
      <c r="LZ3" s="93" t="s">
        <v>79</v>
      </c>
      <c r="MA3" s="93" t="s">
        <v>79</v>
      </c>
      <c r="MB3" s="93" t="s">
        <v>79</v>
      </c>
      <c r="MC3" s="93" t="s">
        <v>79</v>
      </c>
      <c r="MD3" s="93" t="s">
        <v>79</v>
      </c>
      <c r="ME3" s="93" t="s">
        <v>79</v>
      </c>
      <c r="MF3" s="93" t="s">
        <v>79</v>
      </c>
      <c r="MG3" s="93" t="s">
        <v>79</v>
      </c>
      <c r="MH3" s="93" t="s">
        <v>79</v>
      </c>
      <c r="MI3" s="93" t="s">
        <v>79</v>
      </c>
      <c r="MJ3" s="93" t="s">
        <v>79</v>
      </c>
      <c r="MK3" s="93" t="s">
        <v>79</v>
      </c>
      <c r="ML3" s="93" t="s">
        <v>79</v>
      </c>
      <c r="MM3" s="93" t="s">
        <v>79</v>
      </c>
      <c r="MN3" s="93" t="s">
        <v>79</v>
      </c>
      <c r="MO3" s="93" t="s">
        <v>79</v>
      </c>
      <c r="MP3" s="93" t="s">
        <v>79</v>
      </c>
      <c r="MQ3" s="93" t="s">
        <v>79</v>
      </c>
      <c r="MR3" s="93" t="s">
        <v>79</v>
      </c>
      <c r="MS3" s="93" t="s">
        <v>79</v>
      </c>
      <c r="MT3" s="93" t="s">
        <v>79</v>
      </c>
      <c r="MU3" s="93" t="s">
        <v>79</v>
      </c>
      <c r="MV3" s="93" t="s">
        <v>79</v>
      </c>
      <c r="MW3" s="93" t="s">
        <v>79</v>
      </c>
      <c r="MX3" s="93" t="s">
        <v>79</v>
      </c>
      <c r="MY3" s="93" t="s">
        <v>79</v>
      </c>
      <c r="MZ3" s="93" t="s">
        <v>79</v>
      </c>
      <c r="NA3" s="93" t="s">
        <v>79</v>
      </c>
      <c r="NB3" s="93" t="s">
        <v>79</v>
      </c>
      <c r="NC3" s="93" t="s">
        <v>79</v>
      </c>
      <c r="ND3" s="93" t="s">
        <v>79</v>
      </c>
      <c r="NE3" s="93" t="s">
        <v>79</v>
      </c>
      <c r="NF3" s="93" t="s">
        <v>79</v>
      </c>
      <c r="NG3" s="93" t="s">
        <v>79</v>
      </c>
      <c r="NH3" s="93" t="s">
        <v>79</v>
      </c>
      <c r="NI3" s="93" t="s">
        <v>79</v>
      </c>
      <c r="NJ3" s="93" t="s">
        <v>79</v>
      </c>
      <c r="NK3" s="93" t="s">
        <v>79</v>
      </c>
      <c r="NL3" s="93" t="s">
        <v>79</v>
      </c>
      <c r="NM3" s="93" t="s">
        <v>80</v>
      </c>
      <c r="NN3" s="93" t="s">
        <v>80</v>
      </c>
      <c r="NO3" s="93" t="s">
        <v>80</v>
      </c>
      <c r="NP3" s="93" t="s">
        <v>80</v>
      </c>
      <c r="NQ3" s="93" t="s">
        <v>80</v>
      </c>
      <c r="NR3" s="93" t="s">
        <v>80</v>
      </c>
      <c r="NS3" s="93" t="s">
        <v>80</v>
      </c>
      <c r="NT3" s="93" t="s">
        <v>80</v>
      </c>
      <c r="NU3" s="93" t="s">
        <v>80</v>
      </c>
      <c r="NV3" s="93" t="s">
        <v>80</v>
      </c>
      <c r="NW3" s="93" t="s">
        <v>80</v>
      </c>
      <c r="NX3" s="93" t="s">
        <v>80</v>
      </c>
      <c r="NY3" s="93" t="s">
        <v>80</v>
      </c>
      <c r="NZ3" s="93" t="s">
        <v>80</v>
      </c>
      <c r="OA3" s="93" t="s">
        <v>80</v>
      </c>
      <c r="OB3" s="93" t="s">
        <v>80</v>
      </c>
      <c r="OC3" s="93" t="s">
        <v>80</v>
      </c>
      <c r="OD3" s="93" t="s">
        <v>80</v>
      </c>
      <c r="OE3" s="93" t="s">
        <v>80</v>
      </c>
      <c r="OF3" s="93" t="s">
        <v>80</v>
      </c>
      <c r="OG3" s="93" t="s">
        <v>80</v>
      </c>
      <c r="OH3" s="93" t="s">
        <v>80</v>
      </c>
      <c r="OI3" s="93" t="s">
        <v>80</v>
      </c>
      <c r="OJ3" s="93" t="s">
        <v>80</v>
      </c>
      <c r="OK3" s="93" t="s">
        <v>80</v>
      </c>
      <c r="OL3" s="93" t="s">
        <v>80</v>
      </c>
      <c r="OM3" s="93" t="s">
        <v>80</v>
      </c>
      <c r="ON3" s="93" t="s">
        <v>80</v>
      </c>
      <c r="OO3" s="93" t="s">
        <v>80</v>
      </c>
      <c r="OP3" s="93" t="s">
        <v>80</v>
      </c>
      <c r="OQ3" s="93" t="s">
        <v>80</v>
      </c>
      <c r="OR3" s="93" t="s">
        <v>80</v>
      </c>
      <c r="OS3" s="93" t="s">
        <v>80</v>
      </c>
      <c r="OT3" s="93" t="s">
        <v>80</v>
      </c>
      <c r="OU3" s="93" t="s">
        <v>80</v>
      </c>
      <c r="OV3" s="93" t="s">
        <v>80</v>
      </c>
      <c r="OW3" s="93" t="s">
        <v>80</v>
      </c>
      <c r="OX3" s="93" t="s">
        <v>80</v>
      </c>
      <c r="OY3" s="93" t="s">
        <v>80</v>
      </c>
      <c r="OZ3" s="93" t="s">
        <v>80</v>
      </c>
      <c r="PA3" s="93" t="s">
        <v>80</v>
      </c>
      <c r="PB3" s="93" t="s">
        <v>80</v>
      </c>
      <c r="PC3" s="93" t="s">
        <v>80</v>
      </c>
      <c r="PD3" s="93" t="s">
        <v>80</v>
      </c>
      <c r="PE3" s="93" t="s">
        <v>80</v>
      </c>
      <c r="PF3" s="93" t="s">
        <v>81</v>
      </c>
      <c r="PG3" s="93" t="s">
        <v>81</v>
      </c>
      <c r="PH3" s="93" t="s">
        <v>81</v>
      </c>
      <c r="PI3" s="93" t="s">
        <v>81</v>
      </c>
      <c r="PJ3" s="93" t="s">
        <v>81</v>
      </c>
      <c r="PK3" s="93" t="s">
        <v>81</v>
      </c>
      <c r="PL3" s="93" t="s">
        <v>81</v>
      </c>
      <c r="PM3" s="93" t="s">
        <v>81</v>
      </c>
      <c r="PN3" s="93" t="s">
        <v>81</v>
      </c>
      <c r="PO3" s="93" t="s">
        <v>81</v>
      </c>
      <c r="PP3" s="93" t="s">
        <v>81</v>
      </c>
      <c r="PQ3" s="93" t="s">
        <v>81</v>
      </c>
      <c r="PR3" s="93" t="s">
        <v>81</v>
      </c>
      <c r="PS3" s="93" t="s">
        <v>81</v>
      </c>
      <c r="PT3" s="93" t="s">
        <v>81</v>
      </c>
      <c r="PU3" s="93" t="s">
        <v>81</v>
      </c>
      <c r="PV3" s="93" t="s">
        <v>81</v>
      </c>
      <c r="PW3" s="93" t="s">
        <v>81</v>
      </c>
      <c r="PX3" s="93" t="s">
        <v>81</v>
      </c>
      <c r="PY3" s="93" t="s">
        <v>81</v>
      </c>
      <c r="PZ3" s="93" t="s">
        <v>81</v>
      </c>
      <c r="QA3" s="93" t="s">
        <v>81</v>
      </c>
      <c r="QB3" s="93" t="s">
        <v>81</v>
      </c>
      <c r="QC3" s="93" t="s">
        <v>81</v>
      </c>
      <c r="QD3" s="93" t="s">
        <v>81</v>
      </c>
      <c r="QE3" s="93" t="s">
        <v>82</v>
      </c>
      <c r="QF3" s="93" t="s">
        <v>82</v>
      </c>
      <c r="QG3" s="93" t="s">
        <v>82</v>
      </c>
      <c r="QH3" s="93" t="s">
        <v>82</v>
      </c>
      <c r="QI3" s="93" t="s">
        <v>82</v>
      </c>
      <c r="QJ3" s="93" t="s">
        <v>82</v>
      </c>
      <c r="QK3" s="93" t="s">
        <v>82</v>
      </c>
      <c r="QL3" s="93" t="s">
        <v>82</v>
      </c>
      <c r="QM3" s="93" t="s">
        <v>82</v>
      </c>
      <c r="QN3" s="93" t="s">
        <v>82</v>
      </c>
      <c r="QO3" s="93" t="s">
        <v>82</v>
      </c>
      <c r="QP3" s="93" t="s">
        <v>82</v>
      </c>
      <c r="QQ3" s="93" t="s">
        <v>82</v>
      </c>
      <c r="QR3" s="93" t="s">
        <v>82</v>
      </c>
      <c r="QS3" s="93" t="s">
        <v>82</v>
      </c>
      <c r="QT3" s="93" t="s">
        <v>82</v>
      </c>
      <c r="QU3" s="93" t="s">
        <v>82</v>
      </c>
      <c r="QV3" s="93" t="s">
        <v>82</v>
      </c>
      <c r="QW3" s="93" t="s">
        <v>82</v>
      </c>
      <c r="QX3" s="93" t="s">
        <v>82</v>
      </c>
      <c r="QY3" s="93" t="s">
        <v>82</v>
      </c>
      <c r="QZ3" s="93" t="s">
        <v>82</v>
      </c>
      <c r="RA3" s="93" t="s">
        <v>82</v>
      </c>
      <c r="RB3" s="93" t="s">
        <v>82</v>
      </c>
      <c r="RC3" s="93" t="s">
        <v>82</v>
      </c>
      <c r="RD3" s="93" t="s">
        <v>82</v>
      </c>
      <c r="RE3" s="93" t="s">
        <v>82</v>
      </c>
      <c r="RF3" s="93" t="s">
        <v>82</v>
      </c>
      <c r="RG3" s="93" t="s">
        <v>82</v>
      </c>
      <c r="RH3" s="93" t="s">
        <v>82</v>
      </c>
      <c r="RI3" s="93" t="s">
        <v>82</v>
      </c>
      <c r="RJ3" s="93" t="s">
        <v>82</v>
      </c>
      <c r="RK3" s="93" t="s">
        <v>82</v>
      </c>
      <c r="RL3" s="93" t="s">
        <v>82</v>
      </c>
      <c r="RM3" s="93" t="s">
        <v>82</v>
      </c>
      <c r="RN3" s="93" t="s">
        <v>82</v>
      </c>
      <c r="RO3" s="93" t="s">
        <v>82</v>
      </c>
      <c r="RP3" s="93" t="s">
        <v>82</v>
      </c>
      <c r="RQ3" s="93" t="s">
        <v>82</v>
      </c>
      <c r="RR3" s="93" t="s">
        <v>82</v>
      </c>
      <c r="RS3" s="93" t="s">
        <v>83</v>
      </c>
      <c r="RT3" s="93" t="s">
        <v>83</v>
      </c>
      <c r="RU3" s="93" t="s">
        <v>83</v>
      </c>
      <c r="RV3" s="93" t="s">
        <v>83</v>
      </c>
      <c r="RW3" s="93" t="s">
        <v>83</v>
      </c>
      <c r="RX3" s="93" t="s">
        <v>83</v>
      </c>
      <c r="RY3" s="93" t="s">
        <v>83</v>
      </c>
      <c r="RZ3" s="93" t="s">
        <v>83</v>
      </c>
      <c r="SA3" s="93" t="s">
        <v>83</v>
      </c>
      <c r="SB3" s="93" t="s">
        <v>83</v>
      </c>
      <c r="SC3" s="93" t="s">
        <v>83</v>
      </c>
      <c r="SD3" s="93" t="s">
        <v>83</v>
      </c>
      <c r="SE3" s="93" t="s">
        <v>83</v>
      </c>
      <c r="SF3" s="93" t="s">
        <v>83</v>
      </c>
      <c r="SG3" s="93" t="s">
        <v>83</v>
      </c>
      <c r="SH3" s="93" t="s">
        <v>83</v>
      </c>
      <c r="SI3" s="93" t="s">
        <v>83</v>
      </c>
      <c r="SJ3" s="93" t="s">
        <v>83</v>
      </c>
      <c r="SK3" s="93" t="s">
        <v>83</v>
      </c>
      <c r="SL3" s="93" t="s">
        <v>83</v>
      </c>
      <c r="SM3" s="93" t="s">
        <v>83</v>
      </c>
      <c r="SN3" s="93" t="s">
        <v>83</v>
      </c>
      <c r="SO3" s="93" t="s">
        <v>83</v>
      </c>
      <c r="SP3" s="93" t="s">
        <v>83</v>
      </c>
      <c r="SQ3" s="93" t="s">
        <v>83</v>
      </c>
      <c r="SR3" s="93" t="s">
        <v>83</v>
      </c>
      <c r="SS3" s="93" t="s">
        <v>83</v>
      </c>
      <c r="ST3" s="93" t="s">
        <v>83</v>
      </c>
      <c r="SU3" s="93" t="s">
        <v>83</v>
      </c>
      <c r="SV3" s="93" t="s">
        <v>83</v>
      </c>
      <c r="SW3" s="93" t="s">
        <v>83</v>
      </c>
      <c r="SX3" s="93" t="s">
        <v>83</v>
      </c>
      <c r="SY3" s="93" t="s">
        <v>83</v>
      </c>
      <c r="SZ3" s="93" t="s">
        <v>83</v>
      </c>
      <c r="TA3" s="93" t="s">
        <v>83</v>
      </c>
      <c r="TB3" s="93" t="s">
        <v>83</v>
      </c>
      <c r="TC3" s="93" t="s">
        <v>83</v>
      </c>
      <c r="TD3" s="93" t="s">
        <v>83</v>
      </c>
      <c r="TE3" s="93" t="s">
        <v>83</v>
      </c>
      <c r="TF3" s="93" t="s">
        <v>83</v>
      </c>
      <c r="TG3" s="93" t="s">
        <v>84</v>
      </c>
      <c r="TH3" s="93" t="s">
        <v>84</v>
      </c>
      <c r="TI3" s="93" t="s">
        <v>84</v>
      </c>
      <c r="TJ3" s="93" t="s">
        <v>84</v>
      </c>
      <c r="TK3" s="93" t="s">
        <v>84</v>
      </c>
      <c r="TL3" s="93" t="s">
        <v>84</v>
      </c>
      <c r="TM3" s="93" t="s">
        <v>84</v>
      </c>
      <c r="TN3" s="93" t="s">
        <v>84</v>
      </c>
      <c r="TO3" s="93" t="s">
        <v>84</v>
      </c>
      <c r="TP3" s="93" t="s">
        <v>84</v>
      </c>
      <c r="TQ3" s="93" t="s">
        <v>84</v>
      </c>
      <c r="TR3" s="93" t="s">
        <v>84</v>
      </c>
      <c r="TS3" s="93" t="s">
        <v>84</v>
      </c>
      <c r="TT3" s="93" t="s">
        <v>84</v>
      </c>
      <c r="TU3" s="93" t="s">
        <v>84</v>
      </c>
      <c r="TV3" s="93" t="s">
        <v>84</v>
      </c>
      <c r="TW3" s="93" t="s">
        <v>84</v>
      </c>
      <c r="TX3" s="93" t="s">
        <v>84</v>
      </c>
      <c r="TY3" s="93" t="s">
        <v>84</v>
      </c>
      <c r="TZ3" s="93" t="s">
        <v>84</v>
      </c>
      <c r="UA3" s="93" t="s">
        <v>84</v>
      </c>
      <c r="UB3" s="93" t="s">
        <v>84</v>
      </c>
      <c r="UC3" s="93" t="s">
        <v>84</v>
      </c>
      <c r="UD3" s="93" t="s">
        <v>84</v>
      </c>
      <c r="UE3" s="93" t="s">
        <v>84</v>
      </c>
      <c r="UF3" s="93" t="s">
        <v>84</v>
      </c>
      <c r="UG3" s="93" t="s">
        <v>84</v>
      </c>
      <c r="UH3" s="93" t="s">
        <v>84</v>
      </c>
      <c r="UI3" s="93" t="s">
        <v>84</v>
      </c>
      <c r="UJ3" s="93" t="s">
        <v>84</v>
      </c>
      <c r="UK3" s="93" t="s">
        <v>84</v>
      </c>
      <c r="UL3" s="93" t="s">
        <v>84</v>
      </c>
      <c r="UM3" s="93" t="s">
        <v>84</v>
      </c>
      <c r="UN3" s="93" t="s">
        <v>84</v>
      </c>
      <c r="UO3" s="93" t="s">
        <v>84</v>
      </c>
      <c r="UP3" s="93" t="s">
        <v>84</v>
      </c>
      <c r="UQ3" s="93" t="s">
        <v>84</v>
      </c>
      <c r="UR3" s="93" t="s">
        <v>84</v>
      </c>
      <c r="US3" s="93" t="s">
        <v>84</v>
      </c>
      <c r="UT3" s="93" t="s">
        <v>84</v>
      </c>
      <c r="UU3" s="93" t="s">
        <v>85</v>
      </c>
      <c r="UV3" s="93" t="s">
        <v>85</v>
      </c>
      <c r="UW3" s="93" t="s">
        <v>85</v>
      </c>
      <c r="UX3" s="93" t="s">
        <v>85</v>
      </c>
      <c r="UY3" s="93" t="s">
        <v>85</v>
      </c>
      <c r="UZ3" s="93" t="s">
        <v>85</v>
      </c>
      <c r="VA3" s="93" t="s">
        <v>85</v>
      </c>
      <c r="VB3" s="93" t="s">
        <v>85</v>
      </c>
      <c r="VC3" s="93" t="s">
        <v>85</v>
      </c>
      <c r="VD3" s="93" t="s">
        <v>85</v>
      </c>
      <c r="VE3" s="93" t="s">
        <v>85</v>
      </c>
      <c r="VF3" s="93" t="s">
        <v>85</v>
      </c>
      <c r="VG3" s="93" t="s">
        <v>85</v>
      </c>
      <c r="VH3" s="93" t="s">
        <v>85</v>
      </c>
      <c r="VI3" s="93" t="s">
        <v>85</v>
      </c>
      <c r="VJ3" s="93" t="s">
        <v>85</v>
      </c>
      <c r="VK3" s="93" t="s">
        <v>85</v>
      </c>
      <c r="VL3" s="93" t="s">
        <v>85</v>
      </c>
      <c r="VM3" s="93" t="s">
        <v>85</v>
      </c>
      <c r="VN3" s="93" t="s">
        <v>85</v>
      </c>
      <c r="VO3" s="93" t="s">
        <v>85</v>
      </c>
      <c r="VP3" s="93" t="s">
        <v>85</v>
      </c>
      <c r="VQ3" s="93" t="s">
        <v>85</v>
      </c>
      <c r="VR3" s="93" t="s">
        <v>85</v>
      </c>
      <c r="VS3" s="93" t="s">
        <v>85</v>
      </c>
      <c r="VT3" s="93" t="s">
        <v>86</v>
      </c>
      <c r="VU3" s="93" t="s">
        <v>86</v>
      </c>
      <c r="VV3" s="93" t="s">
        <v>86</v>
      </c>
      <c r="VW3" s="93" t="s">
        <v>86</v>
      </c>
      <c r="VX3" s="93" t="s">
        <v>86</v>
      </c>
      <c r="VY3" s="93" t="s">
        <v>86</v>
      </c>
      <c r="VZ3" s="93" t="s">
        <v>86</v>
      </c>
      <c r="WA3" s="93" t="s">
        <v>86</v>
      </c>
      <c r="WB3" s="93" t="s">
        <v>86</v>
      </c>
      <c r="WC3" s="93" t="s">
        <v>86</v>
      </c>
      <c r="WD3" s="93" t="s">
        <v>86</v>
      </c>
      <c r="WE3" s="93" t="s">
        <v>86</v>
      </c>
      <c r="WF3" s="93" t="s">
        <v>86</v>
      </c>
      <c r="WG3" s="93" t="s">
        <v>86</v>
      </c>
      <c r="WH3" s="93" t="s">
        <v>86</v>
      </c>
      <c r="WI3" s="93" t="s">
        <v>86</v>
      </c>
      <c r="WJ3" s="93" t="s">
        <v>86</v>
      </c>
      <c r="WK3" s="93" t="s">
        <v>86</v>
      </c>
      <c r="WL3" s="93" t="s">
        <v>86</v>
      </c>
      <c r="WM3" s="93" t="s">
        <v>86</v>
      </c>
      <c r="WN3" s="93" t="s">
        <v>86</v>
      </c>
      <c r="WO3" s="93" t="s">
        <v>86</v>
      </c>
      <c r="WP3" s="93" t="s">
        <v>86</v>
      </c>
      <c r="WQ3" s="93" t="s">
        <v>86</v>
      </c>
      <c r="WR3" s="93" t="s">
        <v>86</v>
      </c>
      <c r="WS3" s="93" t="s">
        <v>87</v>
      </c>
      <c r="WT3" s="93" t="s">
        <v>87</v>
      </c>
      <c r="WU3" s="93" t="s">
        <v>87</v>
      </c>
      <c r="WV3" s="93" t="s">
        <v>87</v>
      </c>
      <c r="WW3" s="93" t="s">
        <v>87</v>
      </c>
      <c r="WX3" s="93" t="s">
        <v>87</v>
      </c>
      <c r="WY3" s="93" t="s">
        <v>87</v>
      </c>
      <c r="WZ3" s="93" t="s">
        <v>87</v>
      </c>
      <c r="XA3" s="93" t="s">
        <v>87</v>
      </c>
      <c r="XB3" s="93" t="s">
        <v>87</v>
      </c>
      <c r="XC3" s="93" t="s">
        <v>87</v>
      </c>
      <c r="XD3" s="93" t="s">
        <v>87</v>
      </c>
      <c r="XE3" s="93" t="s">
        <v>87</v>
      </c>
      <c r="XF3" s="93" t="s">
        <v>87</v>
      </c>
      <c r="XG3" s="93" t="s">
        <v>87</v>
      </c>
      <c r="XH3" s="93" t="s">
        <v>87</v>
      </c>
      <c r="XI3" s="93" t="s">
        <v>87</v>
      </c>
      <c r="XJ3" s="93" t="s">
        <v>87</v>
      </c>
      <c r="XK3" s="93" t="s">
        <v>87</v>
      </c>
      <c r="XL3" s="93" t="s">
        <v>87</v>
      </c>
      <c r="XM3" s="93" t="s">
        <v>87</v>
      </c>
      <c r="XN3" s="93" t="s">
        <v>87</v>
      </c>
      <c r="XO3" s="93" t="s">
        <v>87</v>
      </c>
      <c r="XP3" s="93" t="s">
        <v>87</v>
      </c>
      <c r="XQ3" s="93" t="s">
        <v>87</v>
      </c>
      <c r="XR3" s="93" t="s">
        <v>87</v>
      </c>
      <c r="XS3" s="93" t="s">
        <v>87</v>
      </c>
      <c r="XT3" s="93" t="s">
        <v>87</v>
      </c>
      <c r="XU3" s="93" t="s">
        <v>87</v>
      </c>
      <c r="XV3" s="93" t="s">
        <v>87</v>
      </c>
      <c r="XW3" s="93" t="s">
        <v>87</v>
      </c>
      <c r="XX3" s="93" t="s">
        <v>87</v>
      </c>
      <c r="XY3" s="93" t="s">
        <v>87</v>
      </c>
      <c r="XZ3" s="93" t="s">
        <v>87</v>
      </c>
      <c r="YA3" s="93" t="s">
        <v>87</v>
      </c>
      <c r="YB3" s="93" t="s">
        <v>87</v>
      </c>
      <c r="YC3" s="93" t="s">
        <v>87</v>
      </c>
      <c r="YD3" s="93" t="s">
        <v>87</v>
      </c>
      <c r="YE3" s="93" t="s">
        <v>87</v>
      </c>
      <c r="YF3" s="93" t="s">
        <v>87</v>
      </c>
      <c r="YG3" s="93" t="s">
        <v>87</v>
      </c>
      <c r="YH3" s="93" t="s">
        <v>87</v>
      </c>
      <c r="YI3" s="93" t="s">
        <v>87</v>
      </c>
      <c r="YJ3" s="93" t="s">
        <v>87</v>
      </c>
      <c r="YK3" s="93" t="s">
        <v>87</v>
      </c>
      <c r="YL3" s="93" t="s">
        <v>87</v>
      </c>
      <c r="YM3" s="93" t="s">
        <v>87</v>
      </c>
      <c r="YN3" s="93" t="s">
        <v>87</v>
      </c>
      <c r="YO3" s="93" t="s">
        <v>87</v>
      </c>
      <c r="YP3" s="93" t="s">
        <v>87</v>
      </c>
      <c r="YQ3" s="93" t="s">
        <v>87</v>
      </c>
      <c r="YR3" s="93" t="s">
        <v>87</v>
      </c>
      <c r="YS3" s="93" t="s">
        <v>87</v>
      </c>
      <c r="YT3" s="93" t="s">
        <v>87</v>
      </c>
      <c r="YU3" s="93" t="s">
        <v>87</v>
      </c>
      <c r="YV3" s="93" t="s">
        <v>87</v>
      </c>
      <c r="YW3" s="93" t="s">
        <v>87</v>
      </c>
      <c r="YX3" s="93" t="s">
        <v>87</v>
      </c>
      <c r="YY3" s="93" t="s">
        <v>87</v>
      </c>
      <c r="YZ3" s="93" t="s">
        <v>87</v>
      </c>
      <c r="ZA3" s="93" t="s">
        <v>87</v>
      </c>
      <c r="ZB3" s="93" t="s">
        <v>87</v>
      </c>
      <c r="ZC3" s="93" t="s">
        <v>87</v>
      </c>
      <c r="ZD3" s="93" t="s">
        <v>87</v>
      </c>
      <c r="ZE3" s="93" t="s">
        <v>87</v>
      </c>
      <c r="ZF3" s="93" t="s">
        <v>87</v>
      </c>
      <c r="ZG3" s="93" t="s">
        <v>87</v>
      </c>
      <c r="ZH3" s="93" t="s">
        <v>87</v>
      </c>
      <c r="ZI3" s="93" t="s">
        <v>87</v>
      </c>
      <c r="ZJ3" s="93" t="s">
        <v>87</v>
      </c>
      <c r="ZK3" s="93" t="s">
        <v>87</v>
      </c>
      <c r="ZL3" s="93" t="s">
        <v>87</v>
      </c>
      <c r="ZM3" s="93" t="s">
        <v>87</v>
      </c>
      <c r="ZN3" s="93" t="s">
        <v>87</v>
      </c>
      <c r="ZO3" s="93" t="s">
        <v>87</v>
      </c>
      <c r="ZP3" s="93" t="s">
        <v>87</v>
      </c>
      <c r="ZQ3" s="93" t="s">
        <v>87</v>
      </c>
      <c r="ZR3" s="93" t="s">
        <v>87</v>
      </c>
      <c r="ZS3" s="93" t="s">
        <v>87</v>
      </c>
      <c r="ZT3" s="93" t="s">
        <v>87</v>
      </c>
      <c r="ZU3" s="93" t="s">
        <v>87</v>
      </c>
      <c r="ZV3" s="93" t="s">
        <v>87</v>
      </c>
      <c r="ZW3" s="93" t="s">
        <v>87</v>
      </c>
      <c r="ZX3" s="93" t="s">
        <v>87</v>
      </c>
      <c r="ZY3" s="93" t="s">
        <v>87</v>
      </c>
      <c r="ZZ3" s="93" t="s">
        <v>87</v>
      </c>
      <c r="AAA3" s="93" t="s">
        <v>87</v>
      </c>
      <c r="AAB3" s="93" t="s">
        <v>87</v>
      </c>
      <c r="AAC3" s="93" t="s">
        <v>87</v>
      </c>
      <c r="AAD3" s="93" t="s">
        <v>87</v>
      </c>
      <c r="AAE3" s="93" t="s">
        <v>87</v>
      </c>
      <c r="AAF3" s="93" t="s">
        <v>87</v>
      </c>
      <c r="AAG3" s="93" t="s">
        <v>87</v>
      </c>
      <c r="AAH3" s="93" t="s">
        <v>87</v>
      </c>
      <c r="AAI3" s="93" t="s">
        <v>87</v>
      </c>
      <c r="AAJ3" s="93" t="s">
        <v>87</v>
      </c>
      <c r="AAK3" s="93" t="s">
        <v>87</v>
      </c>
      <c r="AAL3" s="93" t="s">
        <v>87</v>
      </c>
      <c r="AAM3" s="93" t="s">
        <v>87</v>
      </c>
      <c r="AAN3" s="93" t="s">
        <v>87</v>
      </c>
      <c r="AAO3" s="93" t="s">
        <v>87</v>
      </c>
      <c r="AAP3" s="93" t="s">
        <v>87</v>
      </c>
      <c r="AAQ3" s="93" t="s">
        <v>87</v>
      </c>
      <c r="AAR3" s="93" t="s">
        <v>87</v>
      </c>
      <c r="AAS3" s="93" t="s">
        <v>87</v>
      </c>
      <c r="AAT3" s="93" t="s">
        <v>87</v>
      </c>
      <c r="AAU3" s="93" t="s">
        <v>87</v>
      </c>
      <c r="AAV3" s="93" t="s">
        <v>87</v>
      </c>
      <c r="AAW3" s="93" t="s">
        <v>87</v>
      </c>
      <c r="AAX3" s="93" t="s">
        <v>87</v>
      </c>
      <c r="AAY3" s="93" t="s">
        <v>87</v>
      </c>
      <c r="AAZ3" s="93" t="s">
        <v>87</v>
      </c>
      <c r="ABA3" s="93" t="s">
        <v>87</v>
      </c>
      <c r="ABB3" s="93" t="s">
        <v>87</v>
      </c>
      <c r="ABC3" s="93" t="s">
        <v>87</v>
      </c>
      <c r="ABD3" s="93" t="s">
        <v>87</v>
      </c>
      <c r="ABE3" s="93" t="s">
        <v>87</v>
      </c>
      <c r="ABF3" s="93" t="s">
        <v>87</v>
      </c>
      <c r="ABG3" s="93" t="s">
        <v>87</v>
      </c>
      <c r="ABH3" s="93" t="s">
        <v>87</v>
      </c>
      <c r="ABI3" s="93" t="s">
        <v>87</v>
      </c>
      <c r="ABJ3" s="93" t="s">
        <v>87</v>
      </c>
      <c r="ABK3" s="93" t="s">
        <v>87</v>
      </c>
      <c r="ABL3" s="93" t="s">
        <v>87</v>
      </c>
      <c r="ABM3" s="93" t="s">
        <v>87</v>
      </c>
      <c r="ABN3" s="93" t="s">
        <v>87</v>
      </c>
      <c r="ABO3" s="93" t="s">
        <v>87</v>
      </c>
      <c r="ABP3" s="93" t="s">
        <v>87</v>
      </c>
      <c r="ABQ3" s="93" t="s">
        <v>87</v>
      </c>
      <c r="ABR3" s="93" t="s">
        <v>87</v>
      </c>
      <c r="ABS3" s="93" t="s">
        <v>87</v>
      </c>
      <c r="ABT3" s="93" t="s">
        <v>87</v>
      </c>
      <c r="ABU3" s="93" t="s">
        <v>87</v>
      </c>
      <c r="ABV3" s="93" t="s">
        <v>87</v>
      </c>
      <c r="ABW3" s="93" t="s">
        <v>87</v>
      </c>
      <c r="ABX3" s="93" t="s">
        <v>87</v>
      </c>
      <c r="ABY3" s="93" t="s">
        <v>87</v>
      </c>
      <c r="ABZ3" s="93" t="s">
        <v>87</v>
      </c>
      <c r="ACA3" s="93" t="s">
        <v>87</v>
      </c>
      <c r="ACB3" s="93" t="s">
        <v>87</v>
      </c>
      <c r="ACC3" s="93" t="s">
        <v>87</v>
      </c>
      <c r="ACD3" s="93" t="s">
        <v>87</v>
      </c>
      <c r="ACE3" s="93" t="s">
        <v>87</v>
      </c>
      <c r="ACF3" s="93" t="s">
        <v>87</v>
      </c>
      <c r="ACG3" s="93" t="s">
        <v>87</v>
      </c>
      <c r="ACH3" s="93" t="s">
        <v>87</v>
      </c>
      <c r="ACI3" s="93" t="s">
        <v>87</v>
      </c>
      <c r="ACJ3" s="93" t="s">
        <v>87</v>
      </c>
      <c r="ACK3" s="93" t="s">
        <v>87</v>
      </c>
      <c r="ACL3" s="93" t="s">
        <v>87</v>
      </c>
      <c r="ACM3" s="93" t="s">
        <v>87</v>
      </c>
      <c r="ACN3" s="93" t="s">
        <v>87</v>
      </c>
      <c r="ACO3" s="93" t="s">
        <v>87</v>
      </c>
      <c r="ACP3" s="93" t="s">
        <v>87</v>
      </c>
      <c r="ACQ3" s="93" t="s">
        <v>87</v>
      </c>
      <c r="ACR3" s="93" t="s">
        <v>88</v>
      </c>
      <c r="ACS3" s="93" t="s">
        <v>88</v>
      </c>
      <c r="ACT3" s="93" t="s">
        <v>88</v>
      </c>
      <c r="ACU3" s="93" t="s">
        <v>88</v>
      </c>
      <c r="ACV3" s="93" t="s">
        <v>88</v>
      </c>
      <c r="ACW3" s="93" t="s">
        <v>88</v>
      </c>
      <c r="ACX3" s="93" t="s">
        <v>88</v>
      </c>
      <c r="ACY3" s="93" t="s">
        <v>88</v>
      </c>
      <c r="ACZ3" s="93" t="s">
        <v>88</v>
      </c>
      <c r="ADA3" s="93" t="s">
        <v>88</v>
      </c>
      <c r="ADB3" s="93" t="s">
        <v>88</v>
      </c>
      <c r="ADC3" s="93" t="s">
        <v>88</v>
      </c>
      <c r="ADD3" s="93" t="s">
        <v>88</v>
      </c>
      <c r="ADE3" s="93" t="s">
        <v>88</v>
      </c>
      <c r="ADF3" s="93" t="s">
        <v>88</v>
      </c>
      <c r="ADG3" s="93" t="s">
        <v>88</v>
      </c>
      <c r="ADH3" s="93" t="s">
        <v>88</v>
      </c>
      <c r="ADI3" s="93" t="s">
        <v>88</v>
      </c>
      <c r="ADJ3" s="93" t="s">
        <v>89</v>
      </c>
      <c r="ADK3" s="93" t="s">
        <v>89</v>
      </c>
      <c r="ADL3" s="93" t="s">
        <v>89</v>
      </c>
      <c r="ADM3" s="93" t="s">
        <v>89</v>
      </c>
      <c r="ADN3" s="93" t="s">
        <v>89</v>
      </c>
      <c r="ADO3" s="93" t="s">
        <v>89</v>
      </c>
      <c r="ADP3" s="93" t="s">
        <v>89</v>
      </c>
      <c r="ADQ3" s="93" t="s">
        <v>89</v>
      </c>
      <c r="ADR3" s="93" t="s">
        <v>89</v>
      </c>
      <c r="ADS3" s="93" t="s">
        <v>89</v>
      </c>
      <c r="ADT3" s="93" t="s">
        <v>89</v>
      </c>
      <c r="ADU3" s="93" t="s">
        <v>89</v>
      </c>
      <c r="ADV3" s="93" t="s">
        <v>89</v>
      </c>
      <c r="ADW3" s="93" t="s">
        <v>89</v>
      </c>
      <c r="ADX3" s="93" t="s">
        <v>89</v>
      </c>
      <c r="ADY3" s="93" t="s">
        <v>89</v>
      </c>
      <c r="ADZ3" s="93" t="s">
        <v>89</v>
      </c>
      <c r="AEA3" s="93" t="s">
        <v>89</v>
      </c>
      <c r="AEB3" s="93" t="s">
        <v>89</v>
      </c>
      <c r="AEC3" s="93" t="s">
        <v>89</v>
      </c>
      <c r="AED3" s="93" t="s">
        <v>89</v>
      </c>
      <c r="AEE3" s="93" t="s">
        <v>89</v>
      </c>
      <c r="AEF3" s="93" t="s">
        <v>89</v>
      </c>
      <c r="AEG3" s="93" t="s">
        <v>89</v>
      </c>
      <c r="AEH3" s="93" t="s">
        <v>89</v>
      </c>
      <c r="AEI3" s="93" t="s">
        <v>89</v>
      </c>
      <c r="AEJ3" s="93" t="s">
        <v>89</v>
      </c>
      <c r="AEK3" s="93" t="s">
        <v>89</v>
      </c>
      <c r="AEL3" s="93" t="s">
        <v>89</v>
      </c>
      <c r="AEM3" s="93" t="s">
        <v>89</v>
      </c>
      <c r="AEN3" s="93" t="s">
        <v>89</v>
      </c>
      <c r="AEO3" s="93" t="s">
        <v>89</v>
      </c>
      <c r="AEP3" s="93" t="s">
        <v>89</v>
      </c>
      <c r="AEQ3" s="93" t="s">
        <v>89</v>
      </c>
      <c r="AER3" s="93" t="s">
        <v>89</v>
      </c>
      <c r="AES3" s="93" t="s">
        <v>89</v>
      </c>
      <c r="AET3" s="93" t="s">
        <v>89</v>
      </c>
      <c r="AEU3" s="93" t="s">
        <v>89</v>
      </c>
      <c r="AEV3" s="93" t="s">
        <v>89</v>
      </c>
      <c r="AEW3" s="93" t="s">
        <v>89</v>
      </c>
      <c r="AEX3" s="93" t="s">
        <v>89</v>
      </c>
      <c r="AEY3" s="93" t="s">
        <v>89</v>
      </c>
      <c r="AEZ3" s="93" t="s">
        <v>89</v>
      </c>
      <c r="AFA3" s="93" t="s">
        <v>89</v>
      </c>
      <c r="AFB3" s="93" t="s">
        <v>89</v>
      </c>
      <c r="AFC3" s="93" t="s">
        <v>90</v>
      </c>
      <c r="AFD3" s="93" t="s">
        <v>90</v>
      </c>
      <c r="AFE3" s="93" t="s">
        <v>90</v>
      </c>
      <c r="AFF3" s="93" t="s">
        <v>90</v>
      </c>
      <c r="AFG3" s="93" t="s">
        <v>90</v>
      </c>
      <c r="AFH3" s="93" t="s">
        <v>90</v>
      </c>
      <c r="AFI3" s="93" t="s">
        <v>90</v>
      </c>
      <c r="AFJ3" s="93" t="s">
        <v>90</v>
      </c>
      <c r="AFK3" s="93" t="s">
        <v>90</v>
      </c>
      <c r="AFL3" s="93" t="s">
        <v>90</v>
      </c>
      <c r="AFM3" s="93" t="s">
        <v>90</v>
      </c>
      <c r="AFN3" s="93" t="s">
        <v>90</v>
      </c>
      <c r="AFO3" s="93" t="s">
        <v>90</v>
      </c>
      <c r="AFP3" s="93" t="s">
        <v>90</v>
      </c>
      <c r="AFQ3" s="93" t="s">
        <v>90</v>
      </c>
      <c r="AFR3" s="93" t="s">
        <v>90</v>
      </c>
      <c r="AFS3" s="93" t="s">
        <v>90</v>
      </c>
      <c r="AFT3" s="93" t="s">
        <v>90</v>
      </c>
      <c r="AFU3" s="93" t="s">
        <v>90</v>
      </c>
      <c r="AFV3" s="93" t="s">
        <v>90</v>
      </c>
      <c r="AFW3" s="93" t="s">
        <v>90</v>
      </c>
      <c r="AFX3" s="93" t="s">
        <v>90</v>
      </c>
      <c r="AFY3" s="93" t="s">
        <v>90</v>
      </c>
      <c r="AFZ3" s="93" t="s">
        <v>90</v>
      </c>
      <c r="AGA3" s="93" t="s">
        <v>90</v>
      </c>
      <c r="AGB3" s="93" t="s">
        <v>90</v>
      </c>
      <c r="AGC3" s="93" t="s">
        <v>90</v>
      </c>
      <c r="AGD3" s="93" t="s">
        <v>90</v>
      </c>
      <c r="AGE3" s="93" t="s">
        <v>90</v>
      </c>
      <c r="AGF3" s="93" t="s">
        <v>90</v>
      </c>
      <c r="AGG3" s="93" t="s">
        <v>90</v>
      </c>
      <c r="AGH3" s="93" t="s">
        <v>90</v>
      </c>
      <c r="AGI3" s="93" t="s">
        <v>90</v>
      </c>
      <c r="AGJ3" s="93" t="s">
        <v>90</v>
      </c>
      <c r="AGK3" s="93" t="s">
        <v>90</v>
      </c>
      <c r="AGL3" s="93" t="s">
        <v>90</v>
      </c>
      <c r="AGM3" s="93" t="s">
        <v>90</v>
      </c>
      <c r="AGN3" s="93" t="s">
        <v>90</v>
      </c>
      <c r="AGO3" s="93" t="s">
        <v>90</v>
      </c>
      <c r="AGP3" s="93" t="s">
        <v>90</v>
      </c>
      <c r="AGQ3" s="93" t="s">
        <v>90</v>
      </c>
      <c r="AGR3" s="93" t="s">
        <v>90</v>
      </c>
      <c r="AGS3" s="93" t="s">
        <v>104</v>
      </c>
      <c r="AGT3" s="93" t="s">
        <v>104</v>
      </c>
      <c r="AGU3" s="93" t="s">
        <v>104</v>
      </c>
      <c r="AGV3" s="93" t="s">
        <v>104</v>
      </c>
      <c r="AGW3" s="93" t="s">
        <v>104</v>
      </c>
      <c r="AGX3" s="93" t="s">
        <v>104</v>
      </c>
      <c r="AGY3" s="93" t="s">
        <v>104</v>
      </c>
      <c r="AGZ3" s="93" t="s">
        <v>104</v>
      </c>
      <c r="AHA3" s="93" t="s">
        <v>104</v>
      </c>
      <c r="AHB3" s="93" t="s">
        <v>104</v>
      </c>
      <c r="AHC3" s="93" t="s">
        <v>104</v>
      </c>
      <c r="AHD3" s="93" t="s">
        <v>104</v>
      </c>
      <c r="AHE3" s="93" t="s">
        <v>104</v>
      </c>
      <c r="AHF3" s="93" t="s">
        <v>104</v>
      </c>
      <c r="AHG3" s="93" t="s">
        <v>104</v>
      </c>
      <c r="AHH3" s="93" t="s">
        <v>104</v>
      </c>
      <c r="AHI3" s="93" t="s">
        <v>104</v>
      </c>
      <c r="AHJ3" s="93" t="s">
        <v>104</v>
      </c>
      <c r="AHK3" s="93" t="s">
        <v>104</v>
      </c>
      <c r="AHL3" s="93" t="s">
        <v>104</v>
      </c>
      <c r="AHM3" s="93" t="s">
        <v>104</v>
      </c>
      <c r="AHN3" s="93" t="s">
        <v>104</v>
      </c>
      <c r="AHO3" s="93" t="s">
        <v>104</v>
      </c>
      <c r="AHP3" s="93" t="s">
        <v>104</v>
      </c>
      <c r="AHQ3" s="93" t="s">
        <v>104</v>
      </c>
      <c r="AHR3" s="93" t="s">
        <v>104</v>
      </c>
      <c r="AHS3" s="93" t="s">
        <v>104</v>
      </c>
      <c r="AHT3" s="93" t="s">
        <v>104</v>
      </c>
      <c r="AHU3" s="93" t="s">
        <v>104</v>
      </c>
      <c r="AHV3" s="93" t="s">
        <v>104</v>
      </c>
      <c r="AHW3" s="93" t="s">
        <v>104</v>
      </c>
      <c r="AHX3" s="93" t="s">
        <v>104</v>
      </c>
      <c r="AHY3" s="93" t="s">
        <v>104</v>
      </c>
      <c r="AHZ3" s="93" t="s">
        <v>104</v>
      </c>
      <c r="AIA3" s="93" t="s">
        <v>104</v>
      </c>
      <c r="AIB3" s="93" t="s">
        <v>104</v>
      </c>
      <c r="AIC3" s="93" t="s">
        <v>104</v>
      </c>
      <c r="AID3" s="93" t="s">
        <v>104</v>
      </c>
      <c r="AIE3" s="93" t="s">
        <v>104</v>
      </c>
      <c r="AIF3" s="93" t="s">
        <v>104</v>
      </c>
      <c r="AIG3" s="93" t="s">
        <v>104</v>
      </c>
      <c r="AIH3" s="93" t="s">
        <v>104</v>
      </c>
      <c r="AII3" s="93" t="s">
        <v>104</v>
      </c>
      <c r="AIJ3" s="93" t="s">
        <v>104</v>
      </c>
      <c r="AIK3" s="93" t="s">
        <v>104</v>
      </c>
      <c r="AIL3" s="93" t="s">
        <v>104</v>
      </c>
      <c r="AIM3" s="93" t="s">
        <v>104</v>
      </c>
      <c r="AIN3" s="93" t="s">
        <v>104</v>
      </c>
      <c r="AIO3" s="93" t="s">
        <v>104</v>
      </c>
      <c r="AIP3" s="93" t="s">
        <v>104</v>
      </c>
      <c r="AIQ3" s="93" t="s">
        <v>91</v>
      </c>
      <c r="AIR3" s="93" t="s">
        <v>91</v>
      </c>
      <c r="AIS3" s="93" t="s">
        <v>91</v>
      </c>
      <c r="AIT3" s="93" t="s">
        <v>91</v>
      </c>
      <c r="AIU3" s="93" t="s">
        <v>91</v>
      </c>
      <c r="AIV3" s="93" t="s">
        <v>91</v>
      </c>
      <c r="AIW3" s="93" t="s">
        <v>91</v>
      </c>
      <c r="AIX3" s="93" t="s">
        <v>91</v>
      </c>
      <c r="AIY3" s="93" t="s">
        <v>91</v>
      </c>
      <c r="AIZ3" s="93" t="s">
        <v>91</v>
      </c>
      <c r="AJA3" s="93" t="s">
        <v>91</v>
      </c>
      <c r="AJB3" s="93" t="s">
        <v>91</v>
      </c>
      <c r="AJC3" s="93" t="s">
        <v>91</v>
      </c>
      <c r="AJD3" s="93" t="s">
        <v>91</v>
      </c>
      <c r="AJE3" s="93" t="s">
        <v>91</v>
      </c>
      <c r="AJF3" s="93" t="s">
        <v>91</v>
      </c>
      <c r="AJG3" s="93" t="s">
        <v>91</v>
      </c>
      <c r="AJH3" s="93" t="s">
        <v>91</v>
      </c>
      <c r="AJI3" s="93" t="s">
        <v>91</v>
      </c>
      <c r="AJJ3" s="93" t="s">
        <v>91</v>
      </c>
      <c r="AJK3" s="93" t="s">
        <v>91</v>
      </c>
      <c r="AJL3" s="93" t="s">
        <v>91</v>
      </c>
      <c r="AJM3" s="93" t="s">
        <v>91</v>
      </c>
      <c r="AJN3" s="93" t="s">
        <v>91</v>
      </c>
      <c r="AJO3" s="93" t="s">
        <v>91</v>
      </c>
      <c r="AJP3" s="93" t="s">
        <v>91</v>
      </c>
      <c r="AJQ3" s="93" t="s">
        <v>91</v>
      </c>
      <c r="AJR3" s="93" t="s">
        <v>91</v>
      </c>
      <c r="AJS3" s="93" t="s">
        <v>91</v>
      </c>
      <c r="AJT3" s="93" t="s">
        <v>91</v>
      </c>
      <c r="AJU3" s="93" t="s">
        <v>91</v>
      </c>
      <c r="AJV3" s="93" t="s">
        <v>91</v>
      </c>
      <c r="AJW3" s="93" t="s">
        <v>91</v>
      </c>
      <c r="AJX3" s="93" t="s">
        <v>91</v>
      </c>
      <c r="AJY3" s="93" t="s">
        <v>91</v>
      </c>
      <c r="AJZ3" s="93" t="s">
        <v>91</v>
      </c>
      <c r="AKA3" s="93" t="s">
        <v>91</v>
      </c>
      <c r="AKB3" s="93" t="s">
        <v>91</v>
      </c>
      <c r="AKC3" s="93" t="s">
        <v>91</v>
      </c>
      <c r="AKD3" s="93" t="s">
        <v>91</v>
      </c>
      <c r="AKE3" s="93" t="s">
        <v>91</v>
      </c>
      <c r="AKF3" s="93" t="s">
        <v>91</v>
      </c>
      <c r="AKG3" s="93" t="s">
        <v>91</v>
      </c>
      <c r="AKH3" s="93" t="s">
        <v>91</v>
      </c>
      <c r="AKI3" s="93" t="s">
        <v>91</v>
      </c>
      <c r="AKJ3" s="93" t="s">
        <v>91</v>
      </c>
      <c r="AKK3" s="93" t="s">
        <v>91</v>
      </c>
      <c r="AKL3" s="93" t="s">
        <v>91</v>
      </c>
      <c r="AKM3" s="93" t="s">
        <v>91</v>
      </c>
      <c r="AKN3" s="93" t="s">
        <v>91</v>
      </c>
      <c r="AKO3" s="93" t="s">
        <v>91</v>
      </c>
      <c r="AKP3" s="93" t="s">
        <v>91</v>
      </c>
      <c r="AKQ3" s="93" t="s">
        <v>91</v>
      </c>
      <c r="AKR3" s="93" t="s">
        <v>91</v>
      </c>
      <c r="AKS3" s="93" t="s">
        <v>91</v>
      </c>
      <c r="AKT3" s="93" t="s">
        <v>91</v>
      </c>
      <c r="AKU3" s="93" t="s">
        <v>91</v>
      </c>
      <c r="AKV3" s="93" t="s">
        <v>91</v>
      </c>
      <c r="AKW3" s="93" t="s">
        <v>91</v>
      </c>
      <c r="AKX3" s="93" t="s">
        <v>91</v>
      </c>
      <c r="AKY3" s="93" t="s">
        <v>91</v>
      </c>
      <c r="AKZ3" s="93" t="s">
        <v>91</v>
      </c>
      <c r="ALA3" s="93" t="s">
        <v>91</v>
      </c>
      <c r="ALB3" s="93" t="s">
        <v>91</v>
      </c>
      <c r="ALC3" s="93" t="s">
        <v>91</v>
      </c>
      <c r="ALD3" s="93" t="s">
        <v>91</v>
      </c>
      <c r="ALE3" s="93" t="s">
        <v>91</v>
      </c>
      <c r="ALF3" s="93" t="s">
        <v>91</v>
      </c>
      <c r="ALG3" s="93" t="s">
        <v>91</v>
      </c>
      <c r="ALH3" s="93" t="s">
        <v>91</v>
      </c>
      <c r="ALI3" s="93" t="s">
        <v>91</v>
      </c>
      <c r="ALJ3" s="93" t="s">
        <v>91</v>
      </c>
      <c r="ALK3" s="93" t="s">
        <v>91</v>
      </c>
      <c r="ALL3" s="93" t="s">
        <v>91</v>
      </c>
      <c r="ALM3" s="93" t="s">
        <v>91</v>
      </c>
      <c r="ALN3" s="93" t="s">
        <v>92</v>
      </c>
      <c r="ALO3" s="93" t="s">
        <v>92</v>
      </c>
      <c r="ALP3" s="93" t="s">
        <v>92</v>
      </c>
      <c r="ALQ3" s="93" t="s">
        <v>92</v>
      </c>
      <c r="ALR3" s="93" t="s">
        <v>92</v>
      </c>
      <c r="ALS3" s="93" t="s">
        <v>92</v>
      </c>
      <c r="ALT3" s="93" t="s">
        <v>92</v>
      </c>
      <c r="ALU3" s="93" t="s">
        <v>92</v>
      </c>
      <c r="ALV3" s="93" t="s">
        <v>92</v>
      </c>
      <c r="ALW3" s="93" t="s">
        <v>92</v>
      </c>
      <c r="ALX3" s="93" t="s">
        <v>92</v>
      </c>
      <c r="ALY3" s="93" t="s">
        <v>92</v>
      </c>
      <c r="ALZ3" s="93" t="s">
        <v>92</v>
      </c>
      <c r="AMA3" s="93" t="s">
        <v>92</v>
      </c>
      <c r="AMB3" s="93" t="s">
        <v>92</v>
      </c>
      <c r="AMC3" s="93" t="s">
        <v>92</v>
      </c>
      <c r="AMD3" s="93" t="s">
        <v>92</v>
      </c>
      <c r="AME3" s="93" t="s">
        <v>92</v>
      </c>
      <c r="AMF3" s="93" t="s">
        <v>92</v>
      </c>
      <c r="AMG3" s="93" t="s">
        <v>92</v>
      </c>
      <c r="AMH3" s="93" t="s">
        <v>92</v>
      </c>
      <c r="AMI3" s="93" t="s">
        <v>92</v>
      </c>
      <c r="AMJ3" s="93" t="s">
        <v>92</v>
      </c>
      <c r="AMK3" s="93" t="s">
        <v>92</v>
      </c>
      <c r="AML3" s="93" t="s">
        <v>92</v>
      </c>
      <c r="AMM3" s="93" t="s">
        <v>92</v>
      </c>
      <c r="AMN3" s="93" t="s">
        <v>92</v>
      </c>
      <c r="AMO3" s="93" t="s">
        <v>92</v>
      </c>
      <c r="AMP3" s="93" t="s">
        <v>92</v>
      </c>
      <c r="AMQ3" s="93" t="s">
        <v>92</v>
      </c>
      <c r="AMR3" s="93" t="s">
        <v>92</v>
      </c>
      <c r="AMS3" s="93" t="s">
        <v>92</v>
      </c>
      <c r="AMT3" s="93" t="s">
        <v>92</v>
      </c>
      <c r="AMU3" s="93" t="s">
        <v>92</v>
      </c>
      <c r="AMV3" s="93" t="s">
        <v>92</v>
      </c>
      <c r="AMW3" s="93" t="s">
        <v>92</v>
      </c>
      <c r="AMX3" s="93" t="s">
        <v>92</v>
      </c>
      <c r="AMY3" s="93" t="s">
        <v>92</v>
      </c>
      <c r="AMZ3" s="93" t="s">
        <v>92</v>
      </c>
      <c r="ANA3" s="93" t="s">
        <v>92</v>
      </c>
      <c r="ANB3" s="93" t="s">
        <v>92</v>
      </c>
      <c r="ANC3" s="93" t="s">
        <v>92</v>
      </c>
      <c r="AND3" s="93" t="s">
        <v>92</v>
      </c>
      <c r="ANE3" s="93" t="s">
        <v>92</v>
      </c>
      <c r="ANF3" s="93" t="s">
        <v>92</v>
      </c>
      <c r="ANG3" s="93" t="s">
        <v>92</v>
      </c>
      <c r="ANH3" s="93" t="s">
        <v>92</v>
      </c>
      <c r="ANI3" s="93" t="s">
        <v>92</v>
      </c>
      <c r="ANJ3" s="93" t="s">
        <v>92</v>
      </c>
      <c r="ANK3" s="93" t="s">
        <v>92</v>
      </c>
      <c r="ANL3" s="93" t="s">
        <v>92</v>
      </c>
      <c r="ANM3" s="93" t="s">
        <v>92</v>
      </c>
      <c r="ANN3" s="93" t="s">
        <v>92</v>
      </c>
      <c r="ANO3" s="93" t="s">
        <v>92</v>
      </c>
      <c r="ANP3" s="93" t="s">
        <v>92</v>
      </c>
      <c r="ANQ3" s="93" t="s">
        <v>92</v>
      </c>
      <c r="ANR3" s="93" t="s">
        <v>92</v>
      </c>
      <c r="ANS3" s="93" t="s">
        <v>92</v>
      </c>
      <c r="ANT3" s="93" t="s">
        <v>92</v>
      </c>
      <c r="ANU3" s="93" t="s">
        <v>92</v>
      </c>
      <c r="ANV3" s="93" t="s">
        <v>92</v>
      </c>
      <c r="ANW3" s="93" t="s">
        <v>92</v>
      </c>
      <c r="ANX3" s="93" t="s">
        <v>92</v>
      </c>
      <c r="ANY3" s="93" t="s">
        <v>92</v>
      </c>
      <c r="ANZ3" s="93" t="s">
        <v>92</v>
      </c>
      <c r="AOA3" s="93" t="s">
        <v>92</v>
      </c>
      <c r="AOB3" s="93" t="s">
        <v>92</v>
      </c>
      <c r="AOC3" s="93" t="s">
        <v>92</v>
      </c>
      <c r="AOD3" s="93" t="s">
        <v>92</v>
      </c>
      <c r="AOE3" s="93" t="s">
        <v>92</v>
      </c>
      <c r="AOF3" s="93" t="s">
        <v>92</v>
      </c>
      <c r="AOG3" s="93" t="s">
        <v>92</v>
      </c>
      <c r="AOH3" s="93" t="s">
        <v>92</v>
      </c>
      <c r="AOI3" s="93" t="s">
        <v>92</v>
      </c>
      <c r="AOJ3" s="93" t="s">
        <v>92</v>
      </c>
      <c r="AOK3" s="93" t="s">
        <v>92</v>
      </c>
      <c r="AOL3" s="93" t="s">
        <v>92</v>
      </c>
      <c r="AOM3" s="93" t="s">
        <v>92</v>
      </c>
      <c r="AON3" s="93" t="s">
        <v>92</v>
      </c>
      <c r="AOO3" s="93" t="s">
        <v>92</v>
      </c>
      <c r="AOP3" s="93" t="s">
        <v>92</v>
      </c>
      <c r="AOQ3" s="93" t="s">
        <v>92</v>
      </c>
      <c r="AOR3" s="93" t="s">
        <v>92</v>
      </c>
      <c r="AOS3" s="93" t="s">
        <v>92</v>
      </c>
      <c r="AOT3" s="93" t="s">
        <v>92</v>
      </c>
      <c r="AOU3" s="93" t="s">
        <v>92</v>
      </c>
      <c r="AOV3" s="93" t="s">
        <v>92</v>
      </c>
      <c r="AOW3" s="93" t="s">
        <v>92</v>
      </c>
      <c r="AOX3" s="93" t="s">
        <v>92</v>
      </c>
      <c r="AOY3" s="93" t="s">
        <v>92</v>
      </c>
      <c r="AOZ3" s="93" t="s">
        <v>92</v>
      </c>
      <c r="APA3" s="93" t="s">
        <v>92</v>
      </c>
      <c r="APB3" s="93" t="s">
        <v>92</v>
      </c>
      <c r="APC3" s="93" t="s">
        <v>92</v>
      </c>
      <c r="APD3" s="93" t="s">
        <v>92</v>
      </c>
      <c r="APE3" s="93" t="s">
        <v>92</v>
      </c>
      <c r="APF3" s="93" t="s">
        <v>92</v>
      </c>
      <c r="APG3" s="93" t="s">
        <v>92</v>
      </c>
      <c r="APH3" s="93" t="s">
        <v>92</v>
      </c>
      <c r="API3" s="93" t="s">
        <v>92</v>
      </c>
      <c r="APJ3" s="93" t="s">
        <v>92</v>
      </c>
      <c r="APK3" s="93" t="s">
        <v>92</v>
      </c>
      <c r="APL3" s="93" t="s">
        <v>92</v>
      </c>
      <c r="APM3" s="93" t="s">
        <v>92</v>
      </c>
      <c r="APN3" s="93" t="s">
        <v>92</v>
      </c>
      <c r="APO3" s="93" t="s">
        <v>92</v>
      </c>
      <c r="APP3" s="93" t="s">
        <v>92</v>
      </c>
      <c r="APQ3" s="93" t="s">
        <v>92</v>
      </c>
      <c r="APR3" s="93" t="s">
        <v>92</v>
      </c>
      <c r="APS3" s="93" t="s">
        <v>92</v>
      </c>
      <c r="APT3" s="93" t="s">
        <v>92</v>
      </c>
      <c r="APU3" s="93" t="s">
        <v>92</v>
      </c>
      <c r="APV3" s="93" t="s">
        <v>92</v>
      </c>
      <c r="APW3" s="93" t="s">
        <v>92</v>
      </c>
      <c r="APX3" s="93" t="s">
        <v>92</v>
      </c>
      <c r="APY3" s="93" t="s">
        <v>92</v>
      </c>
      <c r="APZ3" s="93" t="s">
        <v>92</v>
      </c>
      <c r="AQA3" s="93" t="s">
        <v>92</v>
      </c>
      <c r="AQB3" s="93" t="s">
        <v>92</v>
      </c>
      <c r="AQC3" s="93" t="s">
        <v>92</v>
      </c>
      <c r="AQD3" s="93" t="s">
        <v>92</v>
      </c>
      <c r="AQE3" s="93" t="s">
        <v>92</v>
      </c>
      <c r="AQF3" s="93" t="s">
        <v>92</v>
      </c>
      <c r="AQG3" s="93" t="s">
        <v>92</v>
      </c>
      <c r="AQH3" s="93" t="s">
        <v>92</v>
      </c>
      <c r="AQI3" s="93" t="s">
        <v>92</v>
      </c>
      <c r="AQJ3" s="93" t="s">
        <v>92</v>
      </c>
      <c r="AQK3" s="93" t="s">
        <v>92</v>
      </c>
      <c r="AQL3" s="93" t="s">
        <v>92</v>
      </c>
      <c r="AQM3" s="93" t="s">
        <v>92</v>
      </c>
      <c r="AQN3" s="93" t="s">
        <v>92</v>
      </c>
      <c r="AQO3" s="93" t="s">
        <v>92</v>
      </c>
      <c r="AQP3" s="93" t="s">
        <v>92</v>
      </c>
      <c r="AQQ3" s="93" t="s">
        <v>92</v>
      </c>
      <c r="AQR3" s="93" t="s">
        <v>92</v>
      </c>
      <c r="AQS3" s="93" t="s">
        <v>92</v>
      </c>
      <c r="AQT3" s="93" t="s">
        <v>92</v>
      </c>
      <c r="AQU3" s="93" t="s">
        <v>92</v>
      </c>
      <c r="AQV3" s="93" t="s">
        <v>92</v>
      </c>
      <c r="AQW3" s="93" t="s">
        <v>92</v>
      </c>
      <c r="AQX3" s="93" t="s">
        <v>92</v>
      </c>
      <c r="AQY3" s="93" t="s">
        <v>92</v>
      </c>
      <c r="AQZ3" s="93" t="s">
        <v>92</v>
      </c>
      <c r="ARA3" s="93" t="s">
        <v>92</v>
      </c>
      <c r="ARB3" s="93" t="s">
        <v>92</v>
      </c>
      <c r="ARC3" s="93" t="s">
        <v>92</v>
      </c>
      <c r="ARD3" s="93" t="s">
        <v>92</v>
      </c>
      <c r="ARE3" s="93" t="s">
        <v>92</v>
      </c>
      <c r="ARF3" s="93" t="s">
        <v>92</v>
      </c>
      <c r="ARG3" s="93" t="s">
        <v>92</v>
      </c>
      <c r="ARH3" s="93" t="s">
        <v>92</v>
      </c>
      <c r="ARI3" s="93" t="s">
        <v>92</v>
      </c>
      <c r="ARJ3" s="93" t="s">
        <v>92</v>
      </c>
      <c r="ARK3" s="93" t="s">
        <v>92</v>
      </c>
      <c r="ARL3" s="93" t="s">
        <v>92</v>
      </c>
      <c r="ARM3" s="93" t="s">
        <v>92</v>
      </c>
      <c r="ARN3" s="93" t="s">
        <v>92</v>
      </c>
      <c r="ARO3" s="93" t="s">
        <v>92</v>
      </c>
      <c r="ARP3" s="93" t="s">
        <v>92</v>
      </c>
      <c r="ARQ3" s="93" t="s">
        <v>92</v>
      </c>
      <c r="ARR3" s="93" t="s">
        <v>92</v>
      </c>
      <c r="ARS3" s="93" t="s">
        <v>92</v>
      </c>
      <c r="ART3" s="93" t="s">
        <v>92</v>
      </c>
      <c r="ARU3" s="93" t="s">
        <v>92</v>
      </c>
      <c r="ARV3" s="93" t="s">
        <v>92</v>
      </c>
      <c r="ARW3" s="93" t="s">
        <v>92</v>
      </c>
      <c r="ARX3" s="93" t="s">
        <v>92</v>
      </c>
      <c r="ARY3" s="93" t="s">
        <v>92</v>
      </c>
      <c r="ARZ3" s="93" t="s">
        <v>92</v>
      </c>
      <c r="ASA3" s="93" t="s">
        <v>92</v>
      </c>
      <c r="ASB3" s="93" t="s">
        <v>92</v>
      </c>
      <c r="ASC3" s="93" t="s">
        <v>92</v>
      </c>
      <c r="ASD3" s="93" t="s">
        <v>92</v>
      </c>
      <c r="ASE3" s="93" t="s">
        <v>92</v>
      </c>
      <c r="ASF3" s="93" t="s">
        <v>92</v>
      </c>
      <c r="ASG3" s="93" t="s">
        <v>92</v>
      </c>
      <c r="ASH3" s="93" t="s">
        <v>92</v>
      </c>
      <c r="ASI3" s="93" t="s">
        <v>92</v>
      </c>
      <c r="ASJ3" s="93" t="s">
        <v>92</v>
      </c>
      <c r="ASK3" s="93" t="s">
        <v>92</v>
      </c>
      <c r="ASL3" s="93" t="s">
        <v>92</v>
      </c>
      <c r="ASM3" s="93" t="s">
        <v>92</v>
      </c>
      <c r="ASN3" s="93" t="s">
        <v>92</v>
      </c>
      <c r="ASO3" s="93" t="s">
        <v>92</v>
      </c>
      <c r="ASP3" s="93" t="s">
        <v>92</v>
      </c>
      <c r="ASQ3" s="93" t="s">
        <v>92</v>
      </c>
      <c r="ASR3" s="93" t="s">
        <v>92</v>
      </c>
      <c r="ASS3" s="93" t="s">
        <v>92</v>
      </c>
      <c r="AST3" s="93" t="s">
        <v>92</v>
      </c>
      <c r="ASU3" s="93" t="s">
        <v>92</v>
      </c>
      <c r="ASV3" s="93" t="s">
        <v>135</v>
      </c>
      <c r="ASW3" s="93" t="s">
        <v>135</v>
      </c>
      <c r="ASX3" s="93" t="s">
        <v>135</v>
      </c>
      <c r="ASY3" s="93" t="s">
        <v>135</v>
      </c>
      <c r="ASZ3" s="93" t="s">
        <v>135</v>
      </c>
      <c r="ATA3" s="93" t="s">
        <v>135</v>
      </c>
      <c r="ATB3" s="93" t="s">
        <v>135</v>
      </c>
      <c r="ATC3" s="93" t="s">
        <v>135</v>
      </c>
      <c r="ATD3" s="93" t="s">
        <v>135</v>
      </c>
      <c r="ATE3" s="93" t="s">
        <v>135</v>
      </c>
      <c r="ATF3" s="93" t="s">
        <v>135</v>
      </c>
      <c r="ATG3" s="93" t="s">
        <v>135</v>
      </c>
      <c r="ATH3" s="93" t="s">
        <v>135</v>
      </c>
      <c r="ATI3" s="93" t="s">
        <v>135</v>
      </c>
      <c r="ATJ3" s="93" t="s">
        <v>135</v>
      </c>
      <c r="ATK3" s="93" t="s">
        <v>135</v>
      </c>
      <c r="ATL3" s="93" t="s">
        <v>135</v>
      </c>
      <c r="ATM3" s="93" t="s">
        <v>135</v>
      </c>
      <c r="ATN3" s="93" t="s">
        <v>135</v>
      </c>
      <c r="ATO3" s="93" t="s">
        <v>135</v>
      </c>
      <c r="ATP3" s="93" t="s">
        <v>135</v>
      </c>
      <c r="ATQ3" s="93" t="s">
        <v>135</v>
      </c>
      <c r="ATR3" s="93" t="s">
        <v>135</v>
      </c>
      <c r="ATS3" s="93" t="s">
        <v>135</v>
      </c>
      <c r="ATT3" s="93" t="s">
        <v>135</v>
      </c>
      <c r="ATU3" s="93" t="s">
        <v>135</v>
      </c>
      <c r="ATV3" s="93" t="s">
        <v>135</v>
      </c>
      <c r="ATW3" s="93" t="s">
        <v>135</v>
      </c>
      <c r="ATX3" s="93" t="s">
        <v>135</v>
      </c>
      <c r="ATY3" s="93" t="s">
        <v>135</v>
      </c>
      <c r="ATZ3" s="93" t="s">
        <v>135</v>
      </c>
      <c r="AUA3" s="93" t="s">
        <v>135</v>
      </c>
      <c r="AUB3" s="93" t="s">
        <v>135</v>
      </c>
      <c r="AUC3" s="93" t="s">
        <v>135</v>
      </c>
      <c r="AUD3" s="93" t="s">
        <v>135</v>
      </c>
      <c r="AUE3" s="93" t="s">
        <v>135</v>
      </c>
      <c r="AUF3" s="93" t="s">
        <v>135</v>
      </c>
      <c r="AUG3" s="93" t="s">
        <v>135</v>
      </c>
      <c r="AUH3" s="93" t="s">
        <v>135</v>
      </c>
      <c r="AUI3" s="93" t="s">
        <v>135</v>
      </c>
      <c r="AUJ3" s="93" t="s">
        <v>135</v>
      </c>
      <c r="AUK3" s="93" t="s">
        <v>135</v>
      </c>
      <c r="AUL3" s="93" t="s">
        <v>135</v>
      </c>
      <c r="AUM3" s="93" t="s">
        <v>135</v>
      </c>
      <c r="AUN3" s="93" t="s">
        <v>135</v>
      </c>
      <c r="AUO3" s="93" t="s">
        <v>135</v>
      </c>
      <c r="AUP3" s="93" t="s">
        <v>135</v>
      </c>
      <c r="AUQ3" s="93" t="s">
        <v>135</v>
      </c>
      <c r="AUR3" s="93" t="s">
        <v>135</v>
      </c>
      <c r="AUS3" s="93" t="s">
        <v>135</v>
      </c>
      <c r="AUT3" s="93" t="s">
        <v>135</v>
      </c>
      <c r="AUU3" s="93" t="s">
        <v>135</v>
      </c>
      <c r="AUV3" s="93" t="s">
        <v>135</v>
      </c>
      <c r="AUW3" s="93" t="s">
        <v>135</v>
      </c>
      <c r="AUX3" s="93" t="s">
        <v>135</v>
      </c>
      <c r="AUY3" s="93" t="s">
        <v>135</v>
      </c>
      <c r="AUZ3" s="93" t="s">
        <v>135</v>
      </c>
      <c r="AVA3" s="93" t="s">
        <v>135</v>
      </c>
      <c r="AVB3" s="93" t="s">
        <v>135</v>
      </c>
      <c r="AVC3" s="93" t="s">
        <v>135</v>
      </c>
      <c r="AVD3" s="93" t="s">
        <v>135</v>
      </c>
      <c r="AVE3" s="93" t="s">
        <v>135</v>
      </c>
      <c r="AVF3" s="93" t="s">
        <v>135</v>
      </c>
      <c r="AVG3" s="93" t="s">
        <v>135</v>
      </c>
      <c r="AVH3" s="93" t="s">
        <v>135</v>
      </c>
      <c r="AVI3" s="93" t="s">
        <v>135</v>
      </c>
      <c r="AVJ3" s="93" t="s">
        <v>135</v>
      </c>
      <c r="AVK3" s="93" t="s">
        <v>135</v>
      </c>
      <c r="AVL3" s="93" t="s">
        <v>135</v>
      </c>
      <c r="AVM3" s="93" t="s">
        <v>135</v>
      </c>
      <c r="AVN3" s="93" t="s">
        <v>135</v>
      </c>
      <c r="AVO3" s="93" t="s">
        <v>135</v>
      </c>
      <c r="AVP3" s="93" t="s">
        <v>135</v>
      </c>
      <c r="AVQ3" s="93" t="s">
        <v>135</v>
      </c>
      <c r="AVR3" s="93" t="s">
        <v>135</v>
      </c>
      <c r="AVS3" s="93" t="s">
        <v>135</v>
      </c>
      <c r="AVT3" s="93" t="s">
        <v>135</v>
      </c>
      <c r="AVU3" s="93" t="s">
        <v>135</v>
      </c>
      <c r="AVV3" s="93" t="s">
        <v>135</v>
      </c>
      <c r="AVW3" s="93" t="s">
        <v>135</v>
      </c>
      <c r="AVX3" s="93" t="s">
        <v>135</v>
      </c>
      <c r="AVY3" s="93" t="s">
        <v>135</v>
      </c>
      <c r="AVZ3" s="93" t="s">
        <v>135</v>
      </c>
      <c r="AWA3" s="93" t="s">
        <v>135</v>
      </c>
      <c r="AWB3" s="93" t="s">
        <v>135</v>
      </c>
      <c r="AWC3" s="93" t="s">
        <v>135</v>
      </c>
      <c r="AWD3" s="93" t="s">
        <v>135</v>
      </c>
      <c r="AWE3" s="93" t="s">
        <v>135</v>
      </c>
      <c r="AWF3" s="93" t="s">
        <v>135</v>
      </c>
      <c r="AWG3" s="93" t="s">
        <v>135</v>
      </c>
      <c r="AWH3" s="93" t="s">
        <v>135</v>
      </c>
      <c r="AWI3" s="93" t="s">
        <v>135</v>
      </c>
      <c r="AWJ3" s="93" t="s">
        <v>135</v>
      </c>
      <c r="AWK3" s="93" t="s">
        <v>135</v>
      </c>
      <c r="AWL3" s="93" t="s">
        <v>135</v>
      </c>
      <c r="AWM3" s="93" t="s">
        <v>135</v>
      </c>
      <c r="AWN3" s="93" t="s">
        <v>135</v>
      </c>
      <c r="AWO3" s="93" t="s">
        <v>135</v>
      </c>
      <c r="AWP3" s="93" t="s">
        <v>135</v>
      </c>
      <c r="AWQ3" s="93" t="s">
        <v>135</v>
      </c>
      <c r="AWR3" s="93" t="s">
        <v>135</v>
      </c>
      <c r="AWS3" s="93" t="s">
        <v>135</v>
      </c>
      <c r="AWT3" s="93" t="s">
        <v>135</v>
      </c>
      <c r="AWU3" s="93" t="s">
        <v>135</v>
      </c>
      <c r="AWV3" s="93" t="s">
        <v>135</v>
      </c>
      <c r="AWW3" s="93" t="s">
        <v>135</v>
      </c>
      <c r="AWX3" s="93" t="s">
        <v>135</v>
      </c>
      <c r="AWY3" s="93" t="s">
        <v>135</v>
      </c>
      <c r="AWZ3" s="93" t="s">
        <v>135</v>
      </c>
      <c r="AXA3" s="93" t="s">
        <v>135</v>
      </c>
      <c r="AXB3" s="93" t="s">
        <v>135</v>
      </c>
      <c r="AXC3" s="93" t="s">
        <v>135</v>
      </c>
      <c r="AXD3" s="93" t="s">
        <v>135</v>
      </c>
      <c r="AXE3" s="93" t="s">
        <v>135</v>
      </c>
      <c r="AXF3" s="93" t="s">
        <v>135</v>
      </c>
      <c r="AXG3" s="93" t="s">
        <v>135</v>
      </c>
      <c r="AXH3" s="93" t="s">
        <v>135</v>
      </c>
      <c r="AXI3" s="93" t="s">
        <v>135</v>
      </c>
      <c r="AXJ3" s="93" t="s">
        <v>135</v>
      </c>
      <c r="AXK3" s="93" t="s">
        <v>135</v>
      </c>
      <c r="AXL3" s="93" t="s">
        <v>135</v>
      </c>
      <c r="AXM3" s="93" t="s">
        <v>135</v>
      </c>
      <c r="AXN3" s="93" t="s">
        <v>135</v>
      </c>
      <c r="AXO3" s="93" t="s">
        <v>135</v>
      </c>
      <c r="AXP3" s="93" t="s">
        <v>135</v>
      </c>
      <c r="AXQ3" s="93" t="s">
        <v>135</v>
      </c>
      <c r="AXR3" s="93" t="s">
        <v>135</v>
      </c>
      <c r="AXS3" s="93" t="s">
        <v>135</v>
      </c>
      <c r="AXT3" s="93" t="s">
        <v>135</v>
      </c>
      <c r="AXU3" s="93" t="s">
        <v>135</v>
      </c>
      <c r="AXV3" s="93" t="s">
        <v>135</v>
      </c>
      <c r="AXW3" s="93" t="s">
        <v>135</v>
      </c>
      <c r="AXX3" s="93" t="s">
        <v>135</v>
      </c>
      <c r="AXY3" s="93" t="s">
        <v>135</v>
      </c>
      <c r="AXZ3" s="93" t="s">
        <v>135</v>
      </c>
      <c r="AYA3" s="93" t="s">
        <v>135</v>
      </c>
      <c r="AYB3" s="93" t="s">
        <v>135</v>
      </c>
      <c r="AYC3" s="93" t="s">
        <v>135</v>
      </c>
      <c r="AYD3" s="93" t="s">
        <v>135</v>
      </c>
      <c r="AYE3" s="93" t="s">
        <v>135</v>
      </c>
      <c r="AYF3" s="93" t="s">
        <v>135</v>
      </c>
      <c r="AYG3" s="93" t="s">
        <v>135</v>
      </c>
      <c r="AYH3" s="93" t="s">
        <v>135</v>
      </c>
      <c r="AYI3" s="93" t="s">
        <v>135</v>
      </c>
      <c r="AYJ3" s="93" t="s">
        <v>135</v>
      </c>
      <c r="AYK3" s="93" t="s">
        <v>135</v>
      </c>
      <c r="AYL3" s="93" t="s">
        <v>135</v>
      </c>
      <c r="AYM3" s="93" t="s">
        <v>135</v>
      </c>
      <c r="AYN3" s="93" t="s">
        <v>135</v>
      </c>
      <c r="AYO3" s="93" t="s">
        <v>135</v>
      </c>
      <c r="AYP3" s="93" t="s">
        <v>135</v>
      </c>
      <c r="AYQ3" s="93" t="s">
        <v>135</v>
      </c>
      <c r="AYR3" s="93" t="s">
        <v>135</v>
      </c>
      <c r="AYS3" s="93" t="s">
        <v>135</v>
      </c>
      <c r="AYT3" s="93" t="s">
        <v>135</v>
      </c>
      <c r="AYU3" s="93" t="s">
        <v>135</v>
      </c>
      <c r="AYV3" s="93" t="s">
        <v>135</v>
      </c>
      <c r="AYW3" s="93" t="s">
        <v>135</v>
      </c>
      <c r="AYX3" s="93" t="s">
        <v>135</v>
      </c>
      <c r="AYY3" s="93" t="s">
        <v>135</v>
      </c>
      <c r="AYZ3" s="93" t="s">
        <v>135</v>
      </c>
      <c r="AZA3" s="93" t="s">
        <v>135</v>
      </c>
      <c r="AZB3" s="93" t="s">
        <v>135</v>
      </c>
      <c r="AZC3" s="93" t="s">
        <v>135</v>
      </c>
      <c r="AZD3" s="93" t="s">
        <v>135</v>
      </c>
      <c r="AZE3" s="93" t="s">
        <v>135</v>
      </c>
      <c r="AZF3" s="93" t="s">
        <v>135</v>
      </c>
      <c r="AZG3" s="93" t="s">
        <v>135</v>
      </c>
      <c r="AZH3" s="93" t="s">
        <v>135</v>
      </c>
      <c r="AZI3" s="93" t="s">
        <v>135</v>
      </c>
      <c r="AZJ3" s="93" t="s">
        <v>135</v>
      </c>
      <c r="AZK3" s="93" t="s">
        <v>135</v>
      </c>
      <c r="AZL3" s="93" t="s">
        <v>135</v>
      </c>
      <c r="AZM3" s="93" t="s">
        <v>135</v>
      </c>
      <c r="AZN3" s="93" t="s">
        <v>135</v>
      </c>
      <c r="AZO3" s="93" t="s">
        <v>135</v>
      </c>
      <c r="AZP3" s="93" t="s">
        <v>135</v>
      </c>
      <c r="AZQ3" s="93" t="s">
        <v>135</v>
      </c>
      <c r="AZR3" s="93" t="s">
        <v>135</v>
      </c>
      <c r="AZS3" s="93" t="s">
        <v>135</v>
      </c>
      <c r="AZT3" s="93" t="s">
        <v>135</v>
      </c>
      <c r="AZU3" s="93" t="s">
        <v>135</v>
      </c>
      <c r="AZV3" s="93" t="s">
        <v>135</v>
      </c>
      <c r="AZW3" s="93" t="s">
        <v>135</v>
      </c>
      <c r="AZX3" s="93" t="s">
        <v>135</v>
      </c>
      <c r="AZY3" s="93" t="s">
        <v>135</v>
      </c>
      <c r="AZZ3" s="93" t="s">
        <v>135</v>
      </c>
      <c r="BAA3" s="93" t="s">
        <v>135</v>
      </c>
      <c r="BAB3" s="93" t="s">
        <v>135</v>
      </c>
      <c r="BAC3" s="93" t="s">
        <v>135</v>
      </c>
      <c r="BAD3" s="93" t="s">
        <v>136</v>
      </c>
      <c r="BAE3" s="93" t="s">
        <v>136</v>
      </c>
      <c r="BAF3" s="93" t="s">
        <v>136</v>
      </c>
      <c r="BAG3" s="93" t="s">
        <v>136</v>
      </c>
      <c r="BAH3" s="93" t="s">
        <v>136</v>
      </c>
      <c r="BAI3" s="93" t="s">
        <v>136</v>
      </c>
      <c r="BAJ3" s="93" t="s">
        <v>136</v>
      </c>
      <c r="BAK3" s="93" t="s">
        <v>136</v>
      </c>
      <c r="BAL3" s="93" t="s">
        <v>136</v>
      </c>
      <c r="BAM3" s="93" t="s">
        <v>136</v>
      </c>
      <c r="BAN3" s="93" t="s">
        <v>136</v>
      </c>
      <c r="BAO3" s="93" t="s">
        <v>136</v>
      </c>
      <c r="BAP3" s="93" t="s">
        <v>136</v>
      </c>
      <c r="BAQ3" s="93" t="s">
        <v>136</v>
      </c>
      <c r="BAR3" s="93" t="s">
        <v>136</v>
      </c>
      <c r="BAS3" s="93" t="s">
        <v>136</v>
      </c>
      <c r="BAT3" s="93" t="s">
        <v>136</v>
      </c>
      <c r="BAU3" s="93" t="s">
        <v>136</v>
      </c>
      <c r="BAV3" s="93" t="s">
        <v>136</v>
      </c>
      <c r="BAW3" s="93" t="s">
        <v>136</v>
      </c>
      <c r="BAX3" s="93" t="s">
        <v>136</v>
      </c>
      <c r="BAY3" s="93" t="s">
        <v>136</v>
      </c>
      <c r="BAZ3" s="93" t="s">
        <v>136</v>
      </c>
      <c r="BBA3" s="93" t="s">
        <v>136</v>
      </c>
      <c r="BBB3" s="93" t="s">
        <v>136</v>
      </c>
      <c r="BBC3" s="93" t="s">
        <v>136</v>
      </c>
      <c r="BBD3" s="93" t="s">
        <v>136</v>
      </c>
      <c r="BBE3" s="93" t="s">
        <v>136</v>
      </c>
      <c r="BBF3" s="93" t="s">
        <v>136</v>
      </c>
      <c r="BBG3" s="93" t="s">
        <v>136</v>
      </c>
      <c r="BBH3" s="93" t="s">
        <v>136</v>
      </c>
      <c r="BBI3" s="93" t="s">
        <v>136</v>
      </c>
      <c r="BBJ3" s="93" t="s">
        <v>136</v>
      </c>
      <c r="BBK3" s="93" t="s">
        <v>136</v>
      </c>
      <c r="BBL3" s="93" t="s">
        <v>136</v>
      </c>
      <c r="BBM3" s="93" t="s">
        <v>136</v>
      </c>
      <c r="BBN3" s="93" t="s">
        <v>136</v>
      </c>
      <c r="BBO3" s="93" t="s">
        <v>136</v>
      </c>
      <c r="BBP3" s="93" t="s">
        <v>136</v>
      </c>
      <c r="BBQ3" s="93" t="s">
        <v>136</v>
      </c>
      <c r="BBR3" s="93" t="s">
        <v>136</v>
      </c>
      <c r="BBS3" s="93" t="s">
        <v>136</v>
      </c>
      <c r="BBT3" s="93" t="s">
        <v>136</v>
      </c>
      <c r="BBU3" s="93" t="s">
        <v>136</v>
      </c>
      <c r="BBV3" s="93" t="s">
        <v>136</v>
      </c>
      <c r="BBW3" s="93" t="s">
        <v>136</v>
      </c>
      <c r="BBX3" s="93" t="s">
        <v>136</v>
      </c>
      <c r="BBY3" s="93" t="s">
        <v>136</v>
      </c>
      <c r="BBZ3" s="93" t="s">
        <v>136</v>
      </c>
      <c r="BCA3" s="93" t="s">
        <v>136</v>
      </c>
      <c r="BCB3" s="93" t="s">
        <v>136</v>
      </c>
      <c r="BCC3" s="93" t="s">
        <v>136</v>
      </c>
      <c r="BCD3" s="93" t="s">
        <v>136</v>
      </c>
      <c r="BCE3" s="93" t="s">
        <v>136</v>
      </c>
      <c r="BCF3" s="93" t="s">
        <v>136</v>
      </c>
      <c r="BCG3" s="93" t="s">
        <v>136</v>
      </c>
      <c r="BCH3" s="93" t="s">
        <v>136</v>
      </c>
      <c r="BCI3" s="93" t="s">
        <v>136</v>
      </c>
      <c r="BCJ3" s="93" t="s">
        <v>136</v>
      </c>
      <c r="BCK3" s="93" t="s">
        <v>136</v>
      </c>
      <c r="BCL3" s="93" t="s">
        <v>136</v>
      </c>
      <c r="BCM3" s="93" t="s">
        <v>136</v>
      </c>
      <c r="BCN3" s="93" t="s">
        <v>136</v>
      </c>
      <c r="BCO3" s="93" t="s">
        <v>136</v>
      </c>
      <c r="BCP3" s="93" t="s">
        <v>136</v>
      </c>
      <c r="BCQ3" s="93" t="s">
        <v>136</v>
      </c>
      <c r="BCR3" s="93" t="s">
        <v>136</v>
      </c>
      <c r="BCS3" s="93" t="s">
        <v>136</v>
      </c>
      <c r="BCT3" s="93" t="s">
        <v>136</v>
      </c>
      <c r="BCU3" s="93" t="s">
        <v>136</v>
      </c>
      <c r="BCV3" s="93" t="s">
        <v>136</v>
      </c>
      <c r="BCW3" s="93" t="s">
        <v>136</v>
      </c>
      <c r="BCX3" s="93" t="s">
        <v>136</v>
      </c>
      <c r="BCY3" s="93" t="s">
        <v>136</v>
      </c>
      <c r="BCZ3" s="93" t="s">
        <v>136</v>
      </c>
      <c r="BDA3" s="93" t="s">
        <v>93</v>
      </c>
      <c r="BDB3" s="93" t="s">
        <v>93</v>
      </c>
      <c r="BDC3" s="93" t="s">
        <v>93</v>
      </c>
      <c r="BDD3" s="93" t="s">
        <v>93</v>
      </c>
      <c r="BDE3" s="93" t="s">
        <v>93</v>
      </c>
      <c r="BDF3" s="93" t="s">
        <v>93</v>
      </c>
      <c r="BDG3" s="93" t="s">
        <v>93</v>
      </c>
      <c r="BDH3" s="93" t="s">
        <v>93</v>
      </c>
      <c r="BDI3" s="93" t="s">
        <v>93</v>
      </c>
      <c r="BDJ3" s="93" t="s">
        <v>93</v>
      </c>
      <c r="BDK3" s="93" t="s">
        <v>93</v>
      </c>
      <c r="BDL3" s="93" t="s">
        <v>93</v>
      </c>
      <c r="BDM3" s="93" t="s">
        <v>93</v>
      </c>
      <c r="BDN3" s="93" t="s">
        <v>93</v>
      </c>
      <c r="BDO3" s="93" t="s">
        <v>93</v>
      </c>
      <c r="BDP3" s="93" t="s">
        <v>93</v>
      </c>
      <c r="BDQ3" s="93" t="s">
        <v>93</v>
      </c>
      <c r="BDR3" s="93" t="s">
        <v>93</v>
      </c>
      <c r="BDS3" s="93" t="s">
        <v>93</v>
      </c>
      <c r="BDT3" s="93" t="s">
        <v>93</v>
      </c>
      <c r="BDU3" s="93" t="s">
        <v>93</v>
      </c>
      <c r="BDV3" s="93" t="s">
        <v>93</v>
      </c>
      <c r="BDW3" s="93" t="s">
        <v>93</v>
      </c>
      <c r="BDX3" s="93" t="s">
        <v>93</v>
      </c>
      <c r="BDY3" s="93" t="s">
        <v>93</v>
      </c>
      <c r="BDZ3" s="93" t="s">
        <v>93</v>
      </c>
      <c r="BEA3" s="93" t="s">
        <v>93</v>
      </c>
      <c r="BEB3" s="93" t="s">
        <v>93</v>
      </c>
      <c r="BEC3" s="93" t="s">
        <v>93</v>
      </c>
      <c r="BED3" s="93" t="s">
        <v>93</v>
      </c>
      <c r="BEE3" s="93" t="s">
        <v>93</v>
      </c>
      <c r="BEF3" s="93" t="s">
        <v>93</v>
      </c>
      <c r="BEG3" s="93" t="s">
        <v>93</v>
      </c>
      <c r="BEH3" s="93" t="s">
        <v>93</v>
      </c>
      <c r="BEI3" s="93" t="s">
        <v>93</v>
      </c>
      <c r="BEJ3" s="93" t="s">
        <v>93</v>
      </c>
      <c r="BEK3" s="93" t="s">
        <v>93</v>
      </c>
      <c r="BEL3" s="93" t="s">
        <v>93</v>
      </c>
      <c r="BEM3" s="93" t="s">
        <v>93</v>
      </c>
      <c r="BEN3" s="93" t="s">
        <v>93</v>
      </c>
      <c r="BEO3" s="93" t="s">
        <v>93</v>
      </c>
      <c r="BEP3" s="93" t="s">
        <v>93</v>
      </c>
      <c r="BEQ3" s="93" t="s">
        <v>93</v>
      </c>
      <c r="BER3" s="93" t="s">
        <v>93</v>
      </c>
      <c r="BES3" s="93" t="s">
        <v>93</v>
      </c>
      <c r="BET3" s="93" t="s">
        <v>93</v>
      </c>
      <c r="BEU3" s="93" t="s">
        <v>93</v>
      </c>
      <c r="BEV3" s="93" t="s">
        <v>93</v>
      </c>
      <c r="BEW3" s="93" t="s">
        <v>93</v>
      </c>
      <c r="BEX3" s="93" t="s">
        <v>93</v>
      </c>
      <c r="BEY3" s="93" t="s">
        <v>93</v>
      </c>
      <c r="BEZ3" s="93" t="s">
        <v>93</v>
      </c>
      <c r="BFA3" s="93" t="s">
        <v>93</v>
      </c>
      <c r="BFB3" s="93" t="s">
        <v>93</v>
      </c>
      <c r="BFC3" s="93" t="s">
        <v>93</v>
      </c>
      <c r="BFD3" s="93" t="s">
        <v>93</v>
      </c>
      <c r="BFE3" s="93" t="s">
        <v>93</v>
      </c>
      <c r="BFF3" s="93" t="s">
        <v>93</v>
      </c>
      <c r="BFG3" s="93" t="s">
        <v>93</v>
      </c>
      <c r="BFH3" s="93" t="s">
        <v>93</v>
      </c>
      <c r="BFI3" s="93" t="s">
        <v>93</v>
      </c>
      <c r="BFJ3" s="93" t="s">
        <v>93</v>
      </c>
      <c r="BFK3" s="93" t="s">
        <v>93</v>
      </c>
      <c r="BFL3" s="93" t="s">
        <v>93</v>
      </c>
      <c r="BFM3" s="93" t="s">
        <v>93</v>
      </c>
      <c r="BFN3" s="93" t="s">
        <v>93</v>
      </c>
      <c r="BFO3" s="93" t="s">
        <v>93</v>
      </c>
      <c r="BFP3" s="93" t="s">
        <v>93</v>
      </c>
      <c r="BFQ3" s="93" t="s">
        <v>93</v>
      </c>
      <c r="BFR3" s="93" t="s">
        <v>93</v>
      </c>
      <c r="BFS3" s="93" t="s">
        <v>93</v>
      </c>
      <c r="BFT3" s="93" t="s">
        <v>93</v>
      </c>
      <c r="BFU3" s="93" t="s">
        <v>93</v>
      </c>
      <c r="BFV3" s="93" t="s">
        <v>93</v>
      </c>
      <c r="BFW3" s="93" t="s">
        <v>93</v>
      </c>
      <c r="BFX3" s="93" t="s">
        <v>93</v>
      </c>
      <c r="BFY3" s="93" t="s">
        <v>93</v>
      </c>
      <c r="BFZ3" s="93" t="s">
        <v>93</v>
      </c>
      <c r="BGA3" s="93" t="s">
        <v>93</v>
      </c>
      <c r="BGB3" s="93" t="s">
        <v>93</v>
      </c>
      <c r="BGC3" s="93" t="s">
        <v>93</v>
      </c>
      <c r="BGD3" s="93" t="s">
        <v>93</v>
      </c>
      <c r="BGE3" s="93" t="s">
        <v>93</v>
      </c>
      <c r="BGF3" s="93" t="s">
        <v>93</v>
      </c>
      <c r="BGG3" s="93" t="s">
        <v>93</v>
      </c>
      <c r="BGH3" s="93" t="s">
        <v>93</v>
      </c>
      <c r="BGI3" s="93" t="s">
        <v>93</v>
      </c>
      <c r="BGJ3" s="93" t="s">
        <v>93</v>
      </c>
      <c r="BGK3" s="93" t="s">
        <v>93</v>
      </c>
      <c r="BGL3" s="93" t="s">
        <v>93</v>
      </c>
      <c r="BGM3" s="93" t="s">
        <v>93</v>
      </c>
      <c r="BGN3" s="93" t="s">
        <v>93</v>
      </c>
      <c r="BGO3" s="93" t="s">
        <v>93</v>
      </c>
      <c r="BGP3" s="93" t="s">
        <v>93</v>
      </c>
      <c r="BGQ3" s="93" t="s">
        <v>93</v>
      </c>
      <c r="BGR3" s="93" t="s">
        <v>93</v>
      </c>
      <c r="BGS3" s="93" t="s">
        <v>93</v>
      </c>
      <c r="BGT3" s="93" t="s">
        <v>93</v>
      </c>
      <c r="BGU3" s="93" t="s">
        <v>93</v>
      </c>
      <c r="BGV3" s="93" t="s">
        <v>93</v>
      </c>
      <c r="BGW3" s="93" t="s">
        <v>93</v>
      </c>
      <c r="BGX3" s="93" t="s">
        <v>93</v>
      </c>
      <c r="BGY3" s="93" t="s">
        <v>93</v>
      </c>
      <c r="BGZ3" s="93" t="s">
        <v>93</v>
      </c>
      <c r="BHA3" s="93" t="s">
        <v>93</v>
      </c>
      <c r="BHB3" s="93" t="s">
        <v>93</v>
      </c>
      <c r="BHC3" s="93" t="s">
        <v>93</v>
      </c>
      <c r="BHD3" s="93" t="s">
        <v>93</v>
      </c>
      <c r="BHE3" s="93" t="s">
        <v>93</v>
      </c>
      <c r="BHF3" s="93" t="s">
        <v>93</v>
      </c>
      <c r="BHG3" s="93" t="s">
        <v>93</v>
      </c>
      <c r="BHH3" s="93" t="s">
        <v>93</v>
      </c>
      <c r="BHI3" s="93" t="s">
        <v>93</v>
      </c>
      <c r="BHJ3" s="93" t="s">
        <v>93</v>
      </c>
      <c r="BHK3" s="93" t="s">
        <v>93</v>
      </c>
      <c r="BHL3" s="93" t="s">
        <v>93</v>
      </c>
      <c r="BHM3" s="93" t="s">
        <v>93</v>
      </c>
      <c r="BHN3" s="93" t="s">
        <v>93</v>
      </c>
      <c r="BHO3" s="93" t="s">
        <v>93</v>
      </c>
      <c r="BHP3" s="93" t="s">
        <v>93</v>
      </c>
      <c r="BHQ3" s="93" t="s">
        <v>93</v>
      </c>
      <c r="BHR3" s="93" t="s">
        <v>93</v>
      </c>
      <c r="BHS3" s="93" t="s">
        <v>93</v>
      </c>
      <c r="BHT3" s="93" t="s">
        <v>93</v>
      </c>
      <c r="BHU3" s="93" t="s">
        <v>93</v>
      </c>
      <c r="BHV3" s="93" t="s">
        <v>93</v>
      </c>
      <c r="BHW3" s="93" t="s">
        <v>93</v>
      </c>
      <c r="BHX3" s="93" t="s">
        <v>93</v>
      </c>
      <c r="BHY3" s="93" t="s">
        <v>93</v>
      </c>
      <c r="BHZ3" s="93" t="s">
        <v>93</v>
      </c>
      <c r="BIA3" s="93" t="s">
        <v>93</v>
      </c>
      <c r="BIB3" s="93" t="s">
        <v>93</v>
      </c>
      <c r="BIC3" s="93" t="s">
        <v>93</v>
      </c>
      <c r="BID3" s="93" t="s">
        <v>93</v>
      </c>
      <c r="BIE3" s="93" t="s">
        <v>93</v>
      </c>
      <c r="BIF3" s="93" t="s">
        <v>93</v>
      </c>
      <c r="BIG3" s="93" t="s">
        <v>93</v>
      </c>
      <c r="BIH3" s="93" t="s">
        <v>93</v>
      </c>
      <c r="BII3" s="93" t="s">
        <v>93</v>
      </c>
      <c r="BIJ3" s="93" t="s">
        <v>93</v>
      </c>
      <c r="BIK3" s="93" t="s">
        <v>93</v>
      </c>
      <c r="BIL3" s="93" t="s">
        <v>93</v>
      </c>
      <c r="BIM3" s="93" t="s">
        <v>93</v>
      </c>
      <c r="BIN3" s="93" t="s">
        <v>93</v>
      </c>
      <c r="BIO3" s="93" t="s">
        <v>93</v>
      </c>
      <c r="BIP3" s="93" t="s">
        <v>93</v>
      </c>
      <c r="BIQ3" s="93" t="s">
        <v>93</v>
      </c>
      <c r="BIR3" s="93" t="s">
        <v>93</v>
      </c>
      <c r="BIS3" s="93" t="s">
        <v>93</v>
      </c>
      <c r="BIT3" s="93" t="s">
        <v>93</v>
      </c>
      <c r="BIU3" s="93" t="s">
        <v>93</v>
      </c>
      <c r="BIV3" s="93" t="s">
        <v>93</v>
      </c>
      <c r="BIW3" s="93" t="s">
        <v>93</v>
      </c>
      <c r="BIX3" s="93" t="s">
        <v>93</v>
      </c>
      <c r="BIY3" s="93" t="s">
        <v>93</v>
      </c>
      <c r="BIZ3" s="93" t="s">
        <v>93</v>
      </c>
      <c r="BJA3" s="93" t="s">
        <v>93</v>
      </c>
      <c r="BJB3" s="93" t="s">
        <v>93</v>
      </c>
      <c r="BJC3" s="93" t="s">
        <v>93</v>
      </c>
      <c r="BJD3" s="93" t="s">
        <v>93</v>
      </c>
      <c r="BJE3" s="93" t="s">
        <v>93</v>
      </c>
      <c r="BJF3" s="93" t="s">
        <v>93</v>
      </c>
      <c r="BJG3" s="93" t="s">
        <v>93</v>
      </c>
      <c r="BJH3" s="93" t="s">
        <v>93</v>
      </c>
      <c r="BJI3" s="93" t="s">
        <v>93</v>
      </c>
      <c r="BJJ3" s="93" t="s">
        <v>93</v>
      </c>
      <c r="BJK3" s="93" t="s">
        <v>93</v>
      </c>
      <c r="BJL3" s="93" t="s">
        <v>93</v>
      </c>
      <c r="BJM3" s="93" t="s">
        <v>93</v>
      </c>
      <c r="BJN3" s="93" t="s">
        <v>93</v>
      </c>
      <c r="BJO3" s="93" t="s">
        <v>93</v>
      </c>
      <c r="BJP3" s="93" t="s">
        <v>93</v>
      </c>
      <c r="BJQ3" s="93" t="s">
        <v>93</v>
      </c>
      <c r="BJR3" s="93" t="s">
        <v>93</v>
      </c>
      <c r="BJS3" s="93" t="s">
        <v>93</v>
      </c>
      <c r="BJT3" s="93" t="s">
        <v>93</v>
      </c>
      <c r="BJU3" s="93" t="s">
        <v>93</v>
      </c>
      <c r="BJV3" s="93" t="s">
        <v>93</v>
      </c>
      <c r="BJW3" s="93" t="s">
        <v>93</v>
      </c>
      <c r="BJX3" s="93" t="s">
        <v>93</v>
      </c>
      <c r="BJY3" s="93" t="s">
        <v>93</v>
      </c>
      <c r="BJZ3" s="93" t="s">
        <v>93</v>
      </c>
      <c r="BKA3" s="93" t="s">
        <v>93</v>
      </c>
      <c r="BKB3" s="93" t="s">
        <v>93</v>
      </c>
      <c r="BKC3" s="93" t="s">
        <v>93</v>
      </c>
      <c r="BKD3" s="93" t="s">
        <v>93</v>
      </c>
      <c r="BKE3" s="93" t="s">
        <v>93</v>
      </c>
      <c r="BKF3" s="93" t="s">
        <v>93</v>
      </c>
      <c r="BKG3" s="93" t="s">
        <v>93</v>
      </c>
      <c r="BKH3" s="93" t="s">
        <v>93</v>
      </c>
      <c r="BKI3" s="93" t="s">
        <v>94</v>
      </c>
      <c r="BKJ3" s="93" t="s">
        <v>94</v>
      </c>
      <c r="BKK3" s="93" t="s">
        <v>94</v>
      </c>
      <c r="BKL3" s="93" t="s">
        <v>94</v>
      </c>
      <c r="BKM3" s="93" t="s">
        <v>94</v>
      </c>
      <c r="BKN3" s="93" t="s">
        <v>94</v>
      </c>
      <c r="BKO3" s="93" t="s">
        <v>94</v>
      </c>
      <c r="BKP3" s="93" t="s">
        <v>94</v>
      </c>
      <c r="BKQ3" s="93" t="s">
        <v>94</v>
      </c>
      <c r="BKR3" s="93" t="s">
        <v>94</v>
      </c>
      <c r="BKS3" s="93" t="s">
        <v>94</v>
      </c>
      <c r="BKT3" s="93" t="s">
        <v>94</v>
      </c>
      <c r="BKU3" s="93" t="s">
        <v>94</v>
      </c>
      <c r="BKV3" s="93" t="s">
        <v>94</v>
      </c>
      <c r="BKW3" s="93" t="s">
        <v>94</v>
      </c>
      <c r="BKX3" s="93" t="s">
        <v>94</v>
      </c>
      <c r="BKY3" s="93" t="s">
        <v>94</v>
      </c>
      <c r="BKZ3" s="93" t="s">
        <v>94</v>
      </c>
      <c r="BLA3" s="93" t="s">
        <v>94</v>
      </c>
      <c r="BLB3" s="93" t="s">
        <v>94</v>
      </c>
      <c r="BLC3" s="93" t="s">
        <v>94</v>
      </c>
      <c r="BLD3" s="93" t="s">
        <v>94</v>
      </c>
      <c r="BLE3" s="93" t="s">
        <v>94</v>
      </c>
      <c r="BLF3" s="93" t="s">
        <v>94</v>
      </c>
      <c r="BLG3" s="93" t="s">
        <v>345</v>
      </c>
      <c r="BLH3" s="93" t="s">
        <v>345</v>
      </c>
      <c r="BLI3" s="93" t="s">
        <v>345</v>
      </c>
      <c r="BLJ3" s="93" t="s">
        <v>345</v>
      </c>
      <c r="BLK3" s="93" t="s">
        <v>345</v>
      </c>
      <c r="BLL3" s="93" t="s">
        <v>345</v>
      </c>
      <c r="BLM3" s="93" t="s">
        <v>345</v>
      </c>
      <c r="BLN3" s="93" t="s">
        <v>345</v>
      </c>
      <c r="BLO3" s="93" t="s">
        <v>345</v>
      </c>
      <c r="BLP3" s="93" t="s">
        <v>345</v>
      </c>
      <c r="BLQ3" s="93" t="s">
        <v>345</v>
      </c>
      <c r="BLR3" s="93" t="s">
        <v>345</v>
      </c>
      <c r="BLS3" s="93" t="s">
        <v>345</v>
      </c>
      <c r="BLT3" s="93" t="s">
        <v>345</v>
      </c>
      <c r="BLU3" s="93" t="s">
        <v>345</v>
      </c>
      <c r="BLV3" s="93" t="s">
        <v>345</v>
      </c>
      <c r="BLW3" s="93" t="s">
        <v>345</v>
      </c>
      <c r="BLX3" s="93" t="s">
        <v>345</v>
      </c>
      <c r="BLY3" s="93" t="s">
        <v>345</v>
      </c>
      <c r="BLZ3" s="93" t="s">
        <v>345</v>
      </c>
      <c r="BMA3" s="93" t="s">
        <v>345</v>
      </c>
      <c r="BMB3" s="93" t="s">
        <v>345</v>
      </c>
      <c r="BMC3" s="93" t="s">
        <v>345</v>
      </c>
      <c r="BMD3" s="93" t="s">
        <v>345</v>
      </c>
      <c r="BME3" s="93" t="s">
        <v>345</v>
      </c>
    </row>
    <row r="4" spans="1:1713" s="82" customFormat="1" ht="30" customHeight="1" thickTop="1" x14ac:dyDescent="0.35">
      <c r="A4" s="96"/>
      <c r="B4" s="97"/>
      <c r="P4" s="93" t="s">
        <v>12</v>
      </c>
      <c r="Q4" s="93" t="s">
        <v>165</v>
      </c>
      <c r="R4" s="93" t="s">
        <v>13</v>
      </c>
      <c r="S4" s="93" t="s">
        <v>14</v>
      </c>
      <c r="T4" s="93" t="s">
        <v>95</v>
      </c>
      <c r="U4" s="93"/>
      <c r="V4" s="93" t="s">
        <v>166</v>
      </c>
      <c r="W4" s="93" t="s">
        <v>371</v>
      </c>
      <c r="X4" s="93" t="s">
        <v>70</v>
      </c>
      <c r="Y4" s="93" t="s">
        <v>70</v>
      </c>
      <c r="Z4" s="93" t="s">
        <v>71</v>
      </c>
      <c r="AA4" s="93" t="s">
        <v>71</v>
      </c>
      <c r="AB4" s="93" t="s">
        <v>16</v>
      </c>
      <c r="AC4" s="93" t="s">
        <v>16</v>
      </c>
      <c r="AD4" s="93" t="s">
        <v>17</v>
      </c>
      <c r="AE4" s="93" t="s">
        <v>17</v>
      </c>
      <c r="AF4" s="93" t="s">
        <v>6</v>
      </c>
      <c r="AG4" s="93" t="s">
        <v>6</v>
      </c>
      <c r="AH4" s="93" t="s">
        <v>5</v>
      </c>
      <c r="AI4" s="93" t="s">
        <v>5</v>
      </c>
      <c r="AJ4" s="93" t="s">
        <v>4</v>
      </c>
      <c r="AK4" s="93" t="s">
        <v>4</v>
      </c>
      <c r="AL4" s="93" t="s">
        <v>18</v>
      </c>
      <c r="AM4" s="93" t="s">
        <v>18</v>
      </c>
      <c r="AN4" s="93" t="s">
        <v>72</v>
      </c>
      <c r="AO4" s="93" t="s">
        <v>72</v>
      </c>
      <c r="AP4" s="93" t="s">
        <v>19</v>
      </c>
      <c r="AQ4" s="93" t="s">
        <v>19</v>
      </c>
      <c r="AR4" s="93" t="s">
        <v>52</v>
      </c>
      <c r="AS4" s="93" t="s">
        <v>52</v>
      </c>
      <c r="AT4" s="93" t="s">
        <v>9</v>
      </c>
      <c r="AU4" s="93" t="s">
        <v>9</v>
      </c>
      <c r="AV4" s="93" t="s">
        <v>73</v>
      </c>
      <c r="AW4" s="93" t="s">
        <v>73</v>
      </c>
      <c r="AX4" s="93" t="s">
        <v>74</v>
      </c>
      <c r="AY4" s="93" t="s">
        <v>74</v>
      </c>
      <c r="AZ4" s="93"/>
      <c r="BA4" s="93" t="s">
        <v>167</v>
      </c>
      <c r="BB4" s="93" t="s">
        <v>168</v>
      </c>
      <c r="BC4" s="93" t="s">
        <v>169</v>
      </c>
      <c r="BD4" s="93" t="s">
        <v>170</v>
      </c>
      <c r="BE4" s="93" t="s">
        <v>171</v>
      </c>
      <c r="BF4" s="93" t="s">
        <v>172</v>
      </c>
      <c r="BG4" s="93" t="s">
        <v>173</v>
      </c>
      <c r="BH4" s="93" t="s">
        <v>174</v>
      </c>
      <c r="BI4" s="93" t="s">
        <v>175</v>
      </c>
      <c r="BJ4" s="93" t="s">
        <v>176</v>
      </c>
      <c r="BK4" s="93" t="s">
        <v>177</v>
      </c>
      <c r="BL4" s="93" t="s">
        <v>178</v>
      </c>
      <c r="BM4" s="93" t="s">
        <v>179</v>
      </c>
      <c r="BN4" s="93" t="s">
        <v>155</v>
      </c>
      <c r="BO4" s="93" t="s">
        <v>155</v>
      </c>
      <c r="BP4" s="93" t="s">
        <v>155</v>
      </c>
      <c r="BQ4" s="93" t="s">
        <v>155</v>
      </c>
      <c r="BR4" s="93" t="s">
        <v>155</v>
      </c>
      <c r="BS4" s="93" t="s">
        <v>156</v>
      </c>
      <c r="BT4" s="93" t="s">
        <v>156</v>
      </c>
      <c r="BU4" s="93" t="s">
        <v>156</v>
      </c>
      <c r="BV4" s="93" t="s">
        <v>156</v>
      </c>
      <c r="BW4" s="93" t="s">
        <v>156</v>
      </c>
      <c r="BX4" s="93" t="s">
        <v>157</v>
      </c>
      <c r="BY4" s="93" t="s">
        <v>157</v>
      </c>
      <c r="BZ4" s="93" t="s">
        <v>157</v>
      </c>
      <c r="CA4" s="93" t="s">
        <v>157</v>
      </c>
      <c r="CB4" s="93" t="s">
        <v>157</v>
      </c>
      <c r="CC4" s="93" t="s">
        <v>143</v>
      </c>
      <c r="CD4" s="93" t="s">
        <v>143</v>
      </c>
      <c r="CE4" s="93" t="s">
        <v>143</v>
      </c>
      <c r="CF4" s="93" t="s">
        <v>143</v>
      </c>
      <c r="CG4" s="93" t="s">
        <v>143</v>
      </c>
      <c r="CH4" s="93" t="s">
        <v>144</v>
      </c>
      <c r="CI4" s="93" t="s">
        <v>144</v>
      </c>
      <c r="CJ4" s="93" t="s">
        <v>144</v>
      </c>
      <c r="CK4" s="93" t="s">
        <v>144</v>
      </c>
      <c r="CL4" s="93" t="s">
        <v>144</v>
      </c>
      <c r="CM4" s="93" t="s">
        <v>158</v>
      </c>
      <c r="CN4" s="93" t="s">
        <v>158</v>
      </c>
      <c r="CO4" s="93" t="s">
        <v>158</v>
      </c>
      <c r="CP4" s="93" t="s">
        <v>158</v>
      </c>
      <c r="CQ4" s="93" t="s">
        <v>158</v>
      </c>
      <c r="CR4" s="93" t="s">
        <v>55</v>
      </c>
      <c r="CS4" s="93" t="s">
        <v>55</v>
      </c>
      <c r="CT4" s="93" t="s">
        <v>55</v>
      </c>
      <c r="CU4" s="93" t="s">
        <v>55</v>
      </c>
      <c r="CV4" s="93" t="s">
        <v>55</v>
      </c>
      <c r="CW4" s="93" t="s">
        <v>56</v>
      </c>
      <c r="CX4" s="93" t="s">
        <v>56</v>
      </c>
      <c r="CY4" s="93" t="s">
        <v>56</v>
      </c>
      <c r="CZ4" s="93" t="s">
        <v>56</v>
      </c>
      <c r="DA4" s="93" t="s">
        <v>56</v>
      </c>
      <c r="DB4" s="93" t="s">
        <v>57</v>
      </c>
      <c r="DC4" s="93" t="s">
        <v>57</v>
      </c>
      <c r="DD4" s="93" t="s">
        <v>57</v>
      </c>
      <c r="DE4" s="93" t="s">
        <v>57</v>
      </c>
      <c r="DF4" s="93" t="s">
        <v>57</v>
      </c>
      <c r="DG4" s="93" t="s">
        <v>58</v>
      </c>
      <c r="DH4" s="93" t="s">
        <v>58</v>
      </c>
      <c r="DI4" s="93" t="s">
        <v>58</v>
      </c>
      <c r="DJ4" s="93" t="s">
        <v>58</v>
      </c>
      <c r="DK4" s="93" t="s">
        <v>58</v>
      </c>
      <c r="DL4" s="93" t="s">
        <v>159</v>
      </c>
      <c r="DM4" s="93" t="s">
        <v>159</v>
      </c>
      <c r="DN4" s="93" t="s">
        <v>159</v>
      </c>
      <c r="DO4" s="93" t="s">
        <v>159</v>
      </c>
      <c r="DP4" s="93" t="s">
        <v>159</v>
      </c>
      <c r="DQ4" s="93" t="s">
        <v>160</v>
      </c>
      <c r="DR4" s="93" t="s">
        <v>160</v>
      </c>
      <c r="DS4" s="93" t="s">
        <v>160</v>
      </c>
      <c r="DT4" s="93" t="s">
        <v>160</v>
      </c>
      <c r="DU4" s="93" t="s">
        <v>160</v>
      </c>
      <c r="DV4" s="93" t="s">
        <v>161</v>
      </c>
      <c r="DW4" s="93" t="s">
        <v>161</v>
      </c>
      <c r="DX4" s="93" t="s">
        <v>161</v>
      </c>
      <c r="DY4" s="93" t="s">
        <v>161</v>
      </c>
      <c r="DZ4" s="93" t="s">
        <v>161</v>
      </c>
      <c r="EA4" s="93" t="s">
        <v>147</v>
      </c>
      <c r="EB4" s="93" t="s">
        <v>147</v>
      </c>
      <c r="EC4" s="93" t="s">
        <v>147</v>
      </c>
      <c r="ED4" s="93" t="s">
        <v>147</v>
      </c>
      <c r="EE4" s="93" t="s">
        <v>147</v>
      </c>
      <c r="EF4" s="93" t="s">
        <v>148</v>
      </c>
      <c r="EG4" s="93" t="s">
        <v>148</v>
      </c>
      <c r="EH4" s="93" t="s">
        <v>148</v>
      </c>
      <c r="EI4" s="93" t="s">
        <v>148</v>
      </c>
      <c r="EJ4" s="93" t="s">
        <v>148</v>
      </c>
      <c r="EK4" s="93" t="s">
        <v>162</v>
      </c>
      <c r="EL4" s="93" t="s">
        <v>162</v>
      </c>
      <c r="EM4" s="93" t="s">
        <v>162</v>
      </c>
      <c r="EN4" s="93" t="s">
        <v>162</v>
      </c>
      <c r="EO4" s="93" t="s">
        <v>162</v>
      </c>
      <c r="EP4" s="93" t="s">
        <v>163</v>
      </c>
      <c r="EQ4" s="93" t="s">
        <v>163</v>
      </c>
      <c r="ER4" s="93" t="s">
        <v>163</v>
      </c>
      <c r="ES4" s="93" t="s">
        <v>163</v>
      </c>
      <c r="ET4" s="93" t="s">
        <v>163</v>
      </c>
      <c r="EU4" s="93" t="s">
        <v>164</v>
      </c>
      <c r="EV4" s="93" t="s">
        <v>164</v>
      </c>
      <c r="EW4" s="93" t="s">
        <v>164</v>
      </c>
      <c r="EX4" s="93" t="s">
        <v>164</v>
      </c>
      <c r="EY4" s="93" t="s">
        <v>164</v>
      </c>
      <c r="EZ4" s="93" t="s">
        <v>149</v>
      </c>
      <c r="FA4" s="93" t="s">
        <v>149</v>
      </c>
      <c r="FB4" s="93" t="s">
        <v>149</v>
      </c>
      <c r="FC4" s="93" t="s">
        <v>149</v>
      </c>
      <c r="FD4" s="93" t="s">
        <v>149</v>
      </c>
      <c r="FE4" s="93" t="s">
        <v>150</v>
      </c>
      <c r="FF4" s="93" t="s">
        <v>150</v>
      </c>
      <c r="FG4" s="93" t="s">
        <v>150</v>
      </c>
      <c r="FH4" s="93" t="s">
        <v>150</v>
      </c>
      <c r="FI4" s="93" t="s">
        <v>150</v>
      </c>
      <c r="FJ4" s="93" t="s">
        <v>151</v>
      </c>
      <c r="FK4" s="93" t="s">
        <v>151</v>
      </c>
      <c r="FL4" s="93" t="s">
        <v>151</v>
      </c>
      <c r="FM4" s="93" t="s">
        <v>151</v>
      </c>
      <c r="FN4" s="93" t="s">
        <v>151</v>
      </c>
      <c r="FO4" s="93" t="s">
        <v>152</v>
      </c>
      <c r="FP4" s="93" t="s">
        <v>152</v>
      </c>
      <c r="FQ4" s="93" t="s">
        <v>152</v>
      </c>
      <c r="FR4" s="93" t="s">
        <v>152</v>
      </c>
      <c r="FS4" s="93" t="s">
        <v>153</v>
      </c>
      <c r="FT4" s="93" t="s">
        <v>153</v>
      </c>
      <c r="FU4" s="93" t="s">
        <v>153</v>
      </c>
      <c r="FV4" s="93" t="s">
        <v>153</v>
      </c>
      <c r="FW4" s="93" t="s">
        <v>154</v>
      </c>
      <c r="FX4" s="93" t="s">
        <v>154</v>
      </c>
      <c r="FY4" s="93" t="s">
        <v>154</v>
      </c>
      <c r="FZ4" s="93" t="s">
        <v>154</v>
      </c>
      <c r="GA4" s="93" t="s">
        <v>138</v>
      </c>
      <c r="GB4" s="93" t="s">
        <v>138</v>
      </c>
      <c r="GC4" s="93" t="s">
        <v>138</v>
      </c>
      <c r="GD4" s="93" t="s">
        <v>138</v>
      </c>
      <c r="GE4" s="93" t="s">
        <v>139</v>
      </c>
      <c r="GF4" s="93" t="s">
        <v>139</v>
      </c>
      <c r="GG4" s="93" t="s">
        <v>139</v>
      </c>
      <c r="GH4" s="93" t="s">
        <v>139</v>
      </c>
      <c r="GI4" s="93" t="s">
        <v>140</v>
      </c>
      <c r="GJ4" s="93" t="s">
        <v>140</v>
      </c>
      <c r="GK4" s="93" t="s">
        <v>140</v>
      </c>
      <c r="GL4" s="93" t="s">
        <v>140</v>
      </c>
      <c r="GM4" s="93" t="s">
        <v>141</v>
      </c>
      <c r="GN4" s="93" t="s">
        <v>141</v>
      </c>
      <c r="GO4" s="93" t="s">
        <v>141</v>
      </c>
      <c r="GP4" s="93" t="s">
        <v>141</v>
      </c>
      <c r="GQ4" s="93" t="s">
        <v>142</v>
      </c>
      <c r="GR4" s="93" t="s">
        <v>142</v>
      </c>
      <c r="GS4" s="93" t="s">
        <v>142</v>
      </c>
      <c r="GT4" s="93" t="s">
        <v>142</v>
      </c>
      <c r="GU4" s="93" t="s">
        <v>152</v>
      </c>
      <c r="GV4" s="93" t="s">
        <v>152</v>
      </c>
      <c r="GW4" s="93" t="s">
        <v>152</v>
      </c>
      <c r="GX4" s="93" t="s">
        <v>152</v>
      </c>
      <c r="GY4" s="93" t="s">
        <v>153</v>
      </c>
      <c r="GZ4" s="93" t="s">
        <v>153</v>
      </c>
      <c r="HA4" s="93" t="s">
        <v>153</v>
      </c>
      <c r="HB4" s="93" t="s">
        <v>153</v>
      </c>
      <c r="HC4" s="93" t="s">
        <v>154</v>
      </c>
      <c r="HD4" s="93" t="s">
        <v>154</v>
      </c>
      <c r="HE4" s="93" t="s">
        <v>154</v>
      </c>
      <c r="HF4" s="93" t="s">
        <v>154</v>
      </c>
      <c r="HG4" s="93" t="s">
        <v>138</v>
      </c>
      <c r="HH4" s="93" t="s">
        <v>138</v>
      </c>
      <c r="HI4" s="93" t="s">
        <v>138</v>
      </c>
      <c r="HJ4" s="93" t="s">
        <v>138</v>
      </c>
      <c r="HK4" s="93" t="s">
        <v>139</v>
      </c>
      <c r="HL4" s="93" t="s">
        <v>139</v>
      </c>
      <c r="HM4" s="93" t="s">
        <v>139</v>
      </c>
      <c r="HN4" s="93" t="s">
        <v>139</v>
      </c>
      <c r="HO4" s="93" t="s">
        <v>140</v>
      </c>
      <c r="HP4" s="93" t="s">
        <v>140</v>
      </c>
      <c r="HQ4" s="93" t="s">
        <v>140</v>
      </c>
      <c r="HR4" s="93" t="s">
        <v>140</v>
      </c>
      <c r="HS4" s="93" t="s">
        <v>141</v>
      </c>
      <c r="HT4" s="93" t="s">
        <v>141</v>
      </c>
      <c r="HU4" s="93" t="s">
        <v>141</v>
      </c>
      <c r="HV4" s="93" t="s">
        <v>141</v>
      </c>
      <c r="HW4" s="93" t="s">
        <v>142</v>
      </c>
      <c r="HX4" s="93" t="s">
        <v>142</v>
      </c>
      <c r="HY4" s="93" t="s">
        <v>142</v>
      </c>
      <c r="HZ4" s="93" t="s">
        <v>142</v>
      </c>
      <c r="IA4" s="93" t="s">
        <v>152</v>
      </c>
      <c r="IB4" s="93" t="s">
        <v>152</v>
      </c>
      <c r="IC4" s="93" t="s">
        <v>152</v>
      </c>
      <c r="ID4" s="93" t="s">
        <v>152</v>
      </c>
      <c r="IE4" s="93" t="s">
        <v>152</v>
      </c>
      <c r="IF4" s="93" t="s">
        <v>153</v>
      </c>
      <c r="IG4" s="93" t="s">
        <v>153</v>
      </c>
      <c r="IH4" s="93" t="s">
        <v>153</v>
      </c>
      <c r="II4" s="93" t="s">
        <v>153</v>
      </c>
      <c r="IJ4" s="93" t="s">
        <v>153</v>
      </c>
      <c r="IK4" s="93" t="s">
        <v>154</v>
      </c>
      <c r="IL4" s="93" t="s">
        <v>154</v>
      </c>
      <c r="IM4" s="93" t="s">
        <v>154</v>
      </c>
      <c r="IN4" s="93" t="s">
        <v>154</v>
      </c>
      <c r="IO4" s="93" t="s">
        <v>154</v>
      </c>
      <c r="IP4" s="93" t="s">
        <v>138</v>
      </c>
      <c r="IQ4" s="93" t="s">
        <v>138</v>
      </c>
      <c r="IR4" s="93" t="s">
        <v>138</v>
      </c>
      <c r="IS4" s="93" t="s">
        <v>138</v>
      </c>
      <c r="IT4" s="93" t="s">
        <v>138</v>
      </c>
      <c r="IU4" s="93" t="s">
        <v>139</v>
      </c>
      <c r="IV4" s="93" t="s">
        <v>139</v>
      </c>
      <c r="IW4" s="93" t="s">
        <v>139</v>
      </c>
      <c r="IX4" s="93" t="s">
        <v>139</v>
      </c>
      <c r="IY4" s="93" t="s">
        <v>139</v>
      </c>
      <c r="IZ4" s="93" t="s">
        <v>140</v>
      </c>
      <c r="JA4" s="93" t="s">
        <v>140</v>
      </c>
      <c r="JB4" s="93" t="s">
        <v>140</v>
      </c>
      <c r="JC4" s="93" t="s">
        <v>140</v>
      </c>
      <c r="JD4" s="93" t="s">
        <v>140</v>
      </c>
      <c r="JE4" s="93" t="s">
        <v>141</v>
      </c>
      <c r="JF4" s="93" t="s">
        <v>141</v>
      </c>
      <c r="JG4" s="93" t="s">
        <v>141</v>
      </c>
      <c r="JH4" s="93" t="s">
        <v>141</v>
      </c>
      <c r="JI4" s="93" t="s">
        <v>141</v>
      </c>
      <c r="JJ4" s="93" t="s">
        <v>142</v>
      </c>
      <c r="JK4" s="93" t="s">
        <v>142</v>
      </c>
      <c r="JL4" s="93" t="s">
        <v>142</v>
      </c>
      <c r="JM4" s="93" t="s">
        <v>142</v>
      </c>
      <c r="JN4" s="93" t="s">
        <v>142</v>
      </c>
      <c r="JO4" s="93" t="s">
        <v>152</v>
      </c>
      <c r="JP4" s="93" t="s">
        <v>152</v>
      </c>
      <c r="JQ4" s="93" t="s">
        <v>152</v>
      </c>
      <c r="JR4" s="93" t="s">
        <v>152</v>
      </c>
      <c r="JS4" s="93" t="s">
        <v>152</v>
      </c>
      <c r="JT4" s="93" t="s">
        <v>152</v>
      </c>
      <c r="JU4" s="93" t="s">
        <v>152</v>
      </c>
      <c r="JV4" s="93" t="s">
        <v>153</v>
      </c>
      <c r="JW4" s="93" t="s">
        <v>153</v>
      </c>
      <c r="JX4" s="93" t="s">
        <v>153</v>
      </c>
      <c r="JY4" s="93" t="s">
        <v>153</v>
      </c>
      <c r="JZ4" s="93" t="s">
        <v>153</v>
      </c>
      <c r="KA4" s="93" t="s">
        <v>153</v>
      </c>
      <c r="KB4" s="93" t="s">
        <v>153</v>
      </c>
      <c r="KC4" s="93" t="s">
        <v>188</v>
      </c>
      <c r="KD4" s="93" t="s">
        <v>188</v>
      </c>
      <c r="KE4" s="93" t="s">
        <v>188</v>
      </c>
      <c r="KF4" s="93" t="s">
        <v>188</v>
      </c>
      <c r="KG4" s="93" t="s">
        <v>188</v>
      </c>
      <c r="KH4" s="93" t="s">
        <v>188</v>
      </c>
      <c r="KI4" s="93" t="s">
        <v>188</v>
      </c>
      <c r="KJ4" s="93" t="s">
        <v>189</v>
      </c>
      <c r="KK4" s="93" t="s">
        <v>189</v>
      </c>
      <c r="KL4" s="93" t="s">
        <v>189</v>
      </c>
      <c r="KM4" s="93" t="s">
        <v>189</v>
      </c>
      <c r="KN4" s="93" t="s">
        <v>189</v>
      </c>
      <c r="KO4" s="93" t="s">
        <v>189</v>
      </c>
      <c r="KP4" s="93" t="s">
        <v>189</v>
      </c>
      <c r="KQ4" s="93" t="s">
        <v>190</v>
      </c>
      <c r="KR4" s="93" t="s">
        <v>190</v>
      </c>
      <c r="KS4" s="93" t="s">
        <v>190</v>
      </c>
      <c r="KT4" s="93" t="s">
        <v>190</v>
      </c>
      <c r="KU4" s="93" t="s">
        <v>190</v>
      </c>
      <c r="KV4" s="93" t="s">
        <v>190</v>
      </c>
      <c r="KW4" s="93" t="s">
        <v>190</v>
      </c>
      <c r="KX4" s="93" t="s">
        <v>191</v>
      </c>
      <c r="KY4" s="93" t="s">
        <v>191</v>
      </c>
      <c r="KZ4" s="93" t="s">
        <v>191</v>
      </c>
      <c r="LA4" s="93" t="s">
        <v>191</v>
      </c>
      <c r="LB4" s="93" t="s">
        <v>191</v>
      </c>
      <c r="LC4" s="93" t="s">
        <v>191</v>
      </c>
      <c r="LD4" s="93" t="s">
        <v>191</v>
      </c>
      <c r="LE4" s="93" t="s">
        <v>192</v>
      </c>
      <c r="LF4" s="93" t="s">
        <v>192</v>
      </c>
      <c r="LG4" s="93" t="s">
        <v>192</v>
      </c>
      <c r="LH4" s="93" t="s">
        <v>192</v>
      </c>
      <c r="LI4" s="93" t="s">
        <v>192</v>
      </c>
      <c r="LJ4" s="93" t="s">
        <v>193</v>
      </c>
      <c r="LK4" s="93" t="s">
        <v>193</v>
      </c>
      <c r="LL4" s="93" t="s">
        <v>193</v>
      </c>
      <c r="LM4" s="93" t="s">
        <v>193</v>
      </c>
      <c r="LN4" s="93" t="s">
        <v>193</v>
      </c>
      <c r="LO4" s="93" t="s">
        <v>194</v>
      </c>
      <c r="LP4" s="93" t="s">
        <v>194</v>
      </c>
      <c r="LQ4" s="93" t="s">
        <v>194</v>
      </c>
      <c r="LR4" s="93" t="s">
        <v>194</v>
      </c>
      <c r="LS4" s="93" t="s">
        <v>194</v>
      </c>
      <c r="LT4" s="93" t="s">
        <v>195</v>
      </c>
      <c r="LU4" s="93" t="s">
        <v>195</v>
      </c>
      <c r="LV4" s="93" t="s">
        <v>195</v>
      </c>
      <c r="LW4" s="93" t="s">
        <v>195</v>
      </c>
      <c r="LX4" s="93" t="s">
        <v>195</v>
      </c>
      <c r="LY4" s="93" t="s">
        <v>196</v>
      </c>
      <c r="LZ4" s="93" t="s">
        <v>196</v>
      </c>
      <c r="MA4" s="93" t="s">
        <v>196</v>
      </c>
      <c r="MB4" s="93" t="s">
        <v>196</v>
      </c>
      <c r="MC4" s="93" t="s">
        <v>196</v>
      </c>
      <c r="MD4" s="93" t="s">
        <v>197</v>
      </c>
      <c r="ME4" s="93" t="s">
        <v>197</v>
      </c>
      <c r="MF4" s="93" t="s">
        <v>197</v>
      </c>
      <c r="MG4" s="93" t="s">
        <v>197</v>
      </c>
      <c r="MH4" s="93" t="s">
        <v>197</v>
      </c>
      <c r="MI4" s="93" t="s">
        <v>198</v>
      </c>
      <c r="MJ4" s="93" t="s">
        <v>198</v>
      </c>
      <c r="MK4" s="93" t="s">
        <v>198</v>
      </c>
      <c r="ML4" s="93" t="s">
        <v>198</v>
      </c>
      <c r="MM4" s="93" t="s">
        <v>198</v>
      </c>
      <c r="MN4" s="93" t="s">
        <v>199</v>
      </c>
      <c r="MO4" s="93" t="s">
        <v>199</v>
      </c>
      <c r="MP4" s="93" t="s">
        <v>199</v>
      </c>
      <c r="MQ4" s="93" t="s">
        <v>199</v>
      </c>
      <c r="MR4" s="93" t="s">
        <v>199</v>
      </c>
      <c r="MS4" s="93" t="s">
        <v>200</v>
      </c>
      <c r="MT4" s="93" t="s">
        <v>200</v>
      </c>
      <c r="MU4" s="93" t="s">
        <v>200</v>
      </c>
      <c r="MV4" s="93" t="s">
        <v>200</v>
      </c>
      <c r="MW4" s="93" t="s">
        <v>200</v>
      </c>
      <c r="MX4" s="93" t="s">
        <v>201</v>
      </c>
      <c r="MY4" s="93" t="s">
        <v>201</v>
      </c>
      <c r="MZ4" s="93" t="s">
        <v>201</v>
      </c>
      <c r="NA4" s="93" t="s">
        <v>201</v>
      </c>
      <c r="NB4" s="93" t="s">
        <v>201</v>
      </c>
      <c r="NC4" s="93" t="s">
        <v>202</v>
      </c>
      <c r="ND4" s="93" t="s">
        <v>202</v>
      </c>
      <c r="NE4" s="93" t="s">
        <v>202</v>
      </c>
      <c r="NF4" s="93" t="s">
        <v>202</v>
      </c>
      <c r="NG4" s="93" t="s">
        <v>202</v>
      </c>
      <c r="NH4" s="93" t="s">
        <v>203</v>
      </c>
      <c r="NI4" s="93" t="s">
        <v>203</v>
      </c>
      <c r="NJ4" s="93" t="s">
        <v>203</v>
      </c>
      <c r="NK4" s="93" t="s">
        <v>203</v>
      </c>
      <c r="NL4" s="93" t="s">
        <v>203</v>
      </c>
      <c r="NM4" s="93" t="s">
        <v>204</v>
      </c>
      <c r="NN4" s="93" t="s">
        <v>204</v>
      </c>
      <c r="NO4" s="93" t="s">
        <v>204</v>
      </c>
      <c r="NP4" s="93" t="s">
        <v>204</v>
      </c>
      <c r="NQ4" s="93" t="s">
        <v>204</v>
      </c>
      <c r="NR4" s="93" t="s">
        <v>205</v>
      </c>
      <c r="NS4" s="93" t="s">
        <v>205</v>
      </c>
      <c r="NT4" s="93" t="s">
        <v>205</v>
      </c>
      <c r="NU4" s="93" t="s">
        <v>205</v>
      </c>
      <c r="NV4" s="93" t="s">
        <v>205</v>
      </c>
      <c r="NW4" s="93" t="s">
        <v>206</v>
      </c>
      <c r="NX4" s="93" t="s">
        <v>206</v>
      </c>
      <c r="NY4" s="93" t="s">
        <v>206</v>
      </c>
      <c r="NZ4" s="93" t="s">
        <v>206</v>
      </c>
      <c r="OA4" s="93" t="s">
        <v>206</v>
      </c>
      <c r="OB4" s="93" t="s">
        <v>207</v>
      </c>
      <c r="OC4" s="93" t="s">
        <v>207</v>
      </c>
      <c r="OD4" s="93" t="s">
        <v>207</v>
      </c>
      <c r="OE4" s="93" t="s">
        <v>207</v>
      </c>
      <c r="OF4" s="93" t="s">
        <v>207</v>
      </c>
      <c r="OG4" s="93" t="s">
        <v>208</v>
      </c>
      <c r="OH4" s="93" t="s">
        <v>208</v>
      </c>
      <c r="OI4" s="93" t="s">
        <v>208</v>
      </c>
      <c r="OJ4" s="93" t="s">
        <v>208</v>
      </c>
      <c r="OK4" s="93" t="s">
        <v>208</v>
      </c>
      <c r="OL4" s="93" t="s">
        <v>209</v>
      </c>
      <c r="OM4" s="93" t="s">
        <v>209</v>
      </c>
      <c r="ON4" s="93" t="s">
        <v>209</v>
      </c>
      <c r="OO4" s="93" t="s">
        <v>209</v>
      </c>
      <c r="OP4" s="93" t="s">
        <v>209</v>
      </c>
      <c r="OQ4" s="93" t="s">
        <v>210</v>
      </c>
      <c r="OR4" s="93" t="s">
        <v>210</v>
      </c>
      <c r="OS4" s="93" t="s">
        <v>210</v>
      </c>
      <c r="OT4" s="93" t="s">
        <v>210</v>
      </c>
      <c r="OU4" s="93" t="s">
        <v>210</v>
      </c>
      <c r="OV4" s="93" t="s">
        <v>211</v>
      </c>
      <c r="OW4" s="93" t="s">
        <v>211</v>
      </c>
      <c r="OX4" s="93" t="s">
        <v>211</v>
      </c>
      <c r="OY4" s="93" t="s">
        <v>211</v>
      </c>
      <c r="OZ4" s="93" t="s">
        <v>211</v>
      </c>
      <c r="PA4" s="93" t="s">
        <v>212</v>
      </c>
      <c r="PB4" s="93" t="s">
        <v>212</v>
      </c>
      <c r="PC4" s="93" t="s">
        <v>212</v>
      </c>
      <c r="PD4" s="93" t="s">
        <v>212</v>
      </c>
      <c r="PE4" s="93" t="s">
        <v>212</v>
      </c>
      <c r="PF4" s="93" t="s">
        <v>213</v>
      </c>
      <c r="PG4" s="93" t="s">
        <v>213</v>
      </c>
      <c r="PH4" s="93" t="s">
        <v>213</v>
      </c>
      <c r="PI4" s="93" t="s">
        <v>213</v>
      </c>
      <c r="PJ4" s="93" t="s">
        <v>213</v>
      </c>
      <c r="PK4" s="93" t="s">
        <v>214</v>
      </c>
      <c r="PL4" s="93" t="s">
        <v>214</v>
      </c>
      <c r="PM4" s="93" t="s">
        <v>214</v>
      </c>
      <c r="PN4" s="93" t="s">
        <v>214</v>
      </c>
      <c r="PO4" s="93" t="s">
        <v>214</v>
      </c>
      <c r="PP4" s="93" t="s">
        <v>157</v>
      </c>
      <c r="PQ4" s="93" t="s">
        <v>157</v>
      </c>
      <c r="PR4" s="93" t="s">
        <v>157</v>
      </c>
      <c r="PS4" s="93" t="s">
        <v>157</v>
      </c>
      <c r="PT4" s="93" t="s">
        <v>157</v>
      </c>
      <c r="PU4" s="93" t="s">
        <v>143</v>
      </c>
      <c r="PV4" s="93" t="s">
        <v>143</v>
      </c>
      <c r="PW4" s="93" t="s">
        <v>143</v>
      </c>
      <c r="PX4" s="93" t="s">
        <v>143</v>
      </c>
      <c r="PY4" s="93" t="s">
        <v>143</v>
      </c>
      <c r="PZ4" s="93" t="s">
        <v>144</v>
      </c>
      <c r="QA4" s="93" t="s">
        <v>144</v>
      </c>
      <c r="QB4" s="93" t="s">
        <v>144</v>
      </c>
      <c r="QC4" s="93" t="s">
        <v>144</v>
      </c>
      <c r="QD4" s="93" t="s">
        <v>144</v>
      </c>
      <c r="QE4" s="93" t="s">
        <v>215</v>
      </c>
      <c r="QF4" s="93" t="s">
        <v>215</v>
      </c>
      <c r="QG4" s="93" t="s">
        <v>215</v>
      </c>
      <c r="QH4" s="93" t="s">
        <v>215</v>
      </c>
      <c r="QI4" s="93" t="s">
        <v>215</v>
      </c>
      <c r="QJ4" s="93" t="s">
        <v>217</v>
      </c>
      <c r="QK4" s="93" t="s">
        <v>217</v>
      </c>
      <c r="QL4" s="93" t="s">
        <v>217</v>
      </c>
      <c r="QM4" s="93" t="s">
        <v>217</v>
      </c>
      <c r="QN4" s="93" t="s">
        <v>217</v>
      </c>
      <c r="QO4" s="93" t="s">
        <v>218</v>
      </c>
      <c r="QP4" s="93" t="s">
        <v>218</v>
      </c>
      <c r="QQ4" s="93" t="s">
        <v>218</v>
      </c>
      <c r="QR4" s="93" t="s">
        <v>218</v>
      </c>
      <c r="QS4" s="93" t="s">
        <v>218</v>
      </c>
      <c r="QT4" s="93" t="s">
        <v>219</v>
      </c>
      <c r="QU4" s="93" t="s">
        <v>219</v>
      </c>
      <c r="QV4" s="93" t="s">
        <v>219</v>
      </c>
      <c r="QW4" s="93" t="s">
        <v>219</v>
      </c>
      <c r="QX4" s="93" t="s">
        <v>219</v>
      </c>
      <c r="QY4" s="93" t="s">
        <v>220</v>
      </c>
      <c r="QZ4" s="93" t="s">
        <v>220</v>
      </c>
      <c r="RA4" s="93" t="s">
        <v>220</v>
      </c>
      <c r="RB4" s="93" t="s">
        <v>220</v>
      </c>
      <c r="RC4" s="93" t="s">
        <v>220</v>
      </c>
      <c r="RD4" s="93" t="s">
        <v>221</v>
      </c>
      <c r="RE4" s="93" t="s">
        <v>221</v>
      </c>
      <c r="RF4" s="93" t="s">
        <v>221</v>
      </c>
      <c r="RG4" s="93" t="s">
        <v>221</v>
      </c>
      <c r="RH4" s="93" t="s">
        <v>221</v>
      </c>
      <c r="RI4" s="93" t="s">
        <v>222</v>
      </c>
      <c r="RJ4" s="93" t="s">
        <v>222</v>
      </c>
      <c r="RK4" s="93" t="s">
        <v>222</v>
      </c>
      <c r="RL4" s="93" t="s">
        <v>222</v>
      </c>
      <c r="RM4" s="93" t="s">
        <v>222</v>
      </c>
      <c r="RN4" s="93" t="s">
        <v>223</v>
      </c>
      <c r="RO4" s="93" t="s">
        <v>223</v>
      </c>
      <c r="RP4" s="93" t="s">
        <v>223</v>
      </c>
      <c r="RQ4" s="93" t="s">
        <v>223</v>
      </c>
      <c r="RR4" s="93" t="s">
        <v>223</v>
      </c>
      <c r="RS4" s="93" t="s">
        <v>215</v>
      </c>
      <c r="RT4" s="93" t="s">
        <v>215</v>
      </c>
      <c r="RU4" s="93" t="s">
        <v>215</v>
      </c>
      <c r="RV4" s="93" t="s">
        <v>215</v>
      </c>
      <c r="RW4" s="93" t="s">
        <v>215</v>
      </c>
      <c r="RX4" s="93" t="s">
        <v>217</v>
      </c>
      <c r="RY4" s="93" t="s">
        <v>217</v>
      </c>
      <c r="RZ4" s="93" t="s">
        <v>217</v>
      </c>
      <c r="SA4" s="93" t="s">
        <v>217</v>
      </c>
      <c r="SB4" s="93" t="s">
        <v>217</v>
      </c>
      <c r="SC4" s="93" t="s">
        <v>218</v>
      </c>
      <c r="SD4" s="93" t="s">
        <v>218</v>
      </c>
      <c r="SE4" s="93" t="s">
        <v>218</v>
      </c>
      <c r="SF4" s="93" t="s">
        <v>218</v>
      </c>
      <c r="SG4" s="93" t="s">
        <v>218</v>
      </c>
      <c r="SH4" s="93" t="s">
        <v>219</v>
      </c>
      <c r="SI4" s="93" t="s">
        <v>219</v>
      </c>
      <c r="SJ4" s="93" t="s">
        <v>219</v>
      </c>
      <c r="SK4" s="93" t="s">
        <v>219</v>
      </c>
      <c r="SL4" s="93" t="s">
        <v>219</v>
      </c>
      <c r="SM4" s="93" t="s">
        <v>220</v>
      </c>
      <c r="SN4" s="93" t="s">
        <v>220</v>
      </c>
      <c r="SO4" s="93" t="s">
        <v>220</v>
      </c>
      <c r="SP4" s="93" t="s">
        <v>220</v>
      </c>
      <c r="SQ4" s="93" t="s">
        <v>220</v>
      </c>
      <c r="SR4" s="93" t="s">
        <v>221</v>
      </c>
      <c r="SS4" s="93" t="s">
        <v>221</v>
      </c>
      <c r="ST4" s="93" t="s">
        <v>221</v>
      </c>
      <c r="SU4" s="93" t="s">
        <v>221</v>
      </c>
      <c r="SV4" s="93" t="s">
        <v>221</v>
      </c>
      <c r="SW4" s="93" t="s">
        <v>222</v>
      </c>
      <c r="SX4" s="93" t="s">
        <v>222</v>
      </c>
      <c r="SY4" s="93" t="s">
        <v>222</v>
      </c>
      <c r="SZ4" s="93" t="s">
        <v>222</v>
      </c>
      <c r="TA4" s="93" t="s">
        <v>222</v>
      </c>
      <c r="TB4" s="93" t="s">
        <v>223</v>
      </c>
      <c r="TC4" s="93" t="s">
        <v>223</v>
      </c>
      <c r="TD4" s="93" t="s">
        <v>223</v>
      </c>
      <c r="TE4" s="93" t="s">
        <v>223</v>
      </c>
      <c r="TF4" s="93" t="s">
        <v>223</v>
      </c>
      <c r="TG4" s="93" t="s">
        <v>215</v>
      </c>
      <c r="TH4" s="93" t="s">
        <v>215</v>
      </c>
      <c r="TI4" s="93" t="s">
        <v>215</v>
      </c>
      <c r="TJ4" s="93" t="s">
        <v>215</v>
      </c>
      <c r="TK4" s="93" t="s">
        <v>215</v>
      </c>
      <c r="TL4" s="93" t="s">
        <v>217</v>
      </c>
      <c r="TM4" s="93" t="s">
        <v>217</v>
      </c>
      <c r="TN4" s="93" t="s">
        <v>217</v>
      </c>
      <c r="TO4" s="93" t="s">
        <v>217</v>
      </c>
      <c r="TP4" s="93" t="s">
        <v>217</v>
      </c>
      <c r="TQ4" s="93" t="s">
        <v>218</v>
      </c>
      <c r="TR4" s="93" t="s">
        <v>218</v>
      </c>
      <c r="TS4" s="93" t="s">
        <v>218</v>
      </c>
      <c r="TT4" s="93" t="s">
        <v>218</v>
      </c>
      <c r="TU4" s="93" t="s">
        <v>218</v>
      </c>
      <c r="TV4" s="93" t="s">
        <v>219</v>
      </c>
      <c r="TW4" s="93" t="s">
        <v>219</v>
      </c>
      <c r="TX4" s="93" t="s">
        <v>219</v>
      </c>
      <c r="TY4" s="93" t="s">
        <v>219</v>
      </c>
      <c r="TZ4" s="93" t="s">
        <v>219</v>
      </c>
      <c r="UA4" s="93" t="s">
        <v>220</v>
      </c>
      <c r="UB4" s="93" t="s">
        <v>220</v>
      </c>
      <c r="UC4" s="93" t="s">
        <v>220</v>
      </c>
      <c r="UD4" s="93" t="s">
        <v>220</v>
      </c>
      <c r="UE4" s="93" t="s">
        <v>220</v>
      </c>
      <c r="UF4" s="93" t="s">
        <v>221</v>
      </c>
      <c r="UG4" s="93" t="s">
        <v>221</v>
      </c>
      <c r="UH4" s="93" t="s">
        <v>221</v>
      </c>
      <c r="UI4" s="93" t="s">
        <v>221</v>
      </c>
      <c r="UJ4" s="93" t="s">
        <v>221</v>
      </c>
      <c r="UK4" s="93" t="s">
        <v>222</v>
      </c>
      <c r="UL4" s="93" t="s">
        <v>222</v>
      </c>
      <c r="UM4" s="93" t="s">
        <v>222</v>
      </c>
      <c r="UN4" s="93" t="s">
        <v>222</v>
      </c>
      <c r="UO4" s="93" t="s">
        <v>222</v>
      </c>
      <c r="UP4" s="93" t="s">
        <v>223</v>
      </c>
      <c r="UQ4" s="93" t="s">
        <v>223</v>
      </c>
      <c r="UR4" s="93" t="s">
        <v>223</v>
      </c>
      <c r="US4" s="93" t="s">
        <v>223</v>
      </c>
      <c r="UT4" s="93" t="s">
        <v>223</v>
      </c>
      <c r="UU4" s="93" t="s">
        <v>224</v>
      </c>
      <c r="UV4" s="93" t="s">
        <v>224</v>
      </c>
      <c r="UW4" s="93" t="s">
        <v>224</v>
      </c>
      <c r="UX4" s="93" t="s">
        <v>224</v>
      </c>
      <c r="UY4" s="93" t="s">
        <v>224</v>
      </c>
      <c r="UZ4" s="93" t="s">
        <v>225</v>
      </c>
      <c r="VA4" s="93" t="s">
        <v>225</v>
      </c>
      <c r="VB4" s="93" t="s">
        <v>225</v>
      </c>
      <c r="VC4" s="93" t="s">
        <v>225</v>
      </c>
      <c r="VD4" s="93" t="s">
        <v>225</v>
      </c>
      <c r="VE4" s="93" t="s">
        <v>157</v>
      </c>
      <c r="VF4" s="93" t="s">
        <v>157</v>
      </c>
      <c r="VG4" s="93" t="s">
        <v>157</v>
      </c>
      <c r="VH4" s="93" t="s">
        <v>157</v>
      </c>
      <c r="VI4" s="93" t="s">
        <v>157</v>
      </c>
      <c r="VJ4" s="93" t="s">
        <v>143</v>
      </c>
      <c r="VK4" s="93" t="s">
        <v>143</v>
      </c>
      <c r="VL4" s="93" t="s">
        <v>143</v>
      </c>
      <c r="VM4" s="93" t="s">
        <v>143</v>
      </c>
      <c r="VN4" s="93" t="s">
        <v>143</v>
      </c>
      <c r="VO4" s="93" t="s">
        <v>144</v>
      </c>
      <c r="VP4" s="93" t="s">
        <v>144</v>
      </c>
      <c r="VQ4" s="93" t="s">
        <v>144</v>
      </c>
      <c r="VR4" s="93" t="s">
        <v>144</v>
      </c>
      <c r="VS4" s="93" t="s">
        <v>144</v>
      </c>
      <c r="VT4" s="93" t="s">
        <v>224</v>
      </c>
      <c r="VU4" s="93" t="s">
        <v>224</v>
      </c>
      <c r="VV4" s="93" t="s">
        <v>224</v>
      </c>
      <c r="VW4" s="93" t="s">
        <v>224</v>
      </c>
      <c r="VX4" s="93" t="s">
        <v>224</v>
      </c>
      <c r="VY4" s="93" t="s">
        <v>225</v>
      </c>
      <c r="VZ4" s="93" t="s">
        <v>225</v>
      </c>
      <c r="WA4" s="93" t="s">
        <v>225</v>
      </c>
      <c r="WB4" s="93" t="s">
        <v>225</v>
      </c>
      <c r="WC4" s="93" t="s">
        <v>225</v>
      </c>
      <c r="WD4" s="93" t="s">
        <v>157</v>
      </c>
      <c r="WE4" s="93" t="s">
        <v>157</v>
      </c>
      <c r="WF4" s="93" t="s">
        <v>157</v>
      </c>
      <c r="WG4" s="93" t="s">
        <v>157</v>
      </c>
      <c r="WH4" s="93" t="s">
        <v>157</v>
      </c>
      <c r="WI4" s="93" t="s">
        <v>143</v>
      </c>
      <c r="WJ4" s="93" t="s">
        <v>143</v>
      </c>
      <c r="WK4" s="93" t="s">
        <v>143</v>
      </c>
      <c r="WL4" s="93" t="s">
        <v>143</v>
      </c>
      <c r="WM4" s="93" t="s">
        <v>143</v>
      </c>
      <c r="WN4" s="93" t="s">
        <v>144</v>
      </c>
      <c r="WO4" s="93" t="s">
        <v>144</v>
      </c>
      <c r="WP4" s="93" t="s">
        <v>144</v>
      </c>
      <c r="WQ4" s="93" t="s">
        <v>144</v>
      </c>
      <c r="WR4" s="93" t="s">
        <v>144</v>
      </c>
      <c r="WS4" s="93" t="s">
        <v>226</v>
      </c>
      <c r="WT4" s="93" t="s">
        <v>226</v>
      </c>
      <c r="WU4" s="93" t="s">
        <v>226</v>
      </c>
      <c r="WV4" s="93" t="s">
        <v>226</v>
      </c>
      <c r="WW4" s="93" t="s">
        <v>226</v>
      </c>
      <c r="WX4" s="93" t="s">
        <v>227</v>
      </c>
      <c r="WY4" s="93" t="s">
        <v>227</v>
      </c>
      <c r="WZ4" s="93" t="s">
        <v>227</v>
      </c>
      <c r="XA4" s="93" t="s">
        <v>227</v>
      </c>
      <c r="XB4" s="93" t="s">
        <v>227</v>
      </c>
      <c r="XC4" s="93" t="s">
        <v>228</v>
      </c>
      <c r="XD4" s="93" t="s">
        <v>228</v>
      </c>
      <c r="XE4" s="93" t="s">
        <v>228</v>
      </c>
      <c r="XF4" s="93" t="s">
        <v>228</v>
      </c>
      <c r="XG4" s="93" t="s">
        <v>228</v>
      </c>
      <c r="XH4" s="93" t="s">
        <v>229</v>
      </c>
      <c r="XI4" s="93" t="s">
        <v>229</v>
      </c>
      <c r="XJ4" s="93" t="s">
        <v>229</v>
      </c>
      <c r="XK4" s="93" t="s">
        <v>229</v>
      </c>
      <c r="XL4" s="93" t="s">
        <v>229</v>
      </c>
      <c r="XM4" s="93" t="s">
        <v>230</v>
      </c>
      <c r="XN4" s="93" t="s">
        <v>230</v>
      </c>
      <c r="XO4" s="93" t="s">
        <v>230</v>
      </c>
      <c r="XP4" s="93" t="s">
        <v>230</v>
      </c>
      <c r="XQ4" s="93" t="s">
        <v>230</v>
      </c>
      <c r="XR4" s="93" t="s">
        <v>231</v>
      </c>
      <c r="XS4" s="93" t="s">
        <v>231</v>
      </c>
      <c r="XT4" s="93" t="s">
        <v>231</v>
      </c>
      <c r="XU4" s="93" t="s">
        <v>231</v>
      </c>
      <c r="XV4" s="93" t="s">
        <v>231</v>
      </c>
      <c r="XW4" s="93" t="s">
        <v>232</v>
      </c>
      <c r="XX4" s="93" t="s">
        <v>232</v>
      </c>
      <c r="XY4" s="93" t="s">
        <v>232</v>
      </c>
      <c r="XZ4" s="93" t="s">
        <v>232</v>
      </c>
      <c r="YA4" s="93" t="s">
        <v>232</v>
      </c>
      <c r="YB4" s="93" t="s">
        <v>233</v>
      </c>
      <c r="YC4" s="93" t="s">
        <v>233</v>
      </c>
      <c r="YD4" s="93" t="s">
        <v>233</v>
      </c>
      <c r="YE4" s="93" t="s">
        <v>233</v>
      </c>
      <c r="YF4" s="93" t="s">
        <v>233</v>
      </c>
      <c r="YG4" s="93" t="s">
        <v>234</v>
      </c>
      <c r="YH4" s="93" t="s">
        <v>234</v>
      </c>
      <c r="YI4" s="93" t="s">
        <v>234</v>
      </c>
      <c r="YJ4" s="93" t="s">
        <v>234</v>
      </c>
      <c r="YK4" s="93" t="s">
        <v>234</v>
      </c>
      <c r="YL4" s="93" t="s">
        <v>235</v>
      </c>
      <c r="YM4" s="93" t="s">
        <v>235</v>
      </c>
      <c r="YN4" s="93" t="s">
        <v>235</v>
      </c>
      <c r="YO4" s="93" t="s">
        <v>235</v>
      </c>
      <c r="YP4" s="93" t="s">
        <v>235</v>
      </c>
      <c r="YQ4" s="93" t="s">
        <v>236</v>
      </c>
      <c r="YR4" s="93" t="s">
        <v>236</v>
      </c>
      <c r="YS4" s="93" t="s">
        <v>236</v>
      </c>
      <c r="YT4" s="93" t="s">
        <v>236</v>
      </c>
      <c r="YU4" s="93" t="s">
        <v>236</v>
      </c>
      <c r="YV4" s="93" t="s">
        <v>237</v>
      </c>
      <c r="YW4" s="93" t="s">
        <v>237</v>
      </c>
      <c r="YX4" s="93" t="s">
        <v>237</v>
      </c>
      <c r="YY4" s="93" t="s">
        <v>237</v>
      </c>
      <c r="YZ4" s="93" t="s">
        <v>237</v>
      </c>
      <c r="ZA4" s="93" t="s">
        <v>238</v>
      </c>
      <c r="ZB4" s="93" t="s">
        <v>238</v>
      </c>
      <c r="ZC4" s="93" t="s">
        <v>238</v>
      </c>
      <c r="ZD4" s="93" t="s">
        <v>238</v>
      </c>
      <c r="ZE4" s="93" t="s">
        <v>238</v>
      </c>
      <c r="ZF4" s="93" t="s">
        <v>239</v>
      </c>
      <c r="ZG4" s="93" t="s">
        <v>239</v>
      </c>
      <c r="ZH4" s="93" t="s">
        <v>239</v>
      </c>
      <c r="ZI4" s="93" t="s">
        <v>239</v>
      </c>
      <c r="ZJ4" s="93" t="s">
        <v>239</v>
      </c>
      <c r="ZK4" s="93" t="s">
        <v>240</v>
      </c>
      <c r="ZL4" s="93" t="s">
        <v>240</v>
      </c>
      <c r="ZM4" s="93" t="s">
        <v>240</v>
      </c>
      <c r="ZN4" s="93" t="s">
        <v>240</v>
      </c>
      <c r="ZO4" s="93" t="s">
        <v>240</v>
      </c>
      <c r="ZP4" s="93" t="s">
        <v>241</v>
      </c>
      <c r="ZQ4" s="93" t="s">
        <v>241</v>
      </c>
      <c r="ZR4" s="93" t="s">
        <v>241</v>
      </c>
      <c r="ZS4" s="93" t="s">
        <v>241</v>
      </c>
      <c r="ZT4" s="93" t="s">
        <v>241</v>
      </c>
      <c r="ZU4" s="93" t="s">
        <v>242</v>
      </c>
      <c r="ZV4" s="93" t="s">
        <v>242</v>
      </c>
      <c r="ZW4" s="93" t="s">
        <v>242</v>
      </c>
      <c r="ZX4" s="93" t="s">
        <v>242</v>
      </c>
      <c r="ZY4" s="93" t="s">
        <v>242</v>
      </c>
      <c r="ZZ4" s="93" t="s">
        <v>243</v>
      </c>
      <c r="AAA4" s="93" t="s">
        <v>243</v>
      </c>
      <c r="AAB4" s="93" t="s">
        <v>243</v>
      </c>
      <c r="AAC4" s="93" t="s">
        <v>243</v>
      </c>
      <c r="AAD4" s="93" t="s">
        <v>243</v>
      </c>
      <c r="AAE4" s="93" t="s">
        <v>244</v>
      </c>
      <c r="AAF4" s="93" t="s">
        <v>244</v>
      </c>
      <c r="AAG4" s="93" t="s">
        <v>244</v>
      </c>
      <c r="AAH4" s="93" t="s">
        <v>244</v>
      </c>
      <c r="AAI4" s="93" t="s">
        <v>244</v>
      </c>
      <c r="AAJ4" s="93" t="s">
        <v>245</v>
      </c>
      <c r="AAK4" s="93" t="s">
        <v>245</v>
      </c>
      <c r="AAL4" s="93" t="s">
        <v>245</v>
      </c>
      <c r="AAM4" s="93" t="s">
        <v>245</v>
      </c>
      <c r="AAN4" s="93" t="s">
        <v>245</v>
      </c>
      <c r="AAO4" s="93" t="s">
        <v>246</v>
      </c>
      <c r="AAP4" s="93" t="s">
        <v>246</v>
      </c>
      <c r="AAQ4" s="93" t="s">
        <v>246</v>
      </c>
      <c r="AAR4" s="93" t="s">
        <v>246</v>
      </c>
      <c r="AAS4" s="93" t="s">
        <v>246</v>
      </c>
      <c r="AAT4" s="93" t="s">
        <v>247</v>
      </c>
      <c r="AAU4" s="93" t="s">
        <v>247</v>
      </c>
      <c r="AAV4" s="93" t="s">
        <v>247</v>
      </c>
      <c r="AAW4" s="93" t="s">
        <v>247</v>
      </c>
      <c r="AAX4" s="93" t="s">
        <v>247</v>
      </c>
      <c r="AAY4" s="93" t="s">
        <v>248</v>
      </c>
      <c r="AAZ4" s="93" t="s">
        <v>248</v>
      </c>
      <c r="ABA4" s="93" t="s">
        <v>248</v>
      </c>
      <c r="ABB4" s="93" t="s">
        <v>248</v>
      </c>
      <c r="ABC4" s="93" t="s">
        <v>248</v>
      </c>
      <c r="ABD4" s="93" t="s">
        <v>249</v>
      </c>
      <c r="ABE4" s="93" t="s">
        <v>249</v>
      </c>
      <c r="ABF4" s="93" t="s">
        <v>249</v>
      </c>
      <c r="ABG4" s="93" t="s">
        <v>249</v>
      </c>
      <c r="ABH4" s="93" t="s">
        <v>249</v>
      </c>
      <c r="ABI4" s="93" t="s">
        <v>250</v>
      </c>
      <c r="ABJ4" s="93" t="s">
        <v>250</v>
      </c>
      <c r="ABK4" s="93" t="s">
        <v>250</v>
      </c>
      <c r="ABL4" s="93" t="s">
        <v>250</v>
      </c>
      <c r="ABM4" s="93" t="s">
        <v>250</v>
      </c>
      <c r="ABN4" s="93" t="s">
        <v>251</v>
      </c>
      <c r="ABO4" s="93" t="s">
        <v>251</v>
      </c>
      <c r="ABP4" s="93" t="s">
        <v>251</v>
      </c>
      <c r="ABQ4" s="93" t="s">
        <v>251</v>
      </c>
      <c r="ABR4" s="93" t="s">
        <v>251</v>
      </c>
      <c r="ABS4" s="93" t="s">
        <v>252</v>
      </c>
      <c r="ABT4" s="93" t="s">
        <v>252</v>
      </c>
      <c r="ABU4" s="93" t="s">
        <v>252</v>
      </c>
      <c r="ABV4" s="93" t="s">
        <v>252</v>
      </c>
      <c r="ABW4" s="93" t="s">
        <v>252</v>
      </c>
      <c r="ABX4" s="93" t="s">
        <v>253</v>
      </c>
      <c r="ABY4" s="93" t="s">
        <v>253</v>
      </c>
      <c r="ABZ4" s="93" t="s">
        <v>253</v>
      </c>
      <c r="ACA4" s="93" t="s">
        <v>253</v>
      </c>
      <c r="ACB4" s="93" t="s">
        <v>253</v>
      </c>
      <c r="ACC4" s="93" t="s">
        <v>254</v>
      </c>
      <c r="ACD4" s="93" t="s">
        <v>254</v>
      </c>
      <c r="ACE4" s="93" t="s">
        <v>254</v>
      </c>
      <c r="ACF4" s="93" t="s">
        <v>254</v>
      </c>
      <c r="ACG4" s="93" t="s">
        <v>254</v>
      </c>
      <c r="ACH4" s="93" t="s">
        <v>255</v>
      </c>
      <c r="ACI4" s="93" t="s">
        <v>255</v>
      </c>
      <c r="ACJ4" s="93" t="s">
        <v>255</v>
      </c>
      <c r="ACK4" s="93" t="s">
        <v>255</v>
      </c>
      <c r="ACL4" s="93" t="s">
        <v>255</v>
      </c>
      <c r="ACM4" s="93" t="s">
        <v>256</v>
      </c>
      <c r="ACN4" s="93" t="s">
        <v>256</v>
      </c>
      <c r="ACO4" s="93" t="s">
        <v>256</v>
      </c>
      <c r="ACP4" s="93" t="s">
        <v>256</v>
      </c>
      <c r="ACQ4" s="93" t="s">
        <v>256</v>
      </c>
      <c r="ACR4" s="93" t="s">
        <v>257</v>
      </c>
      <c r="ACS4" s="93" t="s">
        <v>257</v>
      </c>
      <c r="ACT4" s="93" t="s">
        <v>257</v>
      </c>
      <c r="ACU4" s="93" t="s">
        <v>260</v>
      </c>
      <c r="ACV4" s="93" t="s">
        <v>260</v>
      </c>
      <c r="ACW4" s="93" t="s">
        <v>260</v>
      </c>
      <c r="ACX4" s="93" t="s">
        <v>261</v>
      </c>
      <c r="ACY4" s="93" t="s">
        <v>261</v>
      </c>
      <c r="ACZ4" s="93" t="s">
        <v>261</v>
      </c>
      <c r="ADA4" s="93" t="s">
        <v>262</v>
      </c>
      <c r="ADB4" s="93" t="s">
        <v>262</v>
      </c>
      <c r="ADC4" s="93" t="s">
        <v>262</v>
      </c>
      <c r="ADD4" s="93" t="s">
        <v>263</v>
      </c>
      <c r="ADE4" s="93" t="s">
        <v>263</v>
      </c>
      <c r="ADF4" s="93" t="s">
        <v>263</v>
      </c>
      <c r="ADG4" s="93" t="s">
        <v>264</v>
      </c>
      <c r="ADH4" s="93" t="s">
        <v>264</v>
      </c>
      <c r="ADI4" s="93" t="s">
        <v>264</v>
      </c>
      <c r="ADJ4" s="93" t="s">
        <v>265</v>
      </c>
      <c r="ADK4" s="93" t="s">
        <v>265</v>
      </c>
      <c r="ADL4" s="93" t="s">
        <v>265</v>
      </c>
      <c r="ADM4" s="93" t="s">
        <v>266</v>
      </c>
      <c r="ADN4" s="93" t="s">
        <v>266</v>
      </c>
      <c r="ADO4" s="93" t="s">
        <v>266</v>
      </c>
      <c r="ADP4" s="93" t="s">
        <v>352</v>
      </c>
      <c r="ADQ4" s="93" t="s">
        <v>352</v>
      </c>
      <c r="ADR4" s="93" t="s">
        <v>352</v>
      </c>
      <c r="ADS4" s="93" t="s">
        <v>353</v>
      </c>
      <c r="ADT4" s="93" t="s">
        <v>353</v>
      </c>
      <c r="ADU4" s="93" t="s">
        <v>353</v>
      </c>
      <c r="ADV4" s="93" t="s">
        <v>354</v>
      </c>
      <c r="ADW4" s="93" t="s">
        <v>354</v>
      </c>
      <c r="ADX4" s="93" t="s">
        <v>354</v>
      </c>
      <c r="ADY4" s="93" t="s">
        <v>355</v>
      </c>
      <c r="ADZ4" s="93" t="s">
        <v>355</v>
      </c>
      <c r="AEA4" s="93" t="s">
        <v>355</v>
      </c>
      <c r="AEB4" s="93" t="s">
        <v>356</v>
      </c>
      <c r="AEC4" s="93" t="s">
        <v>356</v>
      </c>
      <c r="AED4" s="93" t="s">
        <v>356</v>
      </c>
      <c r="AEE4" s="93" t="s">
        <v>357</v>
      </c>
      <c r="AEF4" s="93" t="s">
        <v>357</v>
      </c>
      <c r="AEG4" s="93" t="s">
        <v>357</v>
      </c>
      <c r="AEH4" s="93" t="s">
        <v>358</v>
      </c>
      <c r="AEI4" s="93" t="s">
        <v>358</v>
      </c>
      <c r="AEJ4" s="93" t="s">
        <v>358</v>
      </c>
      <c r="AEK4" s="93" t="s">
        <v>359</v>
      </c>
      <c r="AEL4" s="93" t="s">
        <v>359</v>
      </c>
      <c r="AEM4" s="93" t="s">
        <v>359</v>
      </c>
      <c r="AEN4" s="93" t="s">
        <v>360</v>
      </c>
      <c r="AEO4" s="93" t="s">
        <v>360</v>
      </c>
      <c r="AEP4" s="93" t="s">
        <v>360</v>
      </c>
      <c r="AEQ4" s="93" t="s">
        <v>361</v>
      </c>
      <c r="AER4" s="93" t="s">
        <v>361</v>
      </c>
      <c r="AES4" s="93" t="s">
        <v>361</v>
      </c>
      <c r="AET4" s="93" t="s">
        <v>362</v>
      </c>
      <c r="AEU4" s="93" t="s">
        <v>362</v>
      </c>
      <c r="AEV4" s="93" t="s">
        <v>362</v>
      </c>
      <c r="AEW4" s="93" t="s">
        <v>363</v>
      </c>
      <c r="AEX4" s="93" t="s">
        <v>363</v>
      </c>
      <c r="AEY4" s="93" t="s">
        <v>363</v>
      </c>
      <c r="AEZ4" s="93" t="s">
        <v>364</v>
      </c>
      <c r="AFA4" s="93" t="s">
        <v>364</v>
      </c>
      <c r="AFB4" s="93" t="s">
        <v>364</v>
      </c>
      <c r="AFC4" s="93" t="s">
        <v>365</v>
      </c>
      <c r="AFD4" s="93" t="s">
        <v>365</v>
      </c>
      <c r="AFE4" s="93" t="s">
        <v>365</v>
      </c>
      <c r="AFF4" s="93" t="s">
        <v>366</v>
      </c>
      <c r="AFG4" s="93" t="s">
        <v>366</v>
      </c>
      <c r="AFH4" s="93" t="s">
        <v>366</v>
      </c>
      <c r="AFI4" s="93" t="s">
        <v>367</v>
      </c>
      <c r="AFJ4" s="93" t="s">
        <v>367</v>
      </c>
      <c r="AFK4" s="93" t="s">
        <v>367</v>
      </c>
      <c r="AFL4" s="93" t="s">
        <v>270</v>
      </c>
      <c r="AFM4" s="93" t="s">
        <v>270</v>
      </c>
      <c r="AFN4" s="93" t="s">
        <v>271</v>
      </c>
      <c r="AFO4" s="93" t="s">
        <v>272</v>
      </c>
      <c r="AFP4" s="93" t="s">
        <v>272</v>
      </c>
      <c r="AFQ4" s="93" t="s">
        <v>272</v>
      </c>
      <c r="AFR4" s="93" t="s">
        <v>273</v>
      </c>
      <c r="AFS4" s="93" t="s">
        <v>273</v>
      </c>
      <c r="AFT4" s="93" t="s">
        <v>273</v>
      </c>
      <c r="AFU4" s="93" t="s">
        <v>274</v>
      </c>
      <c r="AFV4" s="93" t="s">
        <v>274</v>
      </c>
      <c r="AFW4" s="93" t="s">
        <v>274</v>
      </c>
      <c r="AFX4" s="93" t="s">
        <v>275</v>
      </c>
      <c r="AFY4" s="93" t="s">
        <v>275</v>
      </c>
      <c r="AFZ4" s="93" t="s">
        <v>275</v>
      </c>
      <c r="AGA4" s="93" t="s">
        <v>276</v>
      </c>
      <c r="AGB4" s="93" t="s">
        <v>276</v>
      </c>
      <c r="AGC4" s="93" t="s">
        <v>276</v>
      </c>
      <c r="AGD4" s="93" t="s">
        <v>277</v>
      </c>
      <c r="AGE4" s="93" t="s">
        <v>277</v>
      </c>
      <c r="AGF4" s="93" t="s">
        <v>277</v>
      </c>
      <c r="AGG4" s="93" t="s">
        <v>278</v>
      </c>
      <c r="AGH4" s="93" t="s">
        <v>278</v>
      </c>
      <c r="AGI4" s="93" t="s">
        <v>278</v>
      </c>
      <c r="AGJ4" s="93" t="s">
        <v>279</v>
      </c>
      <c r="AGK4" s="93" t="s">
        <v>279</v>
      </c>
      <c r="AGL4" s="93" t="s">
        <v>279</v>
      </c>
      <c r="AGM4" s="93" t="s">
        <v>280</v>
      </c>
      <c r="AGN4" s="93" t="s">
        <v>280</v>
      </c>
      <c r="AGO4" s="93" t="s">
        <v>280</v>
      </c>
      <c r="AGP4" s="93" t="s">
        <v>281</v>
      </c>
      <c r="AGQ4" s="93" t="s">
        <v>281</v>
      </c>
      <c r="AGR4" s="93" t="s">
        <v>281</v>
      </c>
      <c r="AGS4" s="93" t="s">
        <v>267</v>
      </c>
      <c r="AGT4" s="93" t="s">
        <v>267</v>
      </c>
      <c r="AGU4" s="93" t="s">
        <v>267</v>
      </c>
      <c r="AGV4" s="93" t="s">
        <v>267</v>
      </c>
      <c r="AGW4" s="93" t="s">
        <v>267</v>
      </c>
      <c r="AGX4" s="93" t="s">
        <v>268</v>
      </c>
      <c r="AGY4" s="93" t="s">
        <v>268</v>
      </c>
      <c r="AGZ4" s="93" t="s">
        <v>268</v>
      </c>
      <c r="AHA4" s="93" t="s">
        <v>268</v>
      </c>
      <c r="AHB4" s="93" t="s">
        <v>268</v>
      </c>
      <c r="AHC4" s="93" t="s">
        <v>269</v>
      </c>
      <c r="AHD4" s="93" t="s">
        <v>269</v>
      </c>
      <c r="AHE4" s="93" t="s">
        <v>269</v>
      </c>
      <c r="AHF4" s="93" t="s">
        <v>269</v>
      </c>
      <c r="AHG4" s="93" t="s">
        <v>269</v>
      </c>
      <c r="AHH4" s="93" t="s">
        <v>270</v>
      </c>
      <c r="AHI4" s="93" t="s">
        <v>270</v>
      </c>
      <c r="AHJ4" s="93" t="s">
        <v>270</v>
      </c>
      <c r="AHK4" s="93" t="s">
        <v>270</v>
      </c>
      <c r="AHL4" s="93" t="s">
        <v>270</v>
      </c>
      <c r="AHM4" s="93" t="s">
        <v>271</v>
      </c>
      <c r="AHN4" s="93" t="s">
        <v>271</v>
      </c>
      <c r="AHO4" s="93" t="s">
        <v>271</v>
      </c>
      <c r="AHP4" s="93" t="s">
        <v>271</v>
      </c>
      <c r="AHQ4" s="93" t="s">
        <v>271</v>
      </c>
      <c r="AHR4" s="93" t="s">
        <v>346</v>
      </c>
      <c r="AHS4" s="93" t="s">
        <v>346</v>
      </c>
      <c r="AHT4" s="93" t="s">
        <v>346</v>
      </c>
      <c r="AHU4" s="93" t="s">
        <v>346</v>
      </c>
      <c r="AHV4" s="93" t="s">
        <v>346</v>
      </c>
      <c r="AHW4" s="93" t="s">
        <v>347</v>
      </c>
      <c r="AHX4" s="93" t="s">
        <v>347</v>
      </c>
      <c r="AHY4" s="93" t="s">
        <v>347</v>
      </c>
      <c r="AHZ4" s="93" t="s">
        <v>347</v>
      </c>
      <c r="AIA4" s="93" t="s">
        <v>347</v>
      </c>
      <c r="AIB4" s="93" t="s">
        <v>348</v>
      </c>
      <c r="AIC4" s="93" t="s">
        <v>348</v>
      </c>
      <c r="AID4" s="93" t="s">
        <v>348</v>
      </c>
      <c r="AIE4" s="93" t="s">
        <v>348</v>
      </c>
      <c r="AIF4" s="93" t="s">
        <v>348</v>
      </c>
      <c r="AIG4" s="93" t="s">
        <v>349</v>
      </c>
      <c r="AIH4" s="93" t="s">
        <v>349</v>
      </c>
      <c r="AII4" s="93" t="s">
        <v>349</v>
      </c>
      <c r="AIJ4" s="93" t="s">
        <v>349</v>
      </c>
      <c r="AIK4" s="93" t="s">
        <v>349</v>
      </c>
      <c r="AIL4" s="93" t="s">
        <v>350</v>
      </c>
      <c r="AIM4" s="93" t="s">
        <v>350</v>
      </c>
      <c r="AIN4" s="93" t="s">
        <v>350</v>
      </c>
      <c r="AIO4" s="93" t="s">
        <v>350</v>
      </c>
      <c r="AIP4" s="93" t="s">
        <v>350</v>
      </c>
      <c r="AIQ4" s="93" t="s">
        <v>365</v>
      </c>
      <c r="AIR4" s="93" t="s">
        <v>365</v>
      </c>
      <c r="AIS4" s="93" t="s">
        <v>365</v>
      </c>
      <c r="AIT4" s="93" t="s">
        <v>365</v>
      </c>
      <c r="AIU4" s="93" t="s">
        <v>365</v>
      </c>
      <c r="AIV4" s="93" t="s">
        <v>366</v>
      </c>
      <c r="AIW4" s="93" t="s">
        <v>366</v>
      </c>
      <c r="AIX4" s="93" t="s">
        <v>366</v>
      </c>
      <c r="AIY4" s="93" t="s">
        <v>366</v>
      </c>
      <c r="AIZ4" s="93" t="s">
        <v>366</v>
      </c>
      <c r="AJA4" s="93" t="s">
        <v>367</v>
      </c>
      <c r="AJB4" s="93" t="s">
        <v>367</v>
      </c>
      <c r="AJC4" s="93" t="s">
        <v>367</v>
      </c>
      <c r="AJD4" s="93" t="s">
        <v>367</v>
      </c>
      <c r="AJE4" s="93" t="s">
        <v>367</v>
      </c>
      <c r="AJF4" s="93" t="s">
        <v>270</v>
      </c>
      <c r="AJG4" s="93" t="s">
        <v>270</v>
      </c>
      <c r="AJH4" s="93" t="s">
        <v>270</v>
      </c>
      <c r="AJI4" s="93" t="s">
        <v>270</v>
      </c>
      <c r="AJJ4" s="93" t="s">
        <v>270</v>
      </c>
      <c r="AJK4" s="93" t="s">
        <v>271</v>
      </c>
      <c r="AJL4" s="93" t="s">
        <v>271</v>
      </c>
      <c r="AJM4" s="93" t="s">
        <v>271</v>
      </c>
      <c r="AJN4" s="93" t="s">
        <v>271</v>
      </c>
      <c r="AJO4" s="93" t="s">
        <v>271</v>
      </c>
      <c r="AJP4" s="93" t="s">
        <v>272</v>
      </c>
      <c r="AJQ4" s="93" t="s">
        <v>272</v>
      </c>
      <c r="AJR4" s="93" t="s">
        <v>272</v>
      </c>
      <c r="AJS4" s="93" t="s">
        <v>272</v>
      </c>
      <c r="AJT4" s="93" t="s">
        <v>272</v>
      </c>
      <c r="AJU4" s="93" t="s">
        <v>273</v>
      </c>
      <c r="AJV4" s="93" t="s">
        <v>273</v>
      </c>
      <c r="AJW4" s="93" t="s">
        <v>273</v>
      </c>
      <c r="AJX4" s="93" t="s">
        <v>273</v>
      </c>
      <c r="AJY4" s="93" t="s">
        <v>273</v>
      </c>
      <c r="AJZ4" s="93" t="s">
        <v>274</v>
      </c>
      <c r="AKA4" s="93" t="s">
        <v>274</v>
      </c>
      <c r="AKB4" s="93" t="s">
        <v>274</v>
      </c>
      <c r="AKC4" s="93" t="s">
        <v>274</v>
      </c>
      <c r="AKD4" s="93" t="s">
        <v>274</v>
      </c>
      <c r="AKE4" s="93" t="s">
        <v>275</v>
      </c>
      <c r="AKF4" s="93" t="s">
        <v>275</v>
      </c>
      <c r="AKG4" s="93" t="s">
        <v>275</v>
      </c>
      <c r="AKH4" s="93" t="s">
        <v>275</v>
      </c>
      <c r="AKI4" s="93" t="s">
        <v>275</v>
      </c>
      <c r="AKJ4" s="93" t="s">
        <v>276</v>
      </c>
      <c r="AKK4" s="93" t="s">
        <v>276</v>
      </c>
      <c r="AKL4" s="93" t="s">
        <v>276</v>
      </c>
      <c r="AKM4" s="93" t="s">
        <v>276</v>
      </c>
      <c r="AKN4" s="93" t="s">
        <v>276</v>
      </c>
      <c r="AKO4" s="93" t="s">
        <v>277</v>
      </c>
      <c r="AKP4" s="93" t="s">
        <v>277</v>
      </c>
      <c r="AKQ4" s="93" t="s">
        <v>277</v>
      </c>
      <c r="AKR4" s="93" t="s">
        <v>277</v>
      </c>
      <c r="AKS4" s="93" t="s">
        <v>277</v>
      </c>
      <c r="AKT4" s="93" t="s">
        <v>278</v>
      </c>
      <c r="AKU4" s="93" t="s">
        <v>278</v>
      </c>
      <c r="AKV4" s="93" t="s">
        <v>278</v>
      </c>
      <c r="AKW4" s="93" t="s">
        <v>278</v>
      </c>
      <c r="AKX4" s="93" t="s">
        <v>278</v>
      </c>
      <c r="AKY4" s="93" t="s">
        <v>279</v>
      </c>
      <c r="AKZ4" s="93" t="s">
        <v>279</v>
      </c>
      <c r="ALA4" s="93" t="s">
        <v>279</v>
      </c>
      <c r="ALB4" s="93" t="s">
        <v>279</v>
      </c>
      <c r="ALC4" s="93" t="s">
        <v>279</v>
      </c>
      <c r="ALD4" s="93" t="s">
        <v>280</v>
      </c>
      <c r="ALE4" s="93" t="s">
        <v>280</v>
      </c>
      <c r="ALF4" s="93" t="s">
        <v>280</v>
      </c>
      <c r="ALG4" s="93" t="s">
        <v>280</v>
      </c>
      <c r="ALH4" s="93" t="s">
        <v>280</v>
      </c>
      <c r="ALI4" s="93" t="s">
        <v>281</v>
      </c>
      <c r="ALJ4" s="93" t="s">
        <v>281</v>
      </c>
      <c r="ALK4" s="93" t="s">
        <v>281</v>
      </c>
      <c r="ALL4" s="93" t="s">
        <v>281</v>
      </c>
      <c r="ALM4" s="93" t="s">
        <v>281</v>
      </c>
      <c r="ALN4" s="93" t="s">
        <v>282</v>
      </c>
      <c r="ALO4" s="93" t="s">
        <v>282</v>
      </c>
      <c r="ALP4" s="93" t="s">
        <v>282</v>
      </c>
      <c r="ALQ4" s="93" t="s">
        <v>282</v>
      </c>
      <c r="ALR4" s="93" t="s">
        <v>282</v>
      </c>
      <c r="ALS4" s="93" t="s">
        <v>283</v>
      </c>
      <c r="ALT4" s="93" t="s">
        <v>283</v>
      </c>
      <c r="ALU4" s="93" t="s">
        <v>283</v>
      </c>
      <c r="ALV4" s="93" t="s">
        <v>283</v>
      </c>
      <c r="ALW4" s="93" t="s">
        <v>283</v>
      </c>
      <c r="ALX4" s="93" t="s">
        <v>284</v>
      </c>
      <c r="ALY4" s="93" t="s">
        <v>284</v>
      </c>
      <c r="ALZ4" s="93" t="s">
        <v>284</v>
      </c>
      <c r="AMA4" s="93" t="s">
        <v>284</v>
      </c>
      <c r="AMB4" s="93" t="s">
        <v>284</v>
      </c>
      <c r="AMC4" s="93" t="s">
        <v>285</v>
      </c>
      <c r="AMD4" s="93" t="s">
        <v>285</v>
      </c>
      <c r="AME4" s="93" t="s">
        <v>285</v>
      </c>
      <c r="AMF4" s="93" t="s">
        <v>285</v>
      </c>
      <c r="AMG4" s="93" t="s">
        <v>285</v>
      </c>
      <c r="AMH4" s="93" t="s">
        <v>286</v>
      </c>
      <c r="AMI4" s="93" t="s">
        <v>286</v>
      </c>
      <c r="AMJ4" s="93" t="s">
        <v>286</v>
      </c>
      <c r="AMK4" s="93" t="s">
        <v>286</v>
      </c>
      <c r="AML4" s="93" t="s">
        <v>286</v>
      </c>
      <c r="AMM4" s="93" t="s">
        <v>287</v>
      </c>
      <c r="AMN4" s="93" t="s">
        <v>287</v>
      </c>
      <c r="AMO4" s="93" t="s">
        <v>287</v>
      </c>
      <c r="AMP4" s="93" t="s">
        <v>287</v>
      </c>
      <c r="AMQ4" s="93" t="s">
        <v>287</v>
      </c>
      <c r="AMR4" s="93" t="s">
        <v>288</v>
      </c>
      <c r="AMS4" s="93" t="s">
        <v>288</v>
      </c>
      <c r="AMT4" s="93" t="s">
        <v>288</v>
      </c>
      <c r="AMU4" s="93" t="s">
        <v>288</v>
      </c>
      <c r="AMV4" s="93" t="s">
        <v>288</v>
      </c>
      <c r="AMW4" s="93" t="s">
        <v>289</v>
      </c>
      <c r="AMX4" s="93" t="s">
        <v>289</v>
      </c>
      <c r="AMY4" s="93" t="s">
        <v>289</v>
      </c>
      <c r="AMZ4" s="93" t="s">
        <v>289</v>
      </c>
      <c r="ANA4" s="93" t="s">
        <v>289</v>
      </c>
      <c r="ANB4" s="93" t="s">
        <v>290</v>
      </c>
      <c r="ANC4" s="93" t="s">
        <v>290</v>
      </c>
      <c r="AND4" s="93" t="s">
        <v>290</v>
      </c>
      <c r="ANE4" s="93" t="s">
        <v>290</v>
      </c>
      <c r="ANF4" s="93" t="s">
        <v>290</v>
      </c>
      <c r="ANG4" s="93" t="s">
        <v>291</v>
      </c>
      <c r="ANH4" s="93" t="s">
        <v>291</v>
      </c>
      <c r="ANI4" s="93" t="s">
        <v>291</v>
      </c>
      <c r="ANJ4" s="93" t="s">
        <v>291</v>
      </c>
      <c r="ANK4" s="93" t="s">
        <v>291</v>
      </c>
      <c r="ANL4" s="93" t="s">
        <v>292</v>
      </c>
      <c r="ANM4" s="93" t="s">
        <v>292</v>
      </c>
      <c r="ANN4" s="93" t="s">
        <v>292</v>
      </c>
      <c r="ANO4" s="93" t="s">
        <v>292</v>
      </c>
      <c r="ANP4" s="93" t="s">
        <v>292</v>
      </c>
      <c r="ANQ4" s="93" t="s">
        <v>231</v>
      </c>
      <c r="ANR4" s="93" t="s">
        <v>231</v>
      </c>
      <c r="ANS4" s="93" t="s">
        <v>231</v>
      </c>
      <c r="ANT4" s="93" t="s">
        <v>231</v>
      </c>
      <c r="ANU4" s="93" t="s">
        <v>231</v>
      </c>
      <c r="ANV4" s="93" t="s">
        <v>293</v>
      </c>
      <c r="ANW4" s="93" t="s">
        <v>293</v>
      </c>
      <c r="ANX4" s="93" t="s">
        <v>293</v>
      </c>
      <c r="ANY4" s="93" t="s">
        <v>293</v>
      </c>
      <c r="ANZ4" s="93" t="s">
        <v>293</v>
      </c>
      <c r="AOA4" s="93" t="s">
        <v>294</v>
      </c>
      <c r="AOB4" s="93" t="s">
        <v>294</v>
      </c>
      <c r="AOC4" s="93" t="s">
        <v>294</v>
      </c>
      <c r="AOD4" s="93" t="s">
        <v>294</v>
      </c>
      <c r="AOE4" s="93" t="s">
        <v>294</v>
      </c>
      <c r="AOF4" s="93" t="s">
        <v>295</v>
      </c>
      <c r="AOG4" s="93" t="s">
        <v>295</v>
      </c>
      <c r="AOH4" s="93" t="s">
        <v>295</v>
      </c>
      <c r="AOI4" s="93" t="s">
        <v>295</v>
      </c>
      <c r="AOJ4" s="93" t="s">
        <v>295</v>
      </c>
      <c r="AOK4" s="93" t="s">
        <v>296</v>
      </c>
      <c r="AOL4" s="93" t="s">
        <v>296</v>
      </c>
      <c r="AOM4" s="93" t="s">
        <v>296</v>
      </c>
      <c r="AON4" s="93" t="s">
        <v>296</v>
      </c>
      <c r="AOO4" s="93" t="s">
        <v>296</v>
      </c>
      <c r="AOP4" s="93" t="s">
        <v>297</v>
      </c>
      <c r="AOQ4" s="93" t="s">
        <v>297</v>
      </c>
      <c r="AOR4" s="93" t="s">
        <v>297</v>
      </c>
      <c r="AOS4" s="93" t="s">
        <v>297</v>
      </c>
      <c r="AOT4" s="93" t="s">
        <v>297</v>
      </c>
      <c r="AOU4" s="93" t="s">
        <v>298</v>
      </c>
      <c r="AOV4" s="93" t="s">
        <v>298</v>
      </c>
      <c r="AOW4" s="93" t="s">
        <v>298</v>
      </c>
      <c r="AOX4" s="93" t="s">
        <v>298</v>
      </c>
      <c r="AOY4" s="93" t="s">
        <v>298</v>
      </c>
      <c r="AOZ4" s="93" t="s">
        <v>299</v>
      </c>
      <c r="APA4" s="93" t="s">
        <v>299</v>
      </c>
      <c r="APB4" s="93" t="s">
        <v>299</v>
      </c>
      <c r="APC4" s="93" t="s">
        <v>299</v>
      </c>
      <c r="APD4" s="93" t="s">
        <v>299</v>
      </c>
      <c r="APE4" s="93" t="s">
        <v>300</v>
      </c>
      <c r="APF4" s="93" t="s">
        <v>300</v>
      </c>
      <c r="APG4" s="93" t="s">
        <v>300</v>
      </c>
      <c r="APH4" s="93" t="s">
        <v>300</v>
      </c>
      <c r="API4" s="93" t="s">
        <v>300</v>
      </c>
      <c r="APJ4" s="93" t="s">
        <v>301</v>
      </c>
      <c r="APK4" s="93" t="s">
        <v>301</v>
      </c>
      <c r="APL4" s="93" t="s">
        <v>301</v>
      </c>
      <c r="APM4" s="93" t="s">
        <v>301</v>
      </c>
      <c r="APN4" s="93" t="s">
        <v>301</v>
      </c>
      <c r="APO4" s="93" t="s">
        <v>240</v>
      </c>
      <c r="APP4" s="93" t="s">
        <v>240</v>
      </c>
      <c r="APQ4" s="93" t="s">
        <v>240</v>
      </c>
      <c r="APR4" s="93" t="s">
        <v>240</v>
      </c>
      <c r="APS4" s="93" t="s">
        <v>240</v>
      </c>
      <c r="APT4" s="93" t="s">
        <v>302</v>
      </c>
      <c r="APU4" s="93" t="s">
        <v>302</v>
      </c>
      <c r="APV4" s="93" t="s">
        <v>302</v>
      </c>
      <c r="APW4" s="93" t="s">
        <v>302</v>
      </c>
      <c r="APX4" s="93" t="s">
        <v>302</v>
      </c>
      <c r="APY4" s="93" t="s">
        <v>303</v>
      </c>
      <c r="APZ4" s="93" t="s">
        <v>303</v>
      </c>
      <c r="AQA4" s="93" t="s">
        <v>303</v>
      </c>
      <c r="AQB4" s="93" t="s">
        <v>303</v>
      </c>
      <c r="AQC4" s="93" t="s">
        <v>303</v>
      </c>
      <c r="AQD4" s="93" t="s">
        <v>304</v>
      </c>
      <c r="AQE4" s="93" t="s">
        <v>304</v>
      </c>
      <c r="AQF4" s="93" t="s">
        <v>304</v>
      </c>
      <c r="AQG4" s="93" t="s">
        <v>304</v>
      </c>
      <c r="AQH4" s="93" t="s">
        <v>304</v>
      </c>
      <c r="AQI4" s="93" t="s">
        <v>305</v>
      </c>
      <c r="AQJ4" s="93" t="s">
        <v>305</v>
      </c>
      <c r="AQK4" s="93" t="s">
        <v>305</v>
      </c>
      <c r="AQL4" s="93" t="s">
        <v>305</v>
      </c>
      <c r="AQM4" s="93" t="s">
        <v>305</v>
      </c>
      <c r="AQN4" s="93" t="s">
        <v>306</v>
      </c>
      <c r="AQO4" s="93" t="s">
        <v>306</v>
      </c>
      <c r="AQP4" s="93" t="s">
        <v>306</v>
      </c>
      <c r="AQQ4" s="93" t="s">
        <v>306</v>
      </c>
      <c r="AQR4" s="93" t="s">
        <v>306</v>
      </c>
      <c r="AQS4" s="93" t="s">
        <v>307</v>
      </c>
      <c r="AQT4" s="93" t="s">
        <v>307</v>
      </c>
      <c r="AQU4" s="93" t="s">
        <v>307</v>
      </c>
      <c r="AQV4" s="93" t="s">
        <v>307</v>
      </c>
      <c r="AQW4" s="93" t="s">
        <v>307</v>
      </c>
      <c r="AQX4" s="93" t="s">
        <v>308</v>
      </c>
      <c r="AQY4" s="93" t="s">
        <v>308</v>
      </c>
      <c r="AQZ4" s="93" t="s">
        <v>308</v>
      </c>
      <c r="ARA4" s="93" t="s">
        <v>308</v>
      </c>
      <c r="ARB4" s="93" t="s">
        <v>308</v>
      </c>
      <c r="ARC4" s="93" t="s">
        <v>255</v>
      </c>
      <c r="ARD4" s="93" t="s">
        <v>255</v>
      </c>
      <c r="ARE4" s="93" t="s">
        <v>255</v>
      </c>
      <c r="ARF4" s="93" t="s">
        <v>255</v>
      </c>
      <c r="ARG4" s="93" t="s">
        <v>255</v>
      </c>
      <c r="ARH4" s="93" t="s">
        <v>309</v>
      </c>
      <c r="ARI4" s="93" t="s">
        <v>309</v>
      </c>
      <c r="ARJ4" s="93" t="s">
        <v>309</v>
      </c>
      <c r="ARK4" s="93" t="s">
        <v>309</v>
      </c>
      <c r="ARL4" s="93" t="s">
        <v>309</v>
      </c>
      <c r="ARM4" s="93" t="s">
        <v>310</v>
      </c>
      <c r="ARN4" s="93" t="s">
        <v>310</v>
      </c>
      <c r="ARO4" s="93" t="s">
        <v>310</v>
      </c>
      <c r="ARP4" s="93" t="s">
        <v>310</v>
      </c>
      <c r="ARQ4" s="93" t="s">
        <v>310</v>
      </c>
      <c r="ARR4" s="93" t="s">
        <v>311</v>
      </c>
      <c r="ARS4" s="93" t="s">
        <v>311</v>
      </c>
      <c r="ART4" s="93" t="s">
        <v>311</v>
      </c>
      <c r="ARU4" s="93" t="s">
        <v>311</v>
      </c>
      <c r="ARV4" s="93" t="s">
        <v>311</v>
      </c>
      <c r="ARW4" s="93" t="s">
        <v>312</v>
      </c>
      <c r="ARX4" s="93" t="s">
        <v>312</v>
      </c>
      <c r="ARY4" s="93" t="s">
        <v>312</v>
      </c>
      <c r="ARZ4" s="93" t="s">
        <v>312</v>
      </c>
      <c r="ASA4" s="93" t="s">
        <v>312</v>
      </c>
      <c r="ASB4" s="93" t="s">
        <v>313</v>
      </c>
      <c r="ASC4" s="93" t="s">
        <v>313</v>
      </c>
      <c r="ASD4" s="93" t="s">
        <v>313</v>
      </c>
      <c r="ASE4" s="93" t="s">
        <v>313</v>
      </c>
      <c r="ASF4" s="93" t="s">
        <v>313</v>
      </c>
      <c r="ASG4" s="93" t="s">
        <v>314</v>
      </c>
      <c r="ASH4" s="93" t="s">
        <v>314</v>
      </c>
      <c r="ASI4" s="93" t="s">
        <v>314</v>
      </c>
      <c r="ASJ4" s="93" t="s">
        <v>314</v>
      </c>
      <c r="ASK4" s="93" t="s">
        <v>314</v>
      </c>
      <c r="ASL4" s="93" t="s">
        <v>315</v>
      </c>
      <c r="ASM4" s="93" t="s">
        <v>315</v>
      </c>
      <c r="ASN4" s="93" t="s">
        <v>315</v>
      </c>
      <c r="ASO4" s="93" t="s">
        <v>315</v>
      </c>
      <c r="ASP4" s="93" t="s">
        <v>315</v>
      </c>
      <c r="ASQ4" s="93" t="s">
        <v>144</v>
      </c>
      <c r="ASR4" s="93" t="s">
        <v>144</v>
      </c>
      <c r="ASS4" s="93" t="s">
        <v>144</v>
      </c>
      <c r="AST4" s="93" t="s">
        <v>144</v>
      </c>
      <c r="ASU4" s="93" t="s">
        <v>144</v>
      </c>
      <c r="ASV4" s="93" t="s">
        <v>282</v>
      </c>
      <c r="ASW4" s="93" t="s">
        <v>282</v>
      </c>
      <c r="ASX4" s="93" t="s">
        <v>282</v>
      </c>
      <c r="ASY4" s="93" t="s">
        <v>282</v>
      </c>
      <c r="ASZ4" s="93" t="s">
        <v>282</v>
      </c>
      <c r="ATA4" s="93" t="s">
        <v>283</v>
      </c>
      <c r="ATB4" s="93" t="s">
        <v>283</v>
      </c>
      <c r="ATC4" s="93" t="s">
        <v>283</v>
      </c>
      <c r="ATD4" s="93" t="s">
        <v>283</v>
      </c>
      <c r="ATE4" s="93" t="s">
        <v>283</v>
      </c>
      <c r="ATF4" s="93" t="s">
        <v>284</v>
      </c>
      <c r="ATG4" s="93" t="s">
        <v>284</v>
      </c>
      <c r="ATH4" s="93" t="s">
        <v>284</v>
      </c>
      <c r="ATI4" s="93" t="s">
        <v>284</v>
      </c>
      <c r="ATJ4" s="93" t="s">
        <v>284</v>
      </c>
      <c r="ATK4" s="93" t="s">
        <v>285</v>
      </c>
      <c r="ATL4" s="93" t="s">
        <v>285</v>
      </c>
      <c r="ATM4" s="93" t="s">
        <v>285</v>
      </c>
      <c r="ATN4" s="93" t="s">
        <v>285</v>
      </c>
      <c r="ATO4" s="93" t="s">
        <v>285</v>
      </c>
      <c r="ATP4" s="93" t="s">
        <v>286</v>
      </c>
      <c r="ATQ4" s="93" t="s">
        <v>286</v>
      </c>
      <c r="ATR4" s="93" t="s">
        <v>286</v>
      </c>
      <c r="ATS4" s="93" t="s">
        <v>286</v>
      </c>
      <c r="ATT4" s="93" t="s">
        <v>286</v>
      </c>
      <c r="ATU4" s="93" t="s">
        <v>287</v>
      </c>
      <c r="ATV4" s="93" t="s">
        <v>287</v>
      </c>
      <c r="ATW4" s="93" t="s">
        <v>287</v>
      </c>
      <c r="ATX4" s="93" t="s">
        <v>287</v>
      </c>
      <c r="ATY4" s="93" t="s">
        <v>287</v>
      </c>
      <c r="ATZ4" s="93" t="s">
        <v>288</v>
      </c>
      <c r="AUA4" s="93" t="s">
        <v>288</v>
      </c>
      <c r="AUB4" s="93" t="s">
        <v>288</v>
      </c>
      <c r="AUC4" s="93" t="s">
        <v>288</v>
      </c>
      <c r="AUD4" s="93" t="s">
        <v>288</v>
      </c>
      <c r="AUE4" s="93" t="s">
        <v>289</v>
      </c>
      <c r="AUF4" s="93" t="s">
        <v>289</v>
      </c>
      <c r="AUG4" s="93" t="s">
        <v>289</v>
      </c>
      <c r="AUH4" s="93" t="s">
        <v>289</v>
      </c>
      <c r="AUI4" s="93" t="s">
        <v>289</v>
      </c>
      <c r="AUJ4" s="93" t="s">
        <v>290</v>
      </c>
      <c r="AUK4" s="93" t="s">
        <v>290</v>
      </c>
      <c r="AUL4" s="93" t="s">
        <v>290</v>
      </c>
      <c r="AUM4" s="93" t="s">
        <v>290</v>
      </c>
      <c r="AUN4" s="93" t="s">
        <v>290</v>
      </c>
      <c r="AUO4" s="93" t="s">
        <v>291</v>
      </c>
      <c r="AUP4" s="93" t="s">
        <v>291</v>
      </c>
      <c r="AUQ4" s="93" t="s">
        <v>291</v>
      </c>
      <c r="AUR4" s="93" t="s">
        <v>291</v>
      </c>
      <c r="AUS4" s="93" t="s">
        <v>291</v>
      </c>
      <c r="AUT4" s="93" t="s">
        <v>292</v>
      </c>
      <c r="AUU4" s="93" t="s">
        <v>292</v>
      </c>
      <c r="AUV4" s="93" t="s">
        <v>292</v>
      </c>
      <c r="AUW4" s="93" t="s">
        <v>292</v>
      </c>
      <c r="AUX4" s="93" t="s">
        <v>292</v>
      </c>
      <c r="AUY4" s="93" t="s">
        <v>231</v>
      </c>
      <c r="AUZ4" s="93" t="s">
        <v>231</v>
      </c>
      <c r="AVA4" s="93" t="s">
        <v>231</v>
      </c>
      <c r="AVB4" s="93" t="s">
        <v>231</v>
      </c>
      <c r="AVC4" s="93" t="s">
        <v>231</v>
      </c>
      <c r="AVD4" s="93" t="s">
        <v>293</v>
      </c>
      <c r="AVE4" s="93" t="s">
        <v>293</v>
      </c>
      <c r="AVF4" s="93" t="s">
        <v>293</v>
      </c>
      <c r="AVG4" s="93" t="s">
        <v>293</v>
      </c>
      <c r="AVH4" s="93" t="s">
        <v>293</v>
      </c>
      <c r="AVI4" s="93" t="s">
        <v>294</v>
      </c>
      <c r="AVJ4" s="93" t="s">
        <v>294</v>
      </c>
      <c r="AVK4" s="93" t="s">
        <v>294</v>
      </c>
      <c r="AVL4" s="93" t="s">
        <v>294</v>
      </c>
      <c r="AVM4" s="93" t="s">
        <v>294</v>
      </c>
      <c r="AVN4" s="93" t="s">
        <v>295</v>
      </c>
      <c r="AVO4" s="93" t="s">
        <v>295</v>
      </c>
      <c r="AVP4" s="93" t="s">
        <v>295</v>
      </c>
      <c r="AVQ4" s="93" t="s">
        <v>295</v>
      </c>
      <c r="AVR4" s="93" t="s">
        <v>295</v>
      </c>
      <c r="AVS4" s="93" t="s">
        <v>296</v>
      </c>
      <c r="AVT4" s="93" t="s">
        <v>296</v>
      </c>
      <c r="AVU4" s="93" t="s">
        <v>296</v>
      </c>
      <c r="AVV4" s="93" t="s">
        <v>296</v>
      </c>
      <c r="AVW4" s="93" t="s">
        <v>296</v>
      </c>
      <c r="AVX4" s="93" t="s">
        <v>297</v>
      </c>
      <c r="AVY4" s="93" t="s">
        <v>297</v>
      </c>
      <c r="AVZ4" s="93" t="s">
        <v>297</v>
      </c>
      <c r="AWA4" s="93" t="s">
        <v>297</v>
      </c>
      <c r="AWB4" s="93" t="s">
        <v>297</v>
      </c>
      <c r="AWC4" s="93" t="s">
        <v>298</v>
      </c>
      <c r="AWD4" s="93" t="s">
        <v>298</v>
      </c>
      <c r="AWE4" s="93" t="s">
        <v>298</v>
      </c>
      <c r="AWF4" s="93" t="s">
        <v>298</v>
      </c>
      <c r="AWG4" s="93" t="s">
        <v>298</v>
      </c>
      <c r="AWH4" s="93" t="s">
        <v>299</v>
      </c>
      <c r="AWI4" s="93" t="s">
        <v>299</v>
      </c>
      <c r="AWJ4" s="93" t="s">
        <v>299</v>
      </c>
      <c r="AWK4" s="93" t="s">
        <v>299</v>
      </c>
      <c r="AWL4" s="93" t="s">
        <v>299</v>
      </c>
      <c r="AWM4" s="93" t="s">
        <v>300</v>
      </c>
      <c r="AWN4" s="93" t="s">
        <v>300</v>
      </c>
      <c r="AWO4" s="93" t="s">
        <v>300</v>
      </c>
      <c r="AWP4" s="93" t="s">
        <v>300</v>
      </c>
      <c r="AWQ4" s="93" t="s">
        <v>300</v>
      </c>
      <c r="AWR4" s="93" t="s">
        <v>301</v>
      </c>
      <c r="AWS4" s="93" t="s">
        <v>301</v>
      </c>
      <c r="AWT4" s="93" t="s">
        <v>301</v>
      </c>
      <c r="AWU4" s="93" t="s">
        <v>301</v>
      </c>
      <c r="AWV4" s="93" t="s">
        <v>301</v>
      </c>
      <c r="AWW4" s="93" t="s">
        <v>240</v>
      </c>
      <c r="AWX4" s="93" t="s">
        <v>240</v>
      </c>
      <c r="AWY4" s="93" t="s">
        <v>240</v>
      </c>
      <c r="AWZ4" s="93" t="s">
        <v>240</v>
      </c>
      <c r="AXA4" s="93" t="s">
        <v>240</v>
      </c>
      <c r="AXB4" s="93" t="s">
        <v>302</v>
      </c>
      <c r="AXC4" s="93" t="s">
        <v>302</v>
      </c>
      <c r="AXD4" s="93" t="s">
        <v>302</v>
      </c>
      <c r="AXE4" s="93" t="s">
        <v>302</v>
      </c>
      <c r="AXF4" s="93" t="s">
        <v>302</v>
      </c>
      <c r="AXG4" s="93" t="s">
        <v>303</v>
      </c>
      <c r="AXH4" s="93" t="s">
        <v>303</v>
      </c>
      <c r="AXI4" s="93" t="s">
        <v>303</v>
      </c>
      <c r="AXJ4" s="93" t="s">
        <v>303</v>
      </c>
      <c r="AXK4" s="93" t="s">
        <v>303</v>
      </c>
      <c r="AXL4" s="93" t="s">
        <v>304</v>
      </c>
      <c r="AXM4" s="93" t="s">
        <v>304</v>
      </c>
      <c r="AXN4" s="93" t="s">
        <v>304</v>
      </c>
      <c r="AXO4" s="93" t="s">
        <v>304</v>
      </c>
      <c r="AXP4" s="93" t="s">
        <v>304</v>
      </c>
      <c r="AXQ4" s="93" t="s">
        <v>305</v>
      </c>
      <c r="AXR4" s="93" t="s">
        <v>305</v>
      </c>
      <c r="AXS4" s="93" t="s">
        <v>305</v>
      </c>
      <c r="AXT4" s="93" t="s">
        <v>305</v>
      </c>
      <c r="AXU4" s="93" t="s">
        <v>305</v>
      </c>
      <c r="AXV4" s="93" t="s">
        <v>306</v>
      </c>
      <c r="AXW4" s="93" t="s">
        <v>306</v>
      </c>
      <c r="AXX4" s="93" t="s">
        <v>306</v>
      </c>
      <c r="AXY4" s="93" t="s">
        <v>306</v>
      </c>
      <c r="AXZ4" s="93" t="s">
        <v>306</v>
      </c>
      <c r="AYA4" s="93" t="s">
        <v>307</v>
      </c>
      <c r="AYB4" s="93" t="s">
        <v>307</v>
      </c>
      <c r="AYC4" s="93" t="s">
        <v>307</v>
      </c>
      <c r="AYD4" s="93" t="s">
        <v>307</v>
      </c>
      <c r="AYE4" s="93" t="s">
        <v>307</v>
      </c>
      <c r="AYF4" s="93" t="s">
        <v>308</v>
      </c>
      <c r="AYG4" s="93" t="s">
        <v>308</v>
      </c>
      <c r="AYH4" s="93" t="s">
        <v>308</v>
      </c>
      <c r="AYI4" s="93" t="s">
        <v>308</v>
      </c>
      <c r="AYJ4" s="93" t="s">
        <v>308</v>
      </c>
      <c r="AYK4" s="93" t="s">
        <v>255</v>
      </c>
      <c r="AYL4" s="93" t="s">
        <v>255</v>
      </c>
      <c r="AYM4" s="93" t="s">
        <v>255</v>
      </c>
      <c r="AYN4" s="93" t="s">
        <v>255</v>
      </c>
      <c r="AYO4" s="93" t="s">
        <v>255</v>
      </c>
      <c r="AYP4" s="93" t="s">
        <v>309</v>
      </c>
      <c r="AYQ4" s="93" t="s">
        <v>309</v>
      </c>
      <c r="AYR4" s="93" t="s">
        <v>309</v>
      </c>
      <c r="AYS4" s="93" t="s">
        <v>309</v>
      </c>
      <c r="AYT4" s="93" t="s">
        <v>309</v>
      </c>
      <c r="AYU4" s="93" t="s">
        <v>310</v>
      </c>
      <c r="AYV4" s="93" t="s">
        <v>310</v>
      </c>
      <c r="AYW4" s="93" t="s">
        <v>310</v>
      </c>
      <c r="AYX4" s="93" t="s">
        <v>310</v>
      </c>
      <c r="AYY4" s="93" t="s">
        <v>310</v>
      </c>
      <c r="AYZ4" s="93" t="s">
        <v>311</v>
      </c>
      <c r="AZA4" s="93" t="s">
        <v>311</v>
      </c>
      <c r="AZB4" s="93" t="s">
        <v>311</v>
      </c>
      <c r="AZC4" s="93" t="s">
        <v>311</v>
      </c>
      <c r="AZD4" s="93" t="s">
        <v>311</v>
      </c>
      <c r="AZE4" s="93" t="s">
        <v>312</v>
      </c>
      <c r="AZF4" s="93" t="s">
        <v>312</v>
      </c>
      <c r="AZG4" s="93" t="s">
        <v>312</v>
      </c>
      <c r="AZH4" s="93" t="s">
        <v>312</v>
      </c>
      <c r="AZI4" s="93" t="s">
        <v>312</v>
      </c>
      <c r="AZJ4" s="93" t="s">
        <v>313</v>
      </c>
      <c r="AZK4" s="93" t="s">
        <v>313</v>
      </c>
      <c r="AZL4" s="93" t="s">
        <v>313</v>
      </c>
      <c r="AZM4" s="93" t="s">
        <v>313</v>
      </c>
      <c r="AZN4" s="93" t="s">
        <v>313</v>
      </c>
      <c r="AZO4" s="93" t="s">
        <v>314</v>
      </c>
      <c r="AZP4" s="93" t="s">
        <v>314</v>
      </c>
      <c r="AZQ4" s="93" t="s">
        <v>314</v>
      </c>
      <c r="AZR4" s="93" t="s">
        <v>314</v>
      </c>
      <c r="AZS4" s="93" t="s">
        <v>314</v>
      </c>
      <c r="AZT4" s="93" t="s">
        <v>315</v>
      </c>
      <c r="AZU4" s="93" t="s">
        <v>315</v>
      </c>
      <c r="AZV4" s="93" t="s">
        <v>315</v>
      </c>
      <c r="AZW4" s="93" t="s">
        <v>315</v>
      </c>
      <c r="AZX4" s="93" t="s">
        <v>315</v>
      </c>
      <c r="AZY4" s="93" t="s">
        <v>144</v>
      </c>
      <c r="AZZ4" s="93" t="s">
        <v>144</v>
      </c>
      <c r="BAA4" s="93" t="s">
        <v>144</v>
      </c>
      <c r="BAB4" s="93" t="s">
        <v>144</v>
      </c>
      <c r="BAC4" s="93" t="s">
        <v>144</v>
      </c>
      <c r="BAD4" s="93" t="s">
        <v>316</v>
      </c>
      <c r="BAE4" s="93" t="s">
        <v>316</v>
      </c>
      <c r="BAF4" s="93" t="s">
        <v>316</v>
      </c>
      <c r="BAG4" s="93" t="s">
        <v>316</v>
      </c>
      <c r="BAH4" s="93" t="s">
        <v>316</v>
      </c>
      <c r="BAI4" s="93" t="s">
        <v>317</v>
      </c>
      <c r="BAJ4" s="93" t="s">
        <v>317</v>
      </c>
      <c r="BAK4" s="93" t="s">
        <v>317</v>
      </c>
      <c r="BAL4" s="93" t="s">
        <v>317</v>
      </c>
      <c r="BAM4" s="93" t="s">
        <v>317</v>
      </c>
      <c r="BAN4" s="93" t="s">
        <v>318</v>
      </c>
      <c r="BAO4" s="93" t="s">
        <v>318</v>
      </c>
      <c r="BAP4" s="93" t="s">
        <v>318</v>
      </c>
      <c r="BAQ4" s="93" t="s">
        <v>318</v>
      </c>
      <c r="BAR4" s="93" t="s">
        <v>318</v>
      </c>
      <c r="BAS4" s="93" t="s">
        <v>319</v>
      </c>
      <c r="BAT4" s="93" t="s">
        <v>319</v>
      </c>
      <c r="BAU4" s="93" t="s">
        <v>319</v>
      </c>
      <c r="BAV4" s="93" t="s">
        <v>319</v>
      </c>
      <c r="BAW4" s="93" t="s">
        <v>319</v>
      </c>
      <c r="BAX4" s="93" t="s">
        <v>320</v>
      </c>
      <c r="BAY4" s="93" t="s">
        <v>320</v>
      </c>
      <c r="BAZ4" s="93" t="s">
        <v>320</v>
      </c>
      <c r="BBA4" s="93" t="s">
        <v>320</v>
      </c>
      <c r="BBB4" s="93" t="s">
        <v>320</v>
      </c>
      <c r="BBC4" s="93" t="s">
        <v>321</v>
      </c>
      <c r="BBD4" s="93" t="s">
        <v>321</v>
      </c>
      <c r="BBE4" s="93" t="s">
        <v>321</v>
      </c>
      <c r="BBF4" s="93" t="s">
        <v>321</v>
      </c>
      <c r="BBG4" s="93" t="s">
        <v>321</v>
      </c>
      <c r="BBH4" s="93" t="s">
        <v>322</v>
      </c>
      <c r="BBI4" s="93" t="s">
        <v>322</v>
      </c>
      <c r="BBJ4" s="93" t="s">
        <v>322</v>
      </c>
      <c r="BBK4" s="93" t="s">
        <v>322</v>
      </c>
      <c r="BBL4" s="93" t="s">
        <v>322</v>
      </c>
      <c r="BBM4" s="93" t="s">
        <v>323</v>
      </c>
      <c r="BBN4" s="93" t="s">
        <v>323</v>
      </c>
      <c r="BBO4" s="93" t="s">
        <v>323</v>
      </c>
      <c r="BBP4" s="93" t="s">
        <v>323</v>
      </c>
      <c r="BBQ4" s="93" t="s">
        <v>323</v>
      </c>
      <c r="BBR4" s="93" t="s">
        <v>324</v>
      </c>
      <c r="BBS4" s="93" t="s">
        <v>324</v>
      </c>
      <c r="BBT4" s="93" t="s">
        <v>324</v>
      </c>
      <c r="BBU4" s="93" t="s">
        <v>324</v>
      </c>
      <c r="BBV4" s="93" t="s">
        <v>324</v>
      </c>
      <c r="BBW4" s="93" t="s">
        <v>325</v>
      </c>
      <c r="BBX4" s="93" t="s">
        <v>325</v>
      </c>
      <c r="BBY4" s="93" t="s">
        <v>325</v>
      </c>
      <c r="BBZ4" s="93" t="s">
        <v>325</v>
      </c>
      <c r="BCA4" s="93" t="s">
        <v>325</v>
      </c>
      <c r="BCB4" s="93" t="s">
        <v>326</v>
      </c>
      <c r="BCC4" s="93" t="s">
        <v>326</v>
      </c>
      <c r="BCD4" s="93" t="s">
        <v>326</v>
      </c>
      <c r="BCE4" s="93" t="s">
        <v>326</v>
      </c>
      <c r="BCF4" s="93" t="s">
        <v>326</v>
      </c>
      <c r="BCG4" s="93" t="s">
        <v>327</v>
      </c>
      <c r="BCH4" s="93" t="s">
        <v>327</v>
      </c>
      <c r="BCI4" s="93" t="s">
        <v>327</v>
      </c>
      <c r="BCJ4" s="93" t="s">
        <v>327</v>
      </c>
      <c r="BCK4" s="93" t="s">
        <v>327</v>
      </c>
      <c r="BCL4" s="93" t="s">
        <v>351</v>
      </c>
      <c r="BCM4" s="93" t="s">
        <v>351</v>
      </c>
      <c r="BCN4" s="93" t="s">
        <v>351</v>
      </c>
      <c r="BCO4" s="93" t="s">
        <v>351</v>
      </c>
      <c r="BCP4" s="93" t="s">
        <v>351</v>
      </c>
      <c r="BCQ4" s="93" t="s">
        <v>328</v>
      </c>
      <c r="BCR4" s="93" t="s">
        <v>328</v>
      </c>
      <c r="BCS4" s="93" t="s">
        <v>328</v>
      </c>
      <c r="BCT4" s="93" t="s">
        <v>328</v>
      </c>
      <c r="BCU4" s="93" t="s">
        <v>328</v>
      </c>
      <c r="BCV4" s="93" t="s">
        <v>281</v>
      </c>
      <c r="BCW4" s="93" t="s">
        <v>281</v>
      </c>
      <c r="BCX4" s="93" t="s">
        <v>281</v>
      </c>
      <c r="BCY4" s="93" t="s">
        <v>281</v>
      </c>
      <c r="BCZ4" s="93" t="s">
        <v>281</v>
      </c>
      <c r="BDA4" s="93" t="s">
        <v>282</v>
      </c>
      <c r="BDB4" s="93" t="s">
        <v>282</v>
      </c>
      <c r="BDC4" s="93" t="s">
        <v>282</v>
      </c>
      <c r="BDD4" s="93" t="s">
        <v>282</v>
      </c>
      <c r="BDE4" s="93" t="s">
        <v>282</v>
      </c>
      <c r="BDF4" s="93" t="s">
        <v>283</v>
      </c>
      <c r="BDG4" s="93" t="s">
        <v>283</v>
      </c>
      <c r="BDH4" s="93" t="s">
        <v>283</v>
      </c>
      <c r="BDI4" s="93" t="s">
        <v>283</v>
      </c>
      <c r="BDJ4" s="93" t="s">
        <v>283</v>
      </c>
      <c r="BDK4" s="93" t="s">
        <v>284</v>
      </c>
      <c r="BDL4" s="93" t="s">
        <v>284</v>
      </c>
      <c r="BDM4" s="93" t="s">
        <v>284</v>
      </c>
      <c r="BDN4" s="93" t="s">
        <v>284</v>
      </c>
      <c r="BDO4" s="93" t="s">
        <v>284</v>
      </c>
      <c r="BDP4" s="93" t="s">
        <v>285</v>
      </c>
      <c r="BDQ4" s="93" t="s">
        <v>285</v>
      </c>
      <c r="BDR4" s="93" t="s">
        <v>285</v>
      </c>
      <c r="BDS4" s="93" t="s">
        <v>285</v>
      </c>
      <c r="BDT4" s="93" t="s">
        <v>285</v>
      </c>
      <c r="BDU4" s="93" t="s">
        <v>286</v>
      </c>
      <c r="BDV4" s="93" t="s">
        <v>286</v>
      </c>
      <c r="BDW4" s="93" t="s">
        <v>286</v>
      </c>
      <c r="BDX4" s="93" t="s">
        <v>286</v>
      </c>
      <c r="BDY4" s="93" t="s">
        <v>286</v>
      </c>
      <c r="BDZ4" s="93" t="s">
        <v>287</v>
      </c>
      <c r="BEA4" s="93" t="s">
        <v>287</v>
      </c>
      <c r="BEB4" s="93" t="s">
        <v>287</v>
      </c>
      <c r="BEC4" s="93" t="s">
        <v>287</v>
      </c>
      <c r="BED4" s="93" t="s">
        <v>287</v>
      </c>
      <c r="BEE4" s="93" t="s">
        <v>288</v>
      </c>
      <c r="BEF4" s="93" t="s">
        <v>288</v>
      </c>
      <c r="BEG4" s="93" t="s">
        <v>288</v>
      </c>
      <c r="BEH4" s="93" t="s">
        <v>288</v>
      </c>
      <c r="BEI4" s="93" t="s">
        <v>288</v>
      </c>
      <c r="BEJ4" s="93" t="s">
        <v>289</v>
      </c>
      <c r="BEK4" s="93" t="s">
        <v>289</v>
      </c>
      <c r="BEL4" s="93" t="s">
        <v>289</v>
      </c>
      <c r="BEM4" s="93" t="s">
        <v>289</v>
      </c>
      <c r="BEN4" s="93" t="s">
        <v>289</v>
      </c>
      <c r="BEO4" s="93" t="s">
        <v>290</v>
      </c>
      <c r="BEP4" s="93" t="s">
        <v>290</v>
      </c>
      <c r="BEQ4" s="93" t="s">
        <v>290</v>
      </c>
      <c r="BER4" s="93" t="s">
        <v>290</v>
      </c>
      <c r="BES4" s="93" t="s">
        <v>290</v>
      </c>
      <c r="BET4" s="93" t="s">
        <v>291</v>
      </c>
      <c r="BEU4" s="93" t="s">
        <v>291</v>
      </c>
      <c r="BEV4" s="93" t="s">
        <v>291</v>
      </c>
      <c r="BEW4" s="93" t="s">
        <v>291</v>
      </c>
      <c r="BEX4" s="93" t="s">
        <v>291</v>
      </c>
      <c r="BEY4" s="93" t="s">
        <v>292</v>
      </c>
      <c r="BEZ4" s="93" t="s">
        <v>292</v>
      </c>
      <c r="BFA4" s="93" t="s">
        <v>292</v>
      </c>
      <c r="BFB4" s="93" t="s">
        <v>292</v>
      </c>
      <c r="BFC4" s="93" t="s">
        <v>292</v>
      </c>
      <c r="BFD4" s="93" t="s">
        <v>231</v>
      </c>
      <c r="BFE4" s="93" t="s">
        <v>231</v>
      </c>
      <c r="BFF4" s="93" t="s">
        <v>231</v>
      </c>
      <c r="BFG4" s="93" t="s">
        <v>231</v>
      </c>
      <c r="BFH4" s="93" t="s">
        <v>231</v>
      </c>
      <c r="BFI4" s="93" t="s">
        <v>293</v>
      </c>
      <c r="BFJ4" s="93" t="s">
        <v>293</v>
      </c>
      <c r="BFK4" s="93" t="s">
        <v>293</v>
      </c>
      <c r="BFL4" s="93" t="s">
        <v>293</v>
      </c>
      <c r="BFM4" s="93" t="s">
        <v>293</v>
      </c>
      <c r="BFN4" s="93" t="s">
        <v>294</v>
      </c>
      <c r="BFO4" s="93" t="s">
        <v>294</v>
      </c>
      <c r="BFP4" s="93" t="s">
        <v>294</v>
      </c>
      <c r="BFQ4" s="93" t="s">
        <v>294</v>
      </c>
      <c r="BFR4" s="93" t="s">
        <v>294</v>
      </c>
      <c r="BFS4" s="93" t="s">
        <v>295</v>
      </c>
      <c r="BFT4" s="93" t="s">
        <v>295</v>
      </c>
      <c r="BFU4" s="93" t="s">
        <v>295</v>
      </c>
      <c r="BFV4" s="93" t="s">
        <v>295</v>
      </c>
      <c r="BFW4" s="93" t="s">
        <v>295</v>
      </c>
      <c r="BFX4" s="93" t="s">
        <v>296</v>
      </c>
      <c r="BFY4" s="93" t="s">
        <v>296</v>
      </c>
      <c r="BFZ4" s="93" t="s">
        <v>296</v>
      </c>
      <c r="BGA4" s="93" t="s">
        <v>296</v>
      </c>
      <c r="BGB4" s="93" t="s">
        <v>296</v>
      </c>
      <c r="BGC4" s="93" t="s">
        <v>297</v>
      </c>
      <c r="BGD4" s="93" t="s">
        <v>297</v>
      </c>
      <c r="BGE4" s="93" t="s">
        <v>297</v>
      </c>
      <c r="BGF4" s="93" t="s">
        <v>297</v>
      </c>
      <c r="BGG4" s="93" t="s">
        <v>297</v>
      </c>
      <c r="BGH4" s="93" t="s">
        <v>298</v>
      </c>
      <c r="BGI4" s="93" t="s">
        <v>298</v>
      </c>
      <c r="BGJ4" s="93" t="s">
        <v>298</v>
      </c>
      <c r="BGK4" s="93" t="s">
        <v>298</v>
      </c>
      <c r="BGL4" s="93" t="s">
        <v>298</v>
      </c>
      <c r="BGM4" s="93" t="s">
        <v>299</v>
      </c>
      <c r="BGN4" s="93" t="s">
        <v>299</v>
      </c>
      <c r="BGO4" s="93" t="s">
        <v>299</v>
      </c>
      <c r="BGP4" s="93" t="s">
        <v>299</v>
      </c>
      <c r="BGQ4" s="93" t="s">
        <v>299</v>
      </c>
      <c r="BGR4" s="93" t="s">
        <v>300</v>
      </c>
      <c r="BGS4" s="93" t="s">
        <v>300</v>
      </c>
      <c r="BGT4" s="93" t="s">
        <v>300</v>
      </c>
      <c r="BGU4" s="93" t="s">
        <v>300</v>
      </c>
      <c r="BGV4" s="93" t="s">
        <v>300</v>
      </c>
      <c r="BGW4" s="93" t="s">
        <v>301</v>
      </c>
      <c r="BGX4" s="93" t="s">
        <v>301</v>
      </c>
      <c r="BGY4" s="93" t="s">
        <v>301</v>
      </c>
      <c r="BGZ4" s="93" t="s">
        <v>301</v>
      </c>
      <c r="BHA4" s="93" t="s">
        <v>301</v>
      </c>
      <c r="BHB4" s="93" t="s">
        <v>240</v>
      </c>
      <c r="BHC4" s="93" t="s">
        <v>240</v>
      </c>
      <c r="BHD4" s="93" t="s">
        <v>240</v>
      </c>
      <c r="BHE4" s="93" t="s">
        <v>240</v>
      </c>
      <c r="BHF4" s="93" t="s">
        <v>240</v>
      </c>
      <c r="BHG4" s="93" t="s">
        <v>302</v>
      </c>
      <c r="BHH4" s="93" t="s">
        <v>302</v>
      </c>
      <c r="BHI4" s="93" t="s">
        <v>302</v>
      </c>
      <c r="BHJ4" s="93" t="s">
        <v>302</v>
      </c>
      <c r="BHK4" s="93" t="s">
        <v>302</v>
      </c>
      <c r="BHL4" s="93" t="s">
        <v>303</v>
      </c>
      <c r="BHM4" s="93" t="s">
        <v>303</v>
      </c>
      <c r="BHN4" s="93" t="s">
        <v>303</v>
      </c>
      <c r="BHO4" s="93" t="s">
        <v>303</v>
      </c>
      <c r="BHP4" s="93" t="s">
        <v>303</v>
      </c>
      <c r="BHQ4" s="93" t="s">
        <v>304</v>
      </c>
      <c r="BHR4" s="93" t="s">
        <v>304</v>
      </c>
      <c r="BHS4" s="93" t="s">
        <v>304</v>
      </c>
      <c r="BHT4" s="93" t="s">
        <v>304</v>
      </c>
      <c r="BHU4" s="93" t="s">
        <v>304</v>
      </c>
      <c r="BHV4" s="93" t="s">
        <v>305</v>
      </c>
      <c r="BHW4" s="93" t="s">
        <v>305</v>
      </c>
      <c r="BHX4" s="93" t="s">
        <v>305</v>
      </c>
      <c r="BHY4" s="93" t="s">
        <v>305</v>
      </c>
      <c r="BHZ4" s="93" t="s">
        <v>305</v>
      </c>
      <c r="BIA4" s="93" t="s">
        <v>306</v>
      </c>
      <c r="BIB4" s="93" t="s">
        <v>306</v>
      </c>
      <c r="BIC4" s="93" t="s">
        <v>306</v>
      </c>
      <c r="BID4" s="93" t="s">
        <v>306</v>
      </c>
      <c r="BIE4" s="93" t="s">
        <v>306</v>
      </c>
      <c r="BIF4" s="93" t="s">
        <v>307</v>
      </c>
      <c r="BIG4" s="93" t="s">
        <v>307</v>
      </c>
      <c r="BIH4" s="93" t="s">
        <v>307</v>
      </c>
      <c r="BII4" s="93" t="s">
        <v>307</v>
      </c>
      <c r="BIJ4" s="93" t="s">
        <v>307</v>
      </c>
      <c r="BIK4" s="93" t="s">
        <v>308</v>
      </c>
      <c r="BIL4" s="93" t="s">
        <v>308</v>
      </c>
      <c r="BIM4" s="93" t="s">
        <v>308</v>
      </c>
      <c r="BIN4" s="93" t="s">
        <v>308</v>
      </c>
      <c r="BIO4" s="93" t="s">
        <v>308</v>
      </c>
      <c r="BIP4" s="93" t="s">
        <v>255</v>
      </c>
      <c r="BIQ4" s="93" t="s">
        <v>255</v>
      </c>
      <c r="BIR4" s="93" t="s">
        <v>255</v>
      </c>
      <c r="BIS4" s="93" t="s">
        <v>255</v>
      </c>
      <c r="BIT4" s="93" t="s">
        <v>255</v>
      </c>
      <c r="BIU4" s="93" t="s">
        <v>309</v>
      </c>
      <c r="BIV4" s="93" t="s">
        <v>309</v>
      </c>
      <c r="BIW4" s="93" t="s">
        <v>309</v>
      </c>
      <c r="BIX4" s="93" t="s">
        <v>309</v>
      </c>
      <c r="BIY4" s="93" t="s">
        <v>309</v>
      </c>
      <c r="BIZ4" s="93" t="s">
        <v>310</v>
      </c>
      <c r="BJA4" s="93" t="s">
        <v>310</v>
      </c>
      <c r="BJB4" s="93" t="s">
        <v>310</v>
      </c>
      <c r="BJC4" s="93" t="s">
        <v>310</v>
      </c>
      <c r="BJD4" s="93" t="s">
        <v>310</v>
      </c>
      <c r="BJE4" s="93" t="s">
        <v>311</v>
      </c>
      <c r="BJF4" s="93" t="s">
        <v>311</v>
      </c>
      <c r="BJG4" s="93" t="s">
        <v>311</v>
      </c>
      <c r="BJH4" s="93" t="s">
        <v>311</v>
      </c>
      <c r="BJI4" s="93" t="s">
        <v>311</v>
      </c>
      <c r="BJJ4" s="93" t="s">
        <v>312</v>
      </c>
      <c r="BJK4" s="93" t="s">
        <v>312</v>
      </c>
      <c r="BJL4" s="93" t="s">
        <v>312</v>
      </c>
      <c r="BJM4" s="93" t="s">
        <v>312</v>
      </c>
      <c r="BJN4" s="93" t="s">
        <v>312</v>
      </c>
      <c r="BJO4" s="93" t="s">
        <v>313</v>
      </c>
      <c r="BJP4" s="93" t="s">
        <v>313</v>
      </c>
      <c r="BJQ4" s="93" t="s">
        <v>313</v>
      </c>
      <c r="BJR4" s="93" t="s">
        <v>313</v>
      </c>
      <c r="BJS4" s="93" t="s">
        <v>313</v>
      </c>
      <c r="BJT4" s="93" t="s">
        <v>314</v>
      </c>
      <c r="BJU4" s="93" t="s">
        <v>314</v>
      </c>
      <c r="BJV4" s="93" t="s">
        <v>314</v>
      </c>
      <c r="BJW4" s="93" t="s">
        <v>314</v>
      </c>
      <c r="BJX4" s="93" t="s">
        <v>314</v>
      </c>
      <c r="BJY4" s="93" t="s">
        <v>315</v>
      </c>
      <c r="BJZ4" s="93" t="s">
        <v>315</v>
      </c>
      <c r="BKA4" s="93" t="s">
        <v>315</v>
      </c>
      <c r="BKB4" s="93" t="s">
        <v>315</v>
      </c>
      <c r="BKC4" s="93" t="s">
        <v>315</v>
      </c>
      <c r="BKD4" s="93" t="s">
        <v>144</v>
      </c>
      <c r="BKE4" s="93" t="s">
        <v>144</v>
      </c>
      <c r="BKF4" s="93" t="s">
        <v>144</v>
      </c>
      <c r="BKG4" s="93" t="s">
        <v>144</v>
      </c>
      <c r="BKH4" s="93" t="s">
        <v>144</v>
      </c>
      <c r="BKI4" s="93" t="s">
        <v>329</v>
      </c>
      <c r="BKJ4" s="93" t="s">
        <v>329</v>
      </c>
      <c r="BKK4" s="93" t="s">
        <v>329</v>
      </c>
      <c r="BKL4" s="93" t="s">
        <v>329</v>
      </c>
      <c r="BKM4" s="93" t="s">
        <v>330</v>
      </c>
      <c r="BKN4" s="93" t="s">
        <v>330</v>
      </c>
      <c r="BKO4" s="93" t="s">
        <v>330</v>
      </c>
      <c r="BKP4" s="93" t="s">
        <v>330</v>
      </c>
      <c r="BKQ4" s="93" t="s">
        <v>331</v>
      </c>
      <c r="BKR4" s="93" t="s">
        <v>331</v>
      </c>
      <c r="BKS4" s="93" t="s">
        <v>331</v>
      </c>
      <c r="BKT4" s="93" t="s">
        <v>331</v>
      </c>
      <c r="BKU4" s="93" t="s">
        <v>343</v>
      </c>
      <c r="BKV4" s="93" t="s">
        <v>343</v>
      </c>
      <c r="BKW4" s="93" t="s">
        <v>343</v>
      </c>
      <c r="BKX4" s="93" t="s">
        <v>343</v>
      </c>
      <c r="BKY4" s="93" t="s">
        <v>332</v>
      </c>
      <c r="BKZ4" s="93" t="s">
        <v>332</v>
      </c>
      <c r="BLA4" s="93" t="s">
        <v>332</v>
      </c>
      <c r="BLB4" s="93" t="s">
        <v>332</v>
      </c>
      <c r="BLC4" s="93" t="s">
        <v>333</v>
      </c>
      <c r="BLD4" s="93" t="s">
        <v>333</v>
      </c>
      <c r="BLE4" s="93" t="s">
        <v>333</v>
      </c>
      <c r="BLF4" s="93" t="s">
        <v>333</v>
      </c>
      <c r="BLG4" s="93" t="s">
        <v>334</v>
      </c>
      <c r="BLH4" s="93" t="s">
        <v>334</v>
      </c>
      <c r="BLI4" s="93" t="s">
        <v>334</v>
      </c>
      <c r="BLJ4" s="93" t="s">
        <v>334</v>
      </c>
      <c r="BLK4" s="93" t="s">
        <v>334</v>
      </c>
      <c r="BLL4" s="93" t="s">
        <v>335</v>
      </c>
      <c r="BLM4" s="93" t="s">
        <v>335</v>
      </c>
      <c r="BLN4" s="93" t="s">
        <v>335</v>
      </c>
      <c r="BLO4" s="93" t="s">
        <v>335</v>
      </c>
      <c r="BLP4" s="93" t="s">
        <v>335</v>
      </c>
      <c r="BLQ4" s="93" t="s">
        <v>372</v>
      </c>
      <c r="BLR4" s="93" t="s">
        <v>372</v>
      </c>
      <c r="BLS4" s="93" t="s">
        <v>372</v>
      </c>
      <c r="BLT4" s="93" t="s">
        <v>372</v>
      </c>
      <c r="BLU4" s="93" t="s">
        <v>372</v>
      </c>
      <c r="BLV4" s="93" t="s">
        <v>373</v>
      </c>
      <c r="BLW4" s="93" t="s">
        <v>373</v>
      </c>
      <c r="BLX4" s="93" t="s">
        <v>373</v>
      </c>
      <c r="BLY4" s="93" t="s">
        <v>373</v>
      </c>
      <c r="BLZ4" s="93" t="s">
        <v>373</v>
      </c>
      <c r="BMA4" s="93" t="s">
        <v>144</v>
      </c>
      <c r="BMB4" s="93" t="s">
        <v>144</v>
      </c>
      <c r="BMC4" s="93" t="s">
        <v>144</v>
      </c>
      <c r="BMD4" s="93" t="s">
        <v>144</v>
      </c>
      <c r="BME4" s="93" t="s">
        <v>144</v>
      </c>
    </row>
    <row r="5" spans="1:1713" s="82" customFormat="1" ht="71" customHeight="1" x14ac:dyDescent="0.35">
      <c r="B5" s="88"/>
      <c r="D5" s="93"/>
      <c r="E5" s="93"/>
      <c r="F5" s="93"/>
      <c r="G5" s="93"/>
      <c r="H5" s="93"/>
      <c r="I5" s="93"/>
      <c r="J5" s="94"/>
      <c r="K5" s="93"/>
      <c r="L5" s="95"/>
      <c r="M5" s="93"/>
      <c r="N5" s="95"/>
      <c r="O5" s="93"/>
      <c r="P5" s="93"/>
      <c r="Q5" s="93"/>
      <c r="R5" s="93"/>
      <c r="S5" s="93"/>
      <c r="T5" s="93"/>
      <c r="U5" s="93"/>
      <c r="V5" s="93"/>
      <c r="W5" s="93"/>
      <c r="X5" s="93" t="s">
        <v>342</v>
      </c>
      <c r="Y5" s="93" t="s">
        <v>22</v>
      </c>
      <c r="Z5" s="93" t="s">
        <v>342</v>
      </c>
      <c r="AA5" s="93" t="s">
        <v>22</v>
      </c>
      <c r="AB5" s="93" t="s">
        <v>342</v>
      </c>
      <c r="AC5" s="93" t="s">
        <v>22</v>
      </c>
      <c r="AD5" s="93" t="s">
        <v>342</v>
      </c>
      <c r="AE5" s="93" t="s">
        <v>22</v>
      </c>
      <c r="AF5" s="93" t="s">
        <v>342</v>
      </c>
      <c r="AG5" s="93" t="s">
        <v>22</v>
      </c>
      <c r="AH5" s="93" t="s">
        <v>342</v>
      </c>
      <c r="AI5" s="93" t="s">
        <v>22</v>
      </c>
      <c r="AJ5" s="93" t="s">
        <v>342</v>
      </c>
      <c r="AK5" s="93" t="s">
        <v>22</v>
      </c>
      <c r="AL5" s="93" t="s">
        <v>342</v>
      </c>
      <c r="AM5" s="93" t="s">
        <v>22</v>
      </c>
      <c r="AN5" s="93" t="s">
        <v>342</v>
      </c>
      <c r="AO5" s="93" t="s">
        <v>22</v>
      </c>
      <c r="AP5" s="93" t="s">
        <v>342</v>
      </c>
      <c r="AQ5" s="93" t="s">
        <v>22</v>
      </c>
      <c r="AR5" s="93" t="s">
        <v>342</v>
      </c>
      <c r="AS5" s="93" t="s">
        <v>22</v>
      </c>
      <c r="AT5" s="93" t="s">
        <v>342</v>
      </c>
      <c r="AU5" s="93" t="s">
        <v>22</v>
      </c>
      <c r="AV5" s="93" t="s">
        <v>342</v>
      </c>
      <c r="AW5" s="93" t="s">
        <v>22</v>
      </c>
      <c r="AX5" s="93" t="s">
        <v>342</v>
      </c>
      <c r="AY5" s="93" t="s">
        <v>22</v>
      </c>
      <c r="AZ5" s="93"/>
      <c r="BA5" s="93"/>
      <c r="BB5" s="93"/>
      <c r="BC5" s="93"/>
      <c r="BD5" s="93"/>
      <c r="BE5" s="93"/>
      <c r="BF5" s="93"/>
      <c r="BG5" s="93"/>
      <c r="BH5" s="93"/>
      <c r="BI5" s="93"/>
      <c r="BJ5" s="93"/>
      <c r="BK5" s="93"/>
      <c r="BL5" s="93"/>
      <c r="BM5" s="93"/>
      <c r="BN5" s="93" t="s">
        <v>8</v>
      </c>
      <c r="BO5" s="93" t="s">
        <v>0</v>
      </c>
      <c r="BP5" s="93" t="s">
        <v>1</v>
      </c>
      <c r="BQ5" s="93" t="s">
        <v>2</v>
      </c>
      <c r="BR5" s="93" t="s">
        <v>3</v>
      </c>
      <c r="BS5" s="93" t="s">
        <v>8</v>
      </c>
      <c r="BT5" s="93" t="s">
        <v>0</v>
      </c>
      <c r="BU5" s="93" t="s">
        <v>1</v>
      </c>
      <c r="BV5" s="93" t="s">
        <v>2</v>
      </c>
      <c r="BW5" s="93" t="s">
        <v>3</v>
      </c>
      <c r="BX5" s="93" t="s">
        <v>8</v>
      </c>
      <c r="BY5" s="93" t="s">
        <v>0</v>
      </c>
      <c r="BZ5" s="93" t="s">
        <v>1</v>
      </c>
      <c r="CA5" s="93" t="s">
        <v>2</v>
      </c>
      <c r="CB5" s="93" t="s">
        <v>3</v>
      </c>
      <c r="CC5" s="93" t="s">
        <v>8</v>
      </c>
      <c r="CD5" s="93" t="s">
        <v>0</v>
      </c>
      <c r="CE5" s="93" t="s">
        <v>1</v>
      </c>
      <c r="CF5" s="93" t="s">
        <v>2</v>
      </c>
      <c r="CG5" s="93" t="s">
        <v>3</v>
      </c>
      <c r="CH5" s="93" t="s">
        <v>8</v>
      </c>
      <c r="CI5" s="93" t="s">
        <v>0</v>
      </c>
      <c r="CJ5" s="93" t="s">
        <v>1</v>
      </c>
      <c r="CK5" s="93" t="s">
        <v>2</v>
      </c>
      <c r="CL5" s="93" t="s">
        <v>3</v>
      </c>
      <c r="CM5" s="93" t="s">
        <v>8</v>
      </c>
      <c r="CN5" s="93" t="s">
        <v>0</v>
      </c>
      <c r="CO5" s="93" t="s">
        <v>1</v>
      </c>
      <c r="CP5" s="93" t="s">
        <v>2</v>
      </c>
      <c r="CQ5" s="93" t="s">
        <v>3</v>
      </c>
      <c r="CR5" s="93" t="s">
        <v>8</v>
      </c>
      <c r="CS5" s="93" t="s">
        <v>0</v>
      </c>
      <c r="CT5" s="93" t="s">
        <v>1</v>
      </c>
      <c r="CU5" s="93" t="s">
        <v>2</v>
      </c>
      <c r="CV5" s="93" t="s">
        <v>3</v>
      </c>
      <c r="CW5" s="93" t="s">
        <v>8</v>
      </c>
      <c r="CX5" s="93" t="s">
        <v>0</v>
      </c>
      <c r="CY5" s="93" t="s">
        <v>1</v>
      </c>
      <c r="CZ5" s="93" t="s">
        <v>2</v>
      </c>
      <c r="DA5" s="93" t="s">
        <v>3</v>
      </c>
      <c r="DB5" s="93" t="s">
        <v>8</v>
      </c>
      <c r="DC5" s="93" t="s">
        <v>0</v>
      </c>
      <c r="DD5" s="93" t="s">
        <v>1</v>
      </c>
      <c r="DE5" s="93" t="s">
        <v>2</v>
      </c>
      <c r="DF5" s="93" t="s">
        <v>3</v>
      </c>
      <c r="DG5" s="93" t="s">
        <v>8</v>
      </c>
      <c r="DH5" s="93" t="s">
        <v>0</v>
      </c>
      <c r="DI5" s="93" t="s">
        <v>1</v>
      </c>
      <c r="DJ5" s="93" t="s">
        <v>2</v>
      </c>
      <c r="DK5" s="93" t="s">
        <v>3</v>
      </c>
      <c r="DL5" s="93" t="s">
        <v>8</v>
      </c>
      <c r="DM5" s="93" t="s">
        <v>145</v>
      </c>
      <c r="DN5" s="93" t="s">
        <v>368</v>
      </c>
      <c r="DO5" s="93" t="s">
        <v>369</v>
      </c>
      <c r="DP5" s="93" t="s">
        <v>146</v>
      </c>
      <c r="DQ5" s="93" t="s">
        <v>8</v>
      </c>
      <c r="DR5" s="93" t="s">
        <v>145</v>
      </c>
      <c r="DS5" s="93" t="s">
        <v>368</v>
      </c>
      <c r="DT5" s="93" t="s">
        <v>369</v>
      </c>
      <c r="DU5" s="93" t="s">
        <v>146</v>
      </c>
      <c r="DV5" s="93" t="s">
        <v>8</v>
      </c>
      <c r="DW5" s="93" t="s">
        <v>145</v>
      </c>
      <c r="DX5" s="93" t="s">
        <v>368</v>
      </c>
      <c r="DY5" s="93" t="s">
        <v>369</v>
      </c>
      <c r="DZ5" s="93" t="s">
        <v>146</v>
      </c>
      <c r="EA5" s="93" t="s">
        <v>8</v>
      </c>
      <c r="EB5" s="93" t="s">
        <v>145</v>
      </c>
      <c r="EC5" s="93" t="s">
        <v>368</v>
      </c>
      <c r="ED5" s="93" t="s">
        <v>369</v>
      </c>
      <c r="EE5" s="93" t="s">
        <v>146</v>
      </c>
      <c r="EF5" s="93" t="s">
        <v>8</v>
      </c>
      <c r="EG5" s="93" t="s">
        <v>145</v>
      </c>
      <c r="EH5" s="93" t="s">
        <v>368</v>
      </c>
      <c r="EI5" s="93" t="s">
        <v>369</v>
      </c>
      <c r="EJ5" s="93" t="s">
        <v>146</v>
      </c>
      <c r="EK5" s="93" t="s">
        <v>8</v>
      </c>
      <c r="EL5" s="93" t="s">
        <v>145</v>
      </c>
      <c r="EM5" s="93" t="s">
        <v>368</v>
      </c>
      <c r="EN5" s="93" t="s">
        <v>369</v>
      </c>
      <c r="EO5" s="93" t="s">
        <v>146</v>
      </c>
      <c r="EP5" s="93" t="s">
        <v>8</v>
      </c>
      <c r="EQ5" s="93" t="s">
        <v>145</v>
      </c>
      <c r="ER5" s="93" t="s">
        <v>368</v>
      </c>
      <c r="ES5" s="93" t="s">
        <v>369</v>
      </c>
      <c r="ET5" s="93" t="s">
        <v>146</v>
      </c>
      <c r="EU5" s="93" t="s">
        <v>8</v>
      </c>
      <c r="EV5" s="93" t="s">
        <v>145</v>
      </c>
      <c r="EW5" s="93" t="s">
        <v>368</v>
      </c>
      <c r="EX5" s="93" t="s">
        <v>369</v>
      </c>
      <c r="EY5" s="93" t="s">
        <v>146</v>
      </c>
      <c r="EZ5" s="93" t="s">
        <v>8</v>
      </c>
      <c r="FA5" s="93" t="s">
        <v>145</v>
      </c>
      <c r="FB5" s="93" t="s">
        <v>368</v>
      </c>
      <c r="FC5" s="93" t="s">
        <v>369</v>
      </c>
      <c r="FD5" s="93" t="s">
        <v>146</v>
      </c>
      <c r="FE5" s="93" t="s">
        <v>8</v>
      </c>
      <c r="FF5" s="93" t="s">
        <v>145</v>
      </c>
      <c r="FG5" s="93" t="s">
        <v>368</v>
      </c>
      <c r="FH5" s="93" t="s">
        <v>369</v>
      </c>
      <c r="FI5" s="93" t="s">
        <v>146</v>
      </c>
      <c r="FJ5" s="93" t="s">
        <v>8</v>
      </c>
      <c r="FK5" s="93" t="s">
        <v>145</v>
      </c>
      <c r="FL5" s="93" t="s">
        <v>368</v>
      </c>
      <c r="FM5" s="93" t="s">
        <v>369</v>
      </c>
      <c r="FN5" s="93" t="s">
        <v>146</v>
      </c>
      <c r="FO5" s="93" t="s">
        <v>8</v>
      </c>
      <c r="FP5" s="93" t="s">
        <v>0</v>
      </c>
      <c r="FQ5" s="93" t="s">
        <v>1</v>
      </c>
      <c r="FR5" s="93" t="s">
        <v>137</v>
      </c>
      <c r="FS5" s="93" t="s">
        <v>8</v>
      </c>
      <c r="FT5" s="93" t="s">
        <v>0</v>
      </c>
      <c r="FU5" s="93" t="s">
        <v>1</v>
      </c>
      <c r="FV5" s="93" t="s">
        <v>137</v>
      </c>
      <c r="FW5" s="93" t="s">
        <v>8</v>
      </c>
      <c r="FX5" s="93" t="s">
        <v>0</v>
      </c>
      <c r="FY5" s="93" t="s">
        <v>1</v>
      </c>
      <c r="FZ5" s="93" t="s">
        <v>137</v>
      </c>
      <c r="GA5" s="93" t="s">
        <v>8</v>
      </c>
      <c r="GB5" s="93" t="s">
        <v>0</v>
      </c>
      <c r="GC5" s="93" t="s">
        <v>1</v>
      </c>
      <c r="GD5" s="93" t="s">
        <v>137</v>
      </c>
      <c r="GE5" s="93" t="s">
        <v>8</v>
      </c>
      <c r="GF5" s="93" t="s">
        <v>0</v>
      </c>
      <c r="GG5" s="93" t="s">
        <v>1</v>
      </c>
      <c r="GH5" s="93" t="s">
        <v>137</v>
      </c>
      <c r="GI5" s="93" t="s">
        <v>8</v>
      </c>
      <c r="GJ5" s="93" t="s">
        <v>0</v>
      </c>
      <c r="GK5" s="93" t="s">
        <v>1</v>
      </c>
      <c r="GL5" s="93" t="s">
        <v>137</v>
      </c>
      <c r="GM5" s="93" t="s">
        <v>8</v>
      </c>
      <c r="GN5" s="93" t="s">
        <v>0</v>
      </c>
      <c r="GO5" s="93" t="s">
        <v>1</v>
      </c>
      <c r="GP5" s="93" t="s">
        <v>137</v>
      </c>
      <c r="GQ5" s="93" t="s">
        <v>8</v>
      </c>
      <c r="GR5" s="93" t="s">
        <v>0</v>
      </c>
      <c r="GS5" s="93" t="s">
        <v>1</v>
      </c>
      <c r="GT5" s="93" t="s">
        <v>137</v>
      </c>
      <c r="GU5" s="93" t="s">
        <v>8</v>
      </c>
      <c r="GV5" s="93" t="s">
        <v>180</v>
      </c>
      <c r="GW5" s="93" t="s">
        <v>181</v>
      </c>
      <c r="GX5" s="93" t="s">
        <v>137</v>
      </c>
      <c r="GY5" s="93" t="s">
        <v>8</v>
      </c>
      <c r="GZ5" s="93" t="s">
        <v>180</v>
      </c>
      <c r="HA5" s="93" t="s">
        <v>181</v>
      </c>
      <c r="HB5" s="93" t="s">
        <v>137</v>
      </c>
      <c r="HC5" s="93" t="s">
        <v>8</v>
      </c>
      <c r="HD5" s="93" t="s">
        <v>180</v>
      </c>
      <c r="HE5" s="93" t="s">
        <v>181</v>
      </c>
      <c r="HF5" s="93" t="s">
        <v>137</v>
      </c>
      <c r="HG5" s="93" t="s">
        <v>8</v>
      </c>
      <c r="HH5" s="93" t="s">
        <v>180</v>
      </c>
      <c r="HI5" s="93" t="s">
        <v>181</v>
      </c>
      <c r="HJ5" s="93" t="s">
        <v>137</v>
      </c>
      <c r="HK5" s="93" t="s">
        <v>8</v>
      </c>
      <c r="HL5" s="93" t="s">
        <v>180</v>
      </c>
      <c r="HM5" s="93" t="s">
        <v>181</v>
      </c>
      <c r="HN5" s="93" t="s">
        <v>137</v>
      </c>
      <c r="HO5" s="93" t="s">
        <v>8</v>
      </c>
      <c r="HP5" s="93" t="s">
        <v>180</v>
      </c>
      <c r="HQ5" s="93" t="s">
        <v>181</v>
      </c>
      <c r="HR5" s="93" t="s">
        <v>137</v>
      </c>
      <c r="HS5" s="93" t="s">
        <v>8</v>
      </c>
      <c r="HT5" s="93" t="s">
        <v>180</v>
      </c>
      <c r="HU5" s="93" t="s">
        <v>181</v>
      </c>
      <c r="HV5" s="93" t="s">
        <v>137</v>
      </c>
      <c r="HW5" s="93" t="s">
        <v>8</v>
      </c>
      <c r="HX5" s="93" t="s">
        <v>180</v>
      </c>
      <c r="HY5" s="93" t="s">
        <v>181</v>
      </c>
      <c r="HZ5" s="93" t="s">
        <v>137</v>
      </c>
      <c r="IA5" s="93" t="s">
        <v>8</v>
      </c>
      <c r="IB5" s="93" t="s">
        <v>0</v>
      </c>
      <c r="IC5" s="93" t="s">
        <v>1</v>
      </c>
      <c r="ID5" s="93" t="s">
        <v>2</v>
      </c>
      <c r="IE5" s="93" t="s">
        <v>3</v>
      </c>
      <c r="IF5" s="93" t="s">
        <v>8</v>
      </c>
      <c r="IG5" s="93" t="s">
        <v>0</v>
      </c>
      <c r="IH5" s="93" t="s">
        <v>1</v>
      </c>
      <c r="II5" s="93" t="s">
        <v>2</v>
      </c>
      <c r="IJ5" s="93" t="s">
        <v>3</v>
      </c>
      <c r="IK5" s="93" t="s">
        <v>8</v>
      </c>
      <c r="IL5" s="93" t="s">
        <v>0</v>
      </c>
      <c r="IM5" s="93" t="s">
        <v>1</v>
      </c>
      <c r="IN5" s="93" t="s">
        <v>2</v>
      </c>
      <c r="IO5" s="93" t="s">
        <v>3</v>
      </c>
      <c r="IP5" s="93" t="s">
        <v>8</v>
      </c>
      <c r="IQ5" s="93" t="s">
        <v>0</v>
      </c>
      <c r="IR5" s="93" t="s">
        <v>1</v>
      </c>
      <c r="IS5" s="93" t="s">
        <v>2</v>
      </c>
      <c r="IT5" s="93" t="s">
        <v>3</v>
      </c>
      <c r="IU5" s="93" t="s">
        <v>8</v>
      </c>
      <c r="IV5" s="93" t="s">
        <v>0</v>
      </c>
      <c r="IW5" s="93" t="s">
        <v>1</v>
      </c>
      <c r="IX5" s="93" t="s">
        <v>2</v>
      </c>
      <c r="IY5" s="93" t="s">
        <v>3</v>
      </c>
      <c r="IZ5" s="93" t="s">
        <v>8</v>
      </c>
      <c r="JA5" s="93" t="s">
        <v>0</v>
      </c>
      <c r="JB5" s="93" t="s">
        <v>1</v>
      </c>
      <c r="JC5" s="93" t="s">
        <v>2</v>
      </c>
      <c r="JD5" s="93" t="s">
        <v>3</v>
      </c>
      <c r="JE5" s="93" t="s">
        <v>8</v>
      </c>
      <c r="JF5" s="93" t="s">
        <v>0</v>
      </c>
      <c r="JG5" s="93" t="s">
        <v>1</v>
      </c>
      <c r="JH5" s="93" t="s">
        <v>2</v>
      </c>
      <c r="JI5" s="93" t="s">
        <v>3</v>
      </c>
      <c r="JJ5" s="93" t="s">
        <v>8</v>
      </c>
      <c r="JK5" s="93" t="s">
        <v>0</v>
      </c>
      <c r="JL5" s="93" t="s">
        <v>1</v>
      </c>
      <c r="JM5" s="93" t="s">
        <v>2</v>
      </c>
      <c r="JN5" s="93" t="s">
        <v>3</v>
      </c>
      <c r="JO5" s="93" t="s">
        <v>8</v>
      </c>
      <c r="JP5" s="93" t="s">
        <v>182</v>
      </c>
      <c r="JQ5" s="93" t="s">
        <v>183</v>
      </c>
      <c r="JR5" s="93" t="s">
        <v>184</v>
      </c>
      <c r="JS5" s="93" t="s">
        <v>185</v>
      </c>
      <c r="JT5" s="93" t="s">
        <v>186</v>
      </c>
      <c r="JU5" s="93" t="s">
        <v>187</v>
      </c>
      <c r="JV5" s="93" t="s">
        <v>8</v>
      </c>
      <c r="JW5" s="93" t="s">
        <v>182</v>
      </c>
      <c r="JX5" s="93" t="s">
        <v>183</v>
      </c>
      <c r="JY5" s="93" t="s">
        <v>184</v>
      </c>
      <c r="JZ5" s="93" t="s">
        <v>185</v>
      </c>
      <c r="KA5" s="93" t="s">
        <v>186</v>
      </c>
      <c r="KB5" s="93" t="s">
        <v>187</v>
      </c>
      <c r="KC5" s="93" t="s">
        <v>8</v>
      </c>
      <c r="KD5" s="93" t="s">
        <v>182</v>
      </c>
      <c r="KE5" s="93" t="s">
        <v>183</v>
      </c>
      <c r="KF5" s="93" t="s">
        <v>184</v>
      </c>
      <c r="KG5" s="93" t="s">
        <v>185</v>
      </c>
      <c r="KH5" s="93" t="s">
        <v>186</v>
      </c>
      <c r="KI5" s="93" t="s">
        <v>187</v>
      </c>
      <c r="KJ5" s="93" t="s">
        <v>8</v>
      </c>
      <c r="KK5" s="93" t="s">
        <v>182</v>
      </c>
      <c r="KL5" s="93" t="s">
        <v>183</v>
      </c>
      <c r="KM5" s="93" t="s">
        <v>184</v>
      </c>
      <c r="KN5" s="93" t="s">
        <v>185</v>
      </c>
      <c r="KO5" s="93" t="s">
        <v>186</v>
      </c>
      <c r="KP5" s="93" t="s">
        <v>187</v>
      </c>
      <c r="KQ5" s="93" t="s">
        <v>8</v>
      </c>
      <c r="KR5" s="93" t="s">
        <v>182</v>
      </c>
      <c r="KS5" s="93" t="s">
        <v>183</v>
      </c>
      <c r="KT5" s="93" t="s">
        <v>184</v>
      </c>
      <c r="KU5" s="93" t="s">
        <v>185</v>
      </c>
      <c r="KV5" s="93" t="s">
        <v>186</v>
      </c>
      <c r="KW5" s="93" t="s">
        <v>187</v>
      </c>
      <c r="KX5" s="93" t="s">
        <v>8</v>
      </c>
      <c r="KY5" s="93" t="s">
        <v>182</v>
      </c>
      <c r="KZ5" s="93" t="s">
        <v>183</v>
      </c>
      <c r="LA5" s="93" t="s">
        <v>184</v>
      </c>
      <c r="LB5" s="93" t="s">
        <v>185</v>
      </c>
      <c r="LC5" s="93" t="s">
        <v>186</v>
      </c>
      <c r="LD5" s="93" t="s">
        <v>187</v>
      </c>
      <c r="LE5" s="93" t="s">
        <v>8</v>
      </c>
      <c r="LF5" s="93" t="s">
        <v>0</v>
      </c>
      <c r="LG5" s="93" t="s">
        <v>1</v>
      </c>
      <c r="LH5" s="93" t="s">
        <v>2</v>
      </c>
      <c r="LI5" s="93" t="s">
        <v>3</v>
      </c>
      <c r="LJ5" s="93" t="s">
        <v>8</v>
      </c>
      <c r="LK5" s="93" t="s">
        <v>0</v>
      </c>
      <c r="LL5" s="93" t="s">
        <v>1</v>
      </c>
      <c r="LM5" s="93" t="s">
        <v>2</v>
      </c>
      <c r="LN5" s="93" t="s">
        <v>3</v>
      </c>
      <c r="LO5" s="93" t="s">
        <v>8</v>
      </c>
      <c r="LP5" s="93" t="s">
        <v>0</v>
      </c>
      <c r="LQ5" s="93" t="s">
        <v>1</v>
      </c>
      <c r="LR5" s="93" t="s">
        <v>2</v>
      </c>
      <c r="LS5" s="93" t="s">
        <v>3</v>
      </c>
      <c r="LT5" s="93" t="s">
        <v>8</v>
      </c>
      <c r="LU5" s="93" t="s">
        <v>0</v>
      </c>
      <c r="LV5" s="93" t="s">
        <v>1</v>
      </c>
      <c r="LW5" s="93" t="s">
        <v>2</v>
      </c>
      <c r="LX5" s="93" t="s">
        <v>3</v>
      </c>
      <c r="LY5" s="93" t="s">
        <v>8</v>
      </c>
      <c r="LZ5" s="93" t="s">
        <v>0</v>
      </c>
      <c r="MA5" s="93" t="s">
        <v>1</v>
      </c>
      <c r="MB5" s="93" t="s">
        <v>2</v>
      </c>
      <c r="MC5" s="93" t="s">
        <v>3</v>
      </c>
      <c r="MD5" s="93" t="s">
        <v>8</v>
      </c>
      <c r="ME5" s="93" t="s">
        <v>0</v>
      </c>
      <c r="MF5" s="93" t="s">
        <v>1</v>
      </c>
      <c r="MG5" s="93" t="s">
        <v>2</v>
      </c>
      <c r="MH5" s="93" t="s">
        <v>3</v>
      </c>
      <c r="MI5" s="93" t="s">
        <v>8</v>
      </c>
      <c r="MJ5" s="93" t="s">
        <v>0</v>
      </c>
      <c r="MK5" s="93" t="s">
        <v>1</v>
      </c>
      <c r="ML5" s="93" t="s">
        <v>2</v>
      </c>
      <c r="MM5" s="93" t="s">
        <v>3</v>
      </c>
      <c r="MN5" s="93" t="s">
        <v>8</v>
      </c>
      <c r="MO5" s="93" t="s">
        <v>0</v>
      </c>
      <c r="MP5" s="93" t="s">
        <v>1</v>
      </c>
      <c r="MQ5" s="93" t="s">
        <v>2</v>
      </c>
      <c r="MR5" s="93" t="s">
        <v>3</v>
      </c>
      <c r="MS5" s="93" t="s">
        <v>8</v>
      </c>
      <c r="MT5" s="93" t="s">
        <v>0</v>
      </c>
      <c r="MU5" s="93" t="s">
        <v>1</v>
      </c>
      <c r="MV5" s="93" t="s">
        <v>2</v>
      </c>
      <c r="MW5" s="93" t="s">
        <v>3</v>
      </c>
      <c r="MX5" s="93" t="s">
        <v>8</v>
      </c>
      <c r="MY5" s="93" t="s">
        <v>0</v>
      </c>
      <c r="MZ5" s="93" t="s">
        <v>1</v>
      </c>
      <c r="NA5" s="93" t="s">
        <v>2</v>
      </c>
      <c r="NB5" s="93" t="s">
        <v>3</v>
      </c>
      <c r="NC5" s="93" t="s">
        <v>8</v>
      </c>
      <c r="ND5" s="93" t="s">
        <v>0</v>
      </c>
      <c r="NE5" s="93" t="s">
        <v>1</v>
      </c>
      <c r="NF5" s="93" t="s">
        <v>2</v>
      </c>
      <c r="NG5" s="93" t="s">
        <v>3</v>
      </c>
      <c r="NH5" s="93" t="s">
        <v>8</v>
      </c>
      <c r="NI5" s="93" t="s">
        <v>0</v>
      </c>
      <c r="NJ5" s="93" t="s">
        <v>1</v>
      </c>
      <c r="NK5" s="93" t="s">
        <v>2</v>
      </c>
      <c r="NL5" s="93" t="s">
        <v>3</v>
      </c>
      <c r="NM5" s="93" t="s">
        <v>8</v>
      </c>
      <c r="NN5" s="93" t="s">
        <v>0</v>
      </c>
      <c r="NO5" s="93" t="s">
        <v>1</v>
      </c>
      <c r="NP5" s="93" t="s">
        <v>2</v>
      </c>
      <c r="NQ5" s="93" t="s">
        <v>3</v>
      </c>
      <c r="NR5" s="93" t="s">
        <v>8</v>
      </c>
      <c r="NS5" s="93" t="s">
        <v>0</v>
      </c>
      <c r="NT5" s="93" t="s">
        <v>1</v>
      </c>
      <c r="NU5" s="93" t="s">
        <v>2</v>
      </c>
      <c r="NV5" s="93" t="s">
        <v>3</v>
      </c>
      <c r="NW5" s="93" t="s">
        <v>8</v>
      </c>
      <c r="NX5" s="93" t="s">
        <v>0</v>
      </c>
      <c r="NY5" s="93" t="s">
        <v>1</v>
      </c>
      <c r="NZ5" s="93" t="s">
        <v>2</v>
      </c>
      <c r="OA5" s="93" t="s">
        <v>3</v>
      </c>
      <c r="OB5" s="93" t="s">
        <v>8</v>
      </c>
      <c r="OC5" s="93" t="s">
        <v>0</v>
      </c>
      <c r="OD5" s="93" t="s">
        <v>1</v>
      </c>
      <c r="OE5" s="93" t="s">
        <v>2</v>
      </c>
      <c r="OF5" s="93" t="s">
        <v>3</v>
      </c>
      <c r="OG5" s="93" t="s">
        <v>8</v>
      </c>
      <c r="OH5" s="93" t="s">
        <v>0</v>
      </c>
      <c r="OI5" s="93" t="s">
        <v>1</v>
      </c>
      <c r="OJ5" s="93" t="s">
        <v>2</v>
      </c>
      <c r="OK5" s="93" t="s">
        <v>3</v>
      </c>
      <c r="OL5" s="93" t="s">
        <v>8</v>
      </c>
      <c r="OM5" s="93" t="s">
        <v>0</v>
      </c>
      <c r="ON5" s="93" t="s">
        <v>1</v>
      </c>
      <c r="OO5" s="93" t="s">
        <v>2</v>
      </c>
      <c r="OP5" s="93" t="s">
        <v>3</v>
      </c>
      <c r="OQ5" s="93" t="s">
        <v>8</v>
      </c>
      <c r="OR5" s="93" t="s">
        <v>0</v>
      </c>
      <c r="OS5" s="93" t="s">
        <v>1</v>
      </c>
      <c r="OT5" s="93" t="s">
        <v>2</v>
      </c>
      <c r="OU5" s="93" t="s">
        <v>3</v>
      </c>
      <c r="OV5" s="93" t="s">
        <v>8</v>
      </c>
      <c r="OW5" s="93" t="s">
        <v>0</v>
      </c>
      <c r="OX5" s="93" t="s">
        <v>1</v>
      </c>
      <c r="OY5" s="93" t="s">
        <v>2</v>
      </c>
      <c r="OZ5" s="93" t="s">
        <v>3</v>
      </c>
      <c r="PA5" s="93" t="s">
        <v>8</v>
      </c>
      <c r="PB5" s="93" t="s">
        <v>0</v>
      </c>
      <c r="PC5" s="93" t="s">
        <v>1</v>
      </c>
      <c r="PD5" s="93" t="s">
        <v>2</v>
      </c>
      <c r="PE5" s="93" t="s">
        <v>3</v>
      </c>
      <c r="PF5" s="93" t="s">
        <v>8</v>
      </c>
      <c r="PG5" s="93" t="s">
        <v>0</v>
      </c>
      <c r="PH5" s="93" t="s">
        <v>1</v>
      </c>
      <c r="PI5" s="93" t="s">
        <v>2</v>
      </c>
      <c r="PJ5" s="93" t="s">
        <v>3</v>
      </c>
      <c r="PK5" s="93" t="s">
        <v>8</v>
      </c>
      <c r="PL5" s="93" t="s">
        <v>0</v>
      </c>
      <c r="PM5" s="93" t="s">
        <v>1</v>
      </c>
      <c r="PN5" s="93" t="s">
        <v>2</v>
      </c>
      <c r="PO5" s="93" t="s">
        <v>3</v>
      </c>
      <c r="PP5" s="93" t="s">
        <v>8</v>
      </c>
      <c r="PQ5" s="93" t="s">
        <v>0</v>
      </c>
      <c r="PR5" s="93" t="s">
        <v>1</v>
      </c>
      <c r="PS5" s="93" t="s">
        <v>2</v>
      </c>
      <c r="PT5" s="93" t="s">
        <v>3</v>
      </c>
      <c r="PU5" s="93" t="s">
        <v>8</v>
      </c>
      <c r="PV5" s="93" t="s">
        <v>0</v>
      </c>
      <c r="PW5" s="93" t="s">
        <v>1</v>
      </c>
      <c r="PX5" s="93" t="s">
        <v>2</v>
      </c>
      <c r="PY5" s="93" t="s">
        <v>3</v>
      </c>
      <c r="PZ5" s="93" t="s">
        <v>8</v>
      </c>
      <c r="QA5" s="93" t="s">
        <v>0</v>
      </c>
      <c r="QB5" s="93" t="s">
        <v>1</v>
      </c>
      <c r="QC5" s="93" t="s">
        <v>2</v>
      </c>
      <c r="QD5" s="93" t="s">
        <v>3</v>
      </c>
      <c r="QE5" s="93" t="s">
        <v>216</v>
      </c>
      <c r="QF5" s="93" t="s">
        <v>0</v>
      </c>
      <c r="QG5" s="93" t="s">
        <v>1</v>
      </c>
      <c r="QH5" s="93" t="s">
        <v>2</v>
      </c>
      <c r="QI5" s="93" t="s">
        <v>3</v>
      </c>
      <c r="QJ5" s="93" t="s">
        <v>216</v>
      </c>
      <c r="QK5" s="93" t="s">
        <v>0</v>
      </c>
      <c r="QL5" s="93" t="s">
        <v>1</v>
      </c>
      <c r="QM5" s="93" t="s">
        <v>2</v>
      </c>
      <c r="QN5" s="93" t="s">
        <v>3</v>
      </c>
      <c r="QO5" s="93" t="s">
        <v>216</v>
      </c>
      <c r="QP5" s="93" t="s">
        <v>0</v>
      </c>
      <c r="QQ5" s="93" t="s">
        <v>1</v>
      </c>
      <c r="QR5" s="93" t="s">
        <v>2</v>
      </c>
      <c r="QS5" s="93" t="s">
        <v>3</v>
      </c>
      <c r="QT5" s="93" t="s">
        <v>216</v>
      </c>
      <c r="QU5" s="93" t="s">
        <v>0</v>
      </c>
      <c r="QV5" s="93" t="s">
        <v>1</v>
      </c>
      <c r="QW5" s="93" t="s">
        <v>2</v>
      </c>
      <c r="QX5" s="93" t="s">
        <v>3</v>
      </c>
      <c r="QY5" s="93" t="s">
        <v>216</v>
      </c>
      <c r="QZ5" s="93" t="s">
        <v>0</v>
      </c>
      <c r="RA5" s="93" t="s">
        <v>1</v>
      </c>
      <c r="RB5" s="93" t="s">
        <v>2</v>
      </c>
      <c r="RC5" s="93" t="s">
        <v>3</v>
      </c>
      <c r="RD5" s="93" t="s">
        <v>216</v>
      </c>
      <c r="RE5" s="93" t="s">
        <v>0</v>
      </c>
      <c r="RF5" s="93" t="s">
        <v>1</v>
      </c>
      <c r="RG5" s="93" t="s">
        <v>2</v>
      </c>
      <c r="RH5" s="93" t="s">
        <v>3</v>
      </c>
      <c r="RI5" s="93" t="s">
        <v>216</v>
      </c>
      <c r="RJ5" s="93" t="s">
        <v>0</v>
      </c>
      <c r="RK5" s="93" t="s">
        <v>1</v>
      </c>
      <c r="RL5" s="93" t="s">
        <v>2</v>
      </c>
      <c r="RM5" s="93" t="s">
        <v>3</v>
      </c>
      <c r="RN5" s="93" t="s">
        <v>216</v>
      </c>
      <c r="RO5" s="93" t="s">
        <v>0</v>
      </c>
      <c r="RP5" s="93" t="s">
        <v>1</v>
      </c>
      <c r="RQ5" s="93" t="s">
        <v>2</v>
      </c>
      <c r="RR5" s="93" t="s">
        <v>3</v>
      </c>
      <c r="RS5" s="93" t="s">
        <v>216</v>
      </c>
      <c r="RT5" s="93" t="s">
        <v>0</v>
      </c>
      <c r="RU5" s="93" t="s">
        <v>1</v>
      </c>
      <c r="RV5" s="93" t="s">
        <v>2</v>
      </c>
      <c r="RW5" s="93" t="s">
        <v>3</v>
      </c>
      <c r="RX5" s="93" t="s">
        <v>216</v>
      </c>
      <c r="RY5" s="93" t="s">
        <v>0</v>
      </c>
      <c r="RZ5" s="93" t="s">
        <v>1</v>
      </c>
      <c r="SA5" s="93" t="s">
        <v>2</v>
      </c>
      <c r="SB5" s="93" t="s">
        <v>3</v>
      </c>
      <c r="SC5" s="93" t="s">
        <v>216</v>
      </c>
      <c r="SD5" s="93" t="s">
        <v>0</v>
      </c>
      <c r="SE5" s="93" t="s">
        <v>1</v>
      </c>
      <c r="SF5" s="93" t="s">
        <v>2</v>
      </c>
      <c r="SG5" s="93" t="s">
        <v>3</v>
      </c>
      <c r="SH5" s="93" t="s">
        <v>216</v>
      </c>
      <c r="SI5" s="93" t="s">
        <v>0</v>
      </c>
      <c r="SJ5" s="93" t="s">
        <v>1</v>
      </c>
      <c r="SK5" s="93" t="s">
        <v>2</v>
      </c>
      <c r="SL5" s="93" t="s">
        <v>3</v>
      </c>
      <c r="SM5" s="93" t="s">
        <v>216</v>
      </c>
      <c r="SN5" s="93" t="s">
        <v>0</v>
      </c>
      <c r="SO5" s="93" t="s">
        <v>1</v>
      </c>
      <c r="SP5" s="93" t="s">
        <v>2</v>
      </c>
      <c r="SQ5" s="93" t="s">
        <v>3</v>
      </c>
      <c r="SR5" s="93" t="s">
        <v>216</v>
      </c>
      <c r="SS5" s="93" t="s">
        <v>0</v>
      </c>
      <c r="ST5" s="93" t="s">
        <v>1</v>
      </c>
      <c r="SU5" s="93" t="s">
        <v>2</v>
      </c>
      <c r="SV5" s="93" t="s">
        <v>3</v>
      </c>
      <c r="SW5" s="93" t="s">
        <v>216</v>
      </c>
      <c r="SX5" s="93" t="s">
        <v>0</v>
      </c>
      <c r="SY5" s="93" t="s">
        <v>1</v>
      </c>
      <c r="SZ5" s="93" t="s">
        <v>2</v>
      </c>
      <c r="TA5" s="93" t="s">
        <v>3</v>
      </c>
      <c r="TB5" s="93" t="s">
        <v>216</v>
      </c>
      <c r="TC5" s="93" t="s">
        <v>0</v>
      </c>
      <c r="TD5" s="93" t="s">
        <v>1</v>
      </c>
      <c r="TE5" s="93" t="s">
        <v>2</v>
      </c>
      <c r="TF5" s="93" t="s">
        <v>3</v>
      </c>
      <c r="TG5" s="93" t="s">
        <v>216</v>
      </c>
      <c r="TH5" s="93" t="s">
        <v>0</v>
      </c>
      <c r="TI5" s="93" t="s">
        <v>1</v>
      </c>
      <c r="TJ5" s="93" t="s">
        <v>2</v>
      </c>
      <c r="TK5" s="93" t="s">
        <v>3</v>
      </c>
      <c r="TL5" s="93" t="s">
        <v>216</v>
      </c>
      <c r="TM5" s="93" t="s">
        <v>0</v>
      </c>
      <c r="TN5" s="93" t="s">
        <v>1</v>
      </c>
      <c r="TO5" s="93" t="s">
        <v>2</v>
      </c>
      <c r="TP5" s="93" t="s">
        <v>3</v>
      </c>
      <c r="TQ5" s="93" t="s">
        <v>216</v>
      </c>
      <c r="TR5" s="93" t="s">
        <v>0</v>
      </c>
      <c r="TS5" s="93" t="s">
        <v>1</v>
      </c>
      <c r="TT5" s="93" t="s">
        <v>2</v>
      </c>
      <c r="TU5" s="93" t="s">
        <v>3</v>
      </c>
      <c r="TV5" s="93" t="s">
        <v>216</v>
      </c>
      <c r="TW5" s="93" t="s">
        <v>0</v>
      </c>
      <c r="TX5" s="93" t="s">
        <v>1</v>
      </c>
      <c r="TY5" s="93" t="s">
        <v>2</v>
      </c>
      <c r="TZ5" s="93" t="s">
        <v>3</v>
      </c>
      <c r="UA5" s="93" t="s">
        <v>216</v>
      </c>
      <c r="UB5" s="93" t="s">
        <v>0</v>
      </c>
      <c r="UC5" s="93" t="s">
        <v>1</v>
      </c>
      <c r="UD5" s="93" t="s">
        <v>2</v>
      </c>
      <c r="UE5" s="93" t="s">
        <v>3</v>
      </c>
      <c r="UF5" s="93" t="s">
        <v>216</v>
      </c>
      <c r="UG5" s="93" t="s">
        <v>0</v>
      </c>
      <c r="UH5" s="93" t="s">
        <v>1</v>
      </c>
      <c r="UI5" s="93" t="s">
        <v>2</v>
      </c>
      <c r="UJ5" s="93" t="s">
        <v>3</v>
      </c>
      <c r="UK5" s="93" t="s">
        <v>216</v>
      </c>
      <c r="UL5" s="93" t="s">
        <v>0</v>
      </c>
      <c r="UM5" s="93" t="s">
        <v>1</v>
      </c>
      <c r="UN5" s="93" t="s">
        <v>2</v>
      </c>
      <c r="UO5" s="93" t="s">
        <v>3</v>
      </c>
      <c r="UP5" s="93" t="s">
        <v>216</v>
      </c>
      <c r="UQ5" s="93" t="s">
        <v>0</v>
      </c>
      <c r="UR5" s="93" t="s">
        <v>1</v>
      </c>
      <c r="US5" s="93" t="s">
        <v>2</v>
      </c>
      <c r="UT5" s="93" t="s">
        <v>3</v>
      </c>
      <c r="UU5" s="93" t="s">
        <v>8</v>
      </c>
      <c r="UV5" s="93" t="s">
        <v>0</v>
      </c>
      <c r="UW5" s="93" t="s">
        <v>1</v>
      </c>
      <c r="UX5" s="93" t="s">
        <v>2</v>
      </c>
      <c r="UY5" s="93" t="s">
        <v>3</v>
      </c>
      <c r="UZ5" s="93" t="s">
        <v>8</v>
      </c>
      <c r="VA5" s="93" t="s">
        <v>0</v>
      </c>
      <c r="VB5" s="93" t="s">
        <v>1</v>
      </c>
      <c r="VC5" s="93" t="s">
        <v>2</v>
      </c>
      <c r="VD5" s="93" t="s">
        <v>3</v>
      </c>
      <c r="VE5" s="93" t="s">
        <v>8</v>
      </c>
      <c r="VF5" s="93" t="s">
        <v>0</v>
      </c>
      <c r="VG5" s="93" t="s">
        <v>1</v>
      </c>
      <c r="VH5" s="93" t="s">
        <v>2</v>
      </c>
      <c r="VI5" s="93" t="s">
        <v>3</v>
      </c>
      <c r="VJ5" s="93" t="s">
        <v>8</v>
      </c>
      <c r="VK5" s="93" t="s">
        <v>0</v>
      </c>
      <c r="VL5" s="93" t="s">
        <v>1</v>
      </c>
      <c r="VM5" s="93" t="s">
        <v>2</v>
      </c>
      <c r="VN5" s="93" t="s">
        <v>3</v>
      </c>
      <c r="VO5" s="93" t="s">
        <v>8</v>
      </c>
      <c r="VP5" s="93" t="s">
        <v>0</v>
      </c>
      <c r="VQ5" s="93" t="s">
        <v>1</v>
      </c>
      <c r="VR5" s="93" t="s">
        <v>2</v>
      </c>
      <c r="VS5" s="93" t="s">
        <v>3</v>
      </c>
      <c r="VT5" s="93" t="s">
        <v>8</v>
      </c>
      <c r="VU5" s="93" t="s">
        <v>0</v>
      </c>
      <c r="VV5" s="93" t="s">
        <v>1</v>
      </c>
      <c r="VW5" s="93" t="s">
        <v>2</v>
      </c>
      <c r="VX5" s="93" t="s">
        <v>3</v>
      </c>
      <c r="VY5" s="93" t="s">
        <v>8</v>
      </c>
      <c r="VZ5" s="93" t="s">
        <v>0</v>
      </c>
      <c r="WA5" s="93" t="s">
        <v>1</v>
      </c>
      <c r="WB5" s="93" t="s">
        <v>2</v>
      </c>
      <c r="WC5" s="93" t="s">
        <v>3</v>
      </c>
      <c r="WD5" s="93" t="s">
        <v>8</v>
      </c>
      <c r="WE5" s="93" t="s">
        <v>0</v>
      </c>
      <c r="WF5" s="93" t="s">
        <v>1</v>
      </c>
      <c r="WG5" s="93" t="s">
        <v>2</v>
      </c>
      <c r="WH5" s="93" t="s">
        <v>3</v>
      </c>
      <c r="WI5" s="93" t="s">
        <v>8</v>
      </c>
      <c r="WJ5" s="93" t="s">
        <v>0</v>
      </c>
      <c r="WK5" s="93" t="s">
        <v>1</v>
      </c>
      <c r="WL5" s="93" t="s">
        <v>2</v>
      </c>
      <c r="WM5" s="93" t="s">
        <v>3</v>
      </c>
      <c r="WN5" s="93" t="s">
        <v>8</v>
      </c>
      <c r="WO5" s="93" t="s">
        <v>0</v>
      </c>
      <c r="WP5" s="93" t="s">
        <v>1</v>
      </c>
      <c r="WQ5" s="93" t="s">
        <v>2</v>
      </c>
      <c r="WR5" s="93" t="s">
        <v>3</v>
      </c>
      <c r="WS5" s="93" t="s">
        <v>8</v>
      </c>
      <c r="WT5" s="93" t="s">
        <v>0</v>
      </c>
      <c r="WU5" s="93" t="s">
        <v>1</v>
      </c>
      <c r="WV5" s="93" t="s">
        <v>2</v>
      </c>
      <c r="WW5" s="93" t="s">
        <v>3</v>
      </c>
      <c r="WX5" s="93" t="s">
        <v>8</v>
      </c>
      <c r="WY5" s="93" t="s">
        <v>0</v>
      </c>
      <c r="WZ5" s="93" t="s">
        <v>1</v>
      </c>
      <c r="XA5" s="93" t="s">
        <v>2</v>
      </c>
      <c r="XB5" s="93" t="s">
        <v>3</v>
      </c>
      <c r="XC5" s="93" t="s">
        <v>8</v>
      </c>
      <c r="XD5" s="93" t="s">
        <v>0</v>
      </c>
      <c r="XE5" s="93" t="s">
        <v>1</v>
      </c>
      <c r="XF5" s="93" t="s">
        <v>2</v>
      </c>
      <c r="XG5" s="93" t="s">
        <v>3</v>
      </c>
      <c r="XH5" s="93" t="s">
        <v>8</v>
      </c>
      <c r="XI5" s="93" t="s">
        <v>0</v>
      </c>
      <c r="XJ5" s="93" t="s">
        <v>1</v>
      </c>
      <c r="XK5" s="93" t="s">
        <v>2</v>
      </c>
      <c r="XL5" s="93" t="s">
        <v>3</v>
      </c>
      <c r="XM5" s="93" t="s">
        <v>8</v>
      </c>
      <c r="XN5" s="93" t="s">
        <v>0</v>
      </c>
      <c r="XO5" s="93" t="s">
        <v>1</v>
      </c>
      <c r="XP5" s="93" t="s">
        <v>2</v>
      </c>
      <c r="XQ5" s="93" t="s">
        <v>3</v>
      </c>
      <c r="XR5" s="93" t="s">
        <v>8</v>
      </c>
      <c r="XS5" s="93" t="s">
        <v>0</v>
      </c>
      <c r="XT5" s="93" t="s">
        <v>1</v>
      </c>
      <c r="XU5" s="93" t="s">
        <v>2</v>
      </c>
      <c r="XV5" s="93" t="s">
        <v>3</v>
      </c>
      <c r="XW5" s="93" t="s">
        <v>8</v>
      </c>
      <c r="XX5" s="93" t="s">
        <v>0</v>
      </c>
      <c r="XY5" s="93" t="s">
        <v>1</v>
      </c>
      <c r="XZ5" s="93" t="s">
        <v>2</v>
      </c>
      <c r="YA5" s="93" t="s">
        <v>3</v>
      </c>
      <c r="YB5" s="93" t="s">
        <v>8</v>
      </c>
      <c r="YC5" s="93" t="s">
        <v>0</v>
      </c>
      <c r="YD5" s="93" t="s">
        <v>1</v>
      </c>
      <c r="YE5" s="93" t="s">
        <v>2</v>
      </c>
      <c r="YF5" s="93" t="s">
        <v>3</v>
      </c>
      <c r="YG5" s="93" t="s">
        <v>8</v>
      </c>
      <c r="YH5" s="93" t="s">
        <v>0</v>
      </c>
      <c r="YI5" s="93" t="s">
        <v>1</v>
      </c>
      <c r="YJ5" s="93" t="s">
        <v>2</v>
      </c>
      <c r="YK5" s="93" t="s">
        <v>3</v>
      </c>
      <c r="YL5" s="93" t="s">
        <v>8</v>
      </c>
      <c r="YM5" s="93" t="s">
        <v>0</v>
      </c>
      <c r="YN5" s="93" t="s">
        <v>1</v>
      </c>
      <c r="YO5" s="93" t="s">
        <v>2</v>
      </c>
      <c r="YP5" s="93" t="s">
        <v>3</v>
      </c>
      <c r="YQ5" s="93" t="s">
        <v>8</v>
      </c>
      <c r="YR5" s="93" t="s">
        <v>0</v>
      </c>
      <c r="YS5" s="93" t="s">
        <v>1</v>
      </c>
      <c r="YT5" s="93" t="s">
        <v>2</v>
      </c>
      <c r="YU5" s="93" t="s">
        <v>3</v>
      </c>
      <c r="YV5" s="93" t="s">
        <v>8</v>
      </c>
      <c r="YW5" s="93" t="s">
        <v>0</v>
      </c>
      <c r="YX5" s="93" t="s">
        <v>1</v>
      </c>
      <c r="YY5" s="93" t="s">
        <v>2</v>
      </c>
      <c r="YZ5" s="93" t="s">
        <v>3</v>
      </c>
      <c r="ZA5" s="93" t="s">
        <v>8</v>
      </c>
      <c r="ZB5" s="93" t="s">
        <v>0</v>
      </c>
      <c r="ZC5" s="93" t="s">
        <v>1</v>
      </c>
      <c r="ZD5" s="93" t="s">
        <v>2</v>
      </c>
      <c r="ZE5" s="93" t="s">
        <v>3</v>
      </c>
      <c r="ZF5" s="93" t="s">
        <v>8</v>
      </c>
      <c r="ZG5" s="93" t="s">
        <v>0</v>
      </c>
      <c r="ZH5" s="93" t="s">
        <v>1</v>
      </c>
      <c r="ZI5" s="93" t="s">
        <v>2</v>
      </c>
      <c r="ZJ5" s="93" t="s">
        <v>3</v>
      </c>
      <c r="ZK5" s="93" t="s">
        <v>8</v>
      </c>
      <c r="ZL5" s="93" t="s">
        <v>0</v>
      </c>
      <c r="ZM5" s="93" t="s">
        <v>1</v>
      </c>
      <c r="ZN5" s="93" t="s">
        <v>2</v>
      </c>
      <c r="ZO5" s="93" t="s">
        <v>3</v>
      </c>
      <c r="ZP5" s="93" t="s">
        <v>8</v>
      </c>
      <c r="ZQ5" s="93" t="s">
        <v>0</v>
      </c>
      <c r="ZR5" s="93" t="s">
        <v>1</v>
      </c>
      <c r="ZS5" s="93" t="s">
        <v>2</v>
      </c>
      <c r="ZT5" s="93" t="s">
        <v>3</v>
      </c>
      <c r="ZU5" s="93" t="s">
        <v>8</v>
      </c>
      <c r="ZV5" s="93" t="s">
        <v>0</v>
      </c>
      <c r="ZW5" s="93" t="s">
        <v>1</v>
      </c>
      <c r="ZX5" s="93" t="s">
        <v>2</v>
      </c>
      <c r="ZY5" s="93" t="s">
        <v>3</v>
      </c>
      <c r="ZZ5" s="93" t="s">
        <v>8</v>
      </c>
      <c r="AAA5" s="93" t="s">
        <v>0</v>
      </c>
      <c r="AAB5" s="93" t="s">
        <v>1</v>
      </c>
      <c r="AAC5" s="93" t="s">
        <v>2</v>
      </c>
      <c r="AAD5" s="93" t="s">
        <v>3</v>
      </c>
      <c r="AAE5" s="93" t="s">
        <v>8</v>
      </c>
      <c r="AAF5" s="93" t="s">
        <v>0</v>
      </c>
      <c r="AAG5" s="93" t="s">
        <v>1</v>
      </c>
      <c r="AAH5" s="93" t="s">
        <v>2</v>
      </c>
      <c r="AAI5" s="93" t="s">
        <v>3</v>
      </c>
      <c r="AAJ5" s="93" t="s">
        <v>8</v>
      </c>
      <c r="AAK5" s="93" t="s">
        <v>0</v>
      </c>
      <c r="AAL5" s="93" t="s">
        <v>1</v>
      </c>
      <c r="AAM5" s="93" t="s">
        <v>2</v>
      </c>
      <c r="AAN5" s="93" t="s">
        <v>3</v>
      </c>
      <c r="AAO5" s="93" t="s">
        <v>8</v>
      </c>
      <c r="AAP5" s="93" t="s">
        <v>0</v>
      </c>
      <c r="AAQ5" s="93" t="s">
        <v>1</v>
      </c>
      <c r="AAR5" s="93" t="s">
        <v>2</v>
      </c>
      <c r="AAS5" s="93" t="s">
        <v>3</v>
      </c>
      <c r="AAT5" s="93" t="s">
        <v>8</v>
      </c>
      <c r="AAU5" s="93" t="s">
        <v>0</v>
      </c>
      <c r="AAV5" s="93" t="s">
        <v>1</v>
      </c>
      <c r="AAW5" s="93" t="s">
        <v>2</v>
      </c>
      <c r="AAX5" s="93" t="s">
        <v>3</v>
      </c>
      <c r="AAY5" s="93" t="s">
        <v>8</v>
      </c>
      <c r="AAZ5" s="93" t="s">
        <v>0</v>
      </c>
      <c r="ABA5" s="93" t="s">
        <v>1</v>
      </c>
      <c r="ABB5" s="93" t="s">
        <v>2</v>
      </c>
      <c r="ABC5" s="93" t="s">
        <v>3</v>
      </c>
      <c r="ABD5" s="93" t="s">
        <v>8</v>
      </c>
      <c r="ABE5" s="93" t="s">
        <v>0</v>
      </c>
      <c r="ABF5" s="93" t="s">
        <v>1</v>
      </c>
      <c r="ABG5" s="93" t="s">
        <v>2</v>
      </c>
      <c r="ABH5" s="93" t="s">
        <v>3</v>
      </c>
      <c r="ABI5" s="93" t="s">
        <v>8</v>
      </c>
      <c r="ABJ5" s="93" t="s">
        <v>0</v>
      </c>
      <c r="ABK5" s="93" t="s">
        <v>1</v>
      </c>
      <c r="ABL5" s="93" t="s">
        <v>2</v>
      </c>
      <c r="ABM5" s="93" t="s">
        <v>3</v>
      </c>
      <c r="ABN5" s="93" t="s">
        <v>8</v>
      </c>
      <c r="ABO5" s="93" t="s">
        <v>0</v>
      </c>
      <c r="ABP5" s="93" t="s">
        <v>1</v>
      </c>
      <c r="ABQ5" s="93" t="s">
        <v>2</v>
      </c>
      <c r="ABR5" s="93" t="s">
        <v>3</v>
      </c>
      <c r="ABS5" s="93" t="s">
        <v>8</v>
      </c>
      <c r="ABT5" s="93" t="s">
        <v>0</v>
      </c>
      <c r="ABU5" s="93" t="s">
        <v>1</v>
      </c>
      <c r="ABV5" s="93" t="s">
        <v>2</v>
      </c>
      <c r="ABW5" s="93" t="s">
        <v>3</v>
      </c>
      <c r="ABX5" s="93" t="s">
        <v>8</v>
      </c>
      <c r="ABY5" s="93" t="s">
        <v>0</v>
      </c>
      <c r="ABZ5" s="93" t="s">
        <v>1</v>
      </c>
      <c r="ACA5" s="93" t="s">
        <v>2</v>
      </c>
      <c r="ACB5" s="93" t="s">
        <v>3</v>
      </c>
      <c r="ACC5" s="93" t="s">
        <v>8</v>
      </c>
      <c r="ACD5" s="93" t="s">
        <v>0</v>
      </c>
      <c r="ACE5" s="93" t="s">
        <v>1</v>
      </c>
      <c r="ACF5" s="93" t="s">
        <v>2</v>
      </c>
      <c r="ACG5" s="93" t="s">
        <v>3</v>
      </c>
      <c r="ACH5" s="93" t="s">
        <v>8</v>
      </c>
      <c r="ACI5" s="93" t="s">
        <v>0</v>
      </c>
      <c r="ACJ5" s="93" t="s">
        <v>1</v>
      </c>
      <c r="ACK5" s="93" t="s">
        <v>2</v>
      </c>
      <c r="ACL5" s="93" t="s">
        <v>3</v>
      </c>
      <c r="ACM5" s="93" t="s">
        <v>8</v>
      </c>
      <c r="ACN5" s="93" t="s">
        <v>0</v>
      </c>
      <c r="ACO5" s="93" t="s">
        <v>1</v>
      </c>
      <c r="ACP5" s="93" t="s">
        <v>2</v>
      </c>
      <c r="ACQ5" s="93" t="s">
        <v>3</v>
      </c>
      <c r="ACR5" s="93" t="s">
        <v>258</v>
      </c>
      <c r="ACS5" s="93" t="s">
        <v>259</v>
      </c>
      <c r="ACT5" s="93" t="s">
        <v>69</v>
      </c>
      <c r="ACU5" s="93" t="s">
        <v>258</v>
      </c>
      <c r="ACV5" s="93" t="s">
        <v>259</v>
      </c>
      <c r="ACW5" s="93" t="s">
        <v>69</v>
      </c>
      <c r="ACX5" s="93" t="s">
        <v>258</v>
      </c>
      <c r="ACY5" s="93" t="s">
        <v>259</v>
      </c>
      <c r="ACZ5" s="93" t="s">
        <v>69</v>
      </c>
      <c r="ADA5" s="93" t="s">
        <v>258</v>
      </c>
      <c r="ADB5" s="93" t="s">
        <v>259</v>
      </c>
      <c r="ADC5" s="93" t="s">
        <v>69</v>
      </c>
      <c r="ADD5" s="93" t="s">
        <v>258</v>
      </c>
      <c r="ADE5" s="93" t="s">
        <v>259</v>
      </c>
      <c r="ADF5" s="93" t="s">
        <v>69</v>
      </c>
      <c r="ADG5" s="93" t="s">
        <v>258</v>
      </c>
      <c r="ADH5" s="93" t="s">
        <v>259</v>
      </c>
      <c r="ADI5" s="93" t="s">
        <v>69</v>
      </c>
      <c r="ADJ5" s="93" t="s">
        <v>258</v>
      </c>
      <c r="ADK5" s="93" t="s">
        <v>259</v>
      </c>
      <c r="ADL5" s="93" t="s">
        <v>69</v>
      </c>
      <c r="ADM5" s="93" t="s">
        <v>258</v>
      </c>
      <c r="ADN5" s="93" t="s">
        <v>259</v>
      </c>
      <c r="ADO5" s="93" t="s">
        <v>69</v>
      </c>
      <c r="ADP5" s="93" t="s">
        <v>258</v>
      </c>
      <c r="ADQ5" s="93" t="s">
        <v>259</v>
      </c>
      <c r="ADR5" s="93" t="s">
        <v>69</v>
      </c>
      <c r="ADS5" s="93" t="s">
        <v>258</v>
      </c>
      <c r="ADT5" s="93" t="s">
        <v>259</v>
      </c>
      <c r="ADU5" s="93" t="s">
        <v>69</v>
      </c>
      <c r="ADV5" s="93" t="s">
        <v>258</v>
      </c>
      <c r="ADW5" s="93" t="s">
        <v>259</v>
      </c>
      <c r="ADX5" s="93" t="s">
        <v>69</v>
      </c>
      <c r="ADY5" s="93" t="s">
        <v>258</v>
      </c>
      <c r="ADZ5" s="93" t="s">
        <v>259</v>
      </c>
      <c r="AEA5" s="93" t="s">
        <v>69</v>
      </c>
      <c r="AEB5" s="93" t="s">
        <v>258</v>
      </c>
      <c r="AEC5" s="93" t="s">
        <v>259</v>
      </c>
      <c r="AED5" s="93" t="s">
        <v>69</v>
      </c>
      <c r="AEE5" s="93" t="s">
        <v>258</v>
      </c>
      <c r="AEF5" s="93" t="s">
        <v>259</v>
      </c>
      <c r="AEG5" s="93" t="s">
        <v>69</v>
      </c>
      <c r="AEH5" s="93" t="s">
        <v>258</v>
      </c>
      <c r="AEI5" s="93" t="s">
        <v>259</v>
      </c>
      <c r="AEJ5" s="93" t="s">
        <v>69</v>
      </c>
      <c r="AEK5" s="93" t="s">
        <v>258</v>
      </c>
      <c r="AEL5" s="93" t="s">
        <v>259</v>
      </c>
      <c r="AEM5" s="93" t="s">
        <v>69</v>
      </c>
      <c r="AEN5" s="93" t="s">
        <v>258</v>
      </c>
      <c r="AEO5" s="93" t="s">
        <v>259</v>
      </c>
      <c r="AEP5" s="93" t="s">
        <v>69</v>
      </c>
      <c r="AEQ5" s="93" t="s">
        <v>258</v>
      </c>
      <c r="AER5" s="93" t="s">
        <v>259</v>
      </c>
      <c r="AES5" s="93" t="s">
        <v>69</v>
      </c>
      <c r="AET5" s="93" t="s">
        <v>258</v>
      </c>
      <c r="AEU5" s="93" t="s">
        <v>259</v>
      </c>
      <c r="AEV5" s="93" t="s">
        <v>69</v>
      </c>
      <c r="AEW5" s="93" t="s">
        <v>258</v>
      </c>
      <c r="AEX5" s="93" t="s">
        <v>259</v>
      </c>
      <c r="AEY5" s="93" t="s">
        <v>69</v>
      </c>
      <c r="AEZ5" s="93" t="s">
        <v>258</v>
      </c>
      <c r="AFA5" s="93" t="s">
        <v>259</v>
      </c>
      <c r="AFB5" s="93" t="s">
        <v>69</v>
      </c>
      <c r="AFC5" s="93" t="s">
        <v>8</v>
      </c>
      <c r="AFD5" s="93" t="s">
        <v>20</v>
      </c>
      <c r="AFE5" s="93" t="s">
        <v>21</v>
      </c>
      <c r="AFF5" s="93" t="s">
        <v>8</v>
      </c>
      <c r="AFG5" s="93" t="s">
        <v>20</v>
      </c>
      <c r="AFH5" s="93" t="s">
        <v>21</v>
      </c>
      <c r="AFI5" s="93" t="s">
        <v>8</v>
      </c>
      <c r="AFJ5" s="93" t="s">
        <v>20</v>
      </c>
      <c r="AFK5" s="93" t="s">
        <v>21</v>
      </c>
      <c r="AFL5" s="93" t="s">
        <v>8</v>
      </c>
      <c r="AFM5" s="93" t="s">
        <v>20</v>
      </c>
      <c r="AFN5" s="93" t="s">
        <v>21</v>
      </c>
      <c r="AFO5" s="93" t="s">
        <v>8</v>
      </c>
      <c r="AFP5" s="93" t="s">
        <v>20</v>
      </c>
      <c r="AFQ5" s="93" t="s">
        <v>21</v>
      </c>
      <c r="AFR5" s="93" t="s">
        <v>8</v>
      </c>
      <c r="AFS5" s="93" t="s">
        <v>20</v>
      </c>
      <c r="AFT5" s="93" t="s">
        <v>21</v>
      </c>
      <c r="AFU5" s="93" t="s">
        <v>8</v>
      </c>
      <c r="AFV5" s="93" t="s">
        <v>20</v>
      </c>
      <c r="AFW5" s="93" t="s">
        <v>21</v>
      </c>
      <c r="AFX5" s="93" t="s">
        <v>8</v>
      </c>
      <c r="AFY5" s="93" t="s">
        <v>20</v>
      </c>
      <c r="AFZ5" s="93" t="s">
        <v>21</v>
      </c>
      <c r="AGA5" s="93" t="s">
        <v>8</v>
      </c>
      <c r="AGB5" s="93" t="s">
        <v>20</v>
      </c>
      <c r="AGC5" s="93" t="s">
        <v>21</v>
      </c>
      <c r="AGD5" s="93" t="s">
        <v>8</v>
      </c>
      <c r="AGE5" s="93" t="s">
        <v>20</v>
      </c>
      <c r="AGF5" s="93" t="s">
        <v>21</v>
      </c>
      <c r="AGG5" s="93" t="s">
        <v>8</v>
      </c>
      <c r="AGH5" s="93" t="s">
        <v>20</v>
      </c>
      <c r="AGI5" s="93" t="s">
        <v>21</v>
      </c>
      <c r="AGJ5" s="93" t="s">
        <v>8</v>
      </c>
      <c r="AGK5" s="93" t="s">
        <v>20</v>
      </c>
      <c r="AGL5" s="93" t="s">
        <v>21</v>
      </c>
      <c r="AGM5" s="93" t="s">
        <v>8</v>
      </c>
      <c r="AGN5" s="93" t="s">
        <v>20</v>
      </c>
      <c r="AGO5" s="93" t="s">
        <v>21</v>
      </c>
      <c r="AGP5" s="93" t="s">
        <v>8</v>
      </c>
      <c r="AGQ5" s="93" t="s">
        <v>20</v>
      </c>
      <c r="AGR5" s="93" t="s">
        <v>21</v>
      </c>
      <c r="AGS5" s="93" t="s">
        <v>8</v>
      </c>
      <c r="AGT5" s="93" t="s">
        <v>0</v>
      </c>
      <c r="AGU5" s="93" t="s">
        <v>1</v>
      </c>
      <c r="AGV5" s="93" t="s">
        <v>2</v>
      </c>
      <c r="AGW5" s="93" t="s">
        <v>3</v>
      </c>
      <c r="AGX5" s="93" t="s">
        <v>8</v>
      </c>
      <c r="AGY5" s="93" t="s">
        <v>0</v>
      </c>
      <c r="AGZ5" s="93" t="s">
        <v>1</v>
      </c>
      <c r="AHA5" s="93" t="s">
        <v>2</v>
      </c>
      <c r="AHB5" s="93" t="s">
        <v>3</v>
      </c>
      <c r="AHC5" s="93" t="s">
        <v>8</v>
      </c>
      <c r="AHD5" s="93" t="s">
        <v>0</v>
      </c>
      <c r="AHE5" s="93" t="s">
        <v>1</v>
      </c>
      <c r="AHF5" s="93" t="s">
        <v>2</v>
      </c>
      <c r="AHG5" s="93" t="s">
        <v>3</v>
      </c>
      <c r="AHH5" s="93" t="s">
        <v>8</v>
      </c>
      <c r="AHI5" s="93" t="s">
        <v>0</v>
      </c>
      <c r="AHJ5" s="93" t="s">
        <v>1</v>
      </c>
      <c r="AHK5" s="93" t="s">
        <v>2</v>
      </c>
      <c r="AHL5" s="93" t="s">
        <v>3</v>
      </c>
      <c r="AHM5" s="93" t="s">
        <v>8</v>
      </c>
      <c r="AHN5" s="93" t="s">
        <v>0</v>
      </c>
      <c r="AHO5" s="93" t="s">
        <v>1</v>
      </c>
      <c r="AHP5" s="93" t="s">
        <v>2</v>
      </c>
      <c r="AHQ5" s="93" t="s">
        <v>3</v>
      </c>
      <c r="AHR5" s="93" t="s">
        <v>8</v>
      </c>
      <c r="AHS5" s="93" t="s">
        <v>0</v>
      </c>
      <c r="AHT5" s="93" t="s">
        <v>1</v>
      </c>
      <c r="AHU5" s="93" t="s">
        <v>2</v>
      </c>
      <c r="AHV5" s="93" t="s">
        <v>3</v>
      </c>
      <c r="AHW5" s="93" t="s">
        <v>8</v>
      </c>
      <c r="AHX5" s="93" t="s">
        <v>0</v>
      </c>
      <c r="AHY5" s="93" t="s">
        <v>1</v>
      </c>
      <c r="AHZ5" s="93" t="s">
        <v>2</v>
      </c>
      <c r="AIA5" s="93" t="s">
        <v>3</v>
      </c>
      <c r="AIB5" s="93" t="s">
        <v>8</v>
      </c>
      <c r="AIC5" s="93" t="s">
        <v>0</v>
      </c>
      <c r="AID5" s="93" t="s">
        <v>1</v>
      </c>
      <c r="AIE5" s="93" t="s">
        <v>2</v>
      </c>
      <c r="AIF5" s="93" t="s">
        <v>3</v>
      </c>
      <c r="AIG5" s="93" t="s">
        <v>8</v>
      </c>
      <c r="AIH5" s="93" t="s">
        <v>0</v>
      </c>
      <c r="AII5" s="93" t="s">
        <v>1</v>
      </c>
      <c r="AIJ5" s="93" t="s">
        <v>2</v>
      </c>
      <c r="AIK5" s="93" t="s">
        <v>3</v>
      </c>
      <c r="AIL5" s="93" t="s">
        <v>8</v>
      </c>
      <c r="AIM5" s="93" t="s">
        <v>0</v>
      </c>
      <c r="AIN5" s="93" t="s">
        <v>1</v>
      </c>
      <c r="AIO5" s="93" t="s">
        <v>2</v>
      </c>
      <c r="AIP5" s="93" t="s">
        <v>3</v>
      </c>
      <c r="AIQ5" s="93" t="s">
        <v>8</v>
      </c>
      <c r="AIR5" s="93" t="s">
        <v>0</v>
      </c>
      <c r="AIS5" s="93" t="s">
        <v>1</v>
      </c>
      <c r="AIT5" s="93" t="s">
        <v>2</v>
      </c>
      <c r="AIU5" s="93" t="s">
        <v>3</v>
      </c>
      <c r="AIV5" s="93" t="s">
        <v>8</v>
      </c>
      <c r="AIW5" s="93" t="s">
        <v>0</v>
      </c>
      <c r="AIX5" s="93" t="s">
        <v>1</v>
      </c>
      <c r="AIY5" s="93" t="s">
        <v>2</v>
      </c>
      <c r="AIZ5" s="93" t="s">
        <v>3</v>
      </c>
      <c r="AJA5" s="93" t="s">
        <v>8</v>
      </c>
      <c r="AJB5" s="93" t="s">
        <v>0</v>
      </c>
      <c r="AJC5" s="93" t="s">
        <v>1</v>
      </c>
      <c r="AJD5" s="93" t="s">
        <v>2</v>
      </c>
      <c r="AJE5" s="93" t="s">
        <v>3</v>
      </c>
      <c r="AJF5" s="93" t="s">
        <v>8</v>
      </c>
      <c r="AJG5" s="93" t="s">
        <v>0</v>
      </c>
      <c r="AJH5" s="93" t="s">
        <v>1</v>
      </c>
      <c r="AJI5" s="93" t="s">
        <v>2</v>
      </c>
      <c r="AJJ5" s="93" t="s">
        <v>3</v>
      </c>
      <c r="AJK5" s="93" t="s">
        <v>8</v>
      </c>
      <c r="AJL5" s="93" t="s">
        <v>0</v>
      </c>
      <c r="AJM5" s="93" t="s">
        <v>1</v>
      </c>
      <c r="AJN5" s="93" t="s">
        <v>2</v>
      </c>
      <c r="AJO5" s="93" t="s">
        <v>3</v>
      </c>
      <c r="AJP5" s="93" t="s">
        <v>8</v>
      </c>
      <c r="AJQ5" s="93" t="s">
        <v>0</v>
      </c>
      <c r="AJR5" s="93" t="s">
        <v>1</v>
      </c>
      <c r="AJS5" s="93" t="s">
        <v>2</v>
      </c>
      <c r="AJT5" s="93" t="s">
        <v>3</v>
      </c>
      <c r="AJU5" s="93" t="s">
        <v>8</v>
      </c>
      <c r="AJV5" s="93" t="s">
        <v>0</v>
      </c>
      <c r="AJW5" s="93" t="s">
        <v>1</v>
      </c>
      <c r="AJX5" s="93" t="s">
        <v>2</v>
      </c>
      <c r="AJY5" s="93" t="s">
        <v>3</v>
      </c>
      <c r="AJZ5" s="93" t="s">
        <v>8</v>
      </c>
      <c r="AKA5" s="93" t="s">
        <v>0</v>
      </c>
      <c r="AKB5" s="93" t="s">
        <v>1</v>
      </c>
      <c r="AKC5" s="93" t="s">
        <v>2</v>
      </c>
      <c r="AKD5" s="93" t="s">
        <v>3</v>
      </c>
      <c r="AKE5" s="93" t="s">
        <v>8</v>
      </c>
      <c r="AKF5" s="93" t="s">
        <v>0</v>
      </c>
      <c r="AKG5" s="93" t="s">
        <v>1</v>
      </c>
      <c r="AKH5" s="93" t="s">
        <v>2</v>
      </c>
      <c r="AKI5" s="93" t="s">
        <v>3</v>
      </c>
      <c r="AKJ5" s="93" t="s">
        <v>8</v>
      </c>
      <c r="AKK5" s="93" t="s">
        <v>0</v>
      </c>
      <c r="AKL5" s="93" t="s">
        <v>1</v>
      </c>
      <c r="AKM5" s="93" t="s">
        <v>2</v>
      </c>
      <c r="AKN5" s="93" t="s">
        <v>3</v>
      </c>
      <c r="AKO5" s="93" t="s">
        <v>8</v>
      </c>
      <c r="AKP5" s="93" t="s">
        <v>0</v>
      </c>
      <c r="AKQ5" s="93" t="s">
        <v>1</v>
      </c>
      <c r="AKR5" s="93" t="s">
        <v>2</v>
      </c>
      <c r="AKS5" s="93" t="s">
        <v>3</v>
      </c>
      <c r="AKT5" s="93" t="s">
        <v>8</v>
      </c>
      <c r="AKU5" s="93" t="s">
        <v>0</v>
      </c>
      <c r="AKV5" s="93" t="s">
        <v>1</v>
      </c>
      <c r="AKW5" s="93" t="s">
        <v>2</v>
      </c>
      <c r="AKX5" s="93" t="s">
        <v>3</v>
      </c>
      <c r="AKY5" s="93" t="s">
        <v>8</v>
      </c>
      <c r="AKZ5" s="93" t="s">
        <v>0</v>
      </c>
      <c r="ALA5" s="93" t="s">
        <v>1</v>
      </c>
      <c r="ALB5" s="93" t="s">
        <v>2</v>
      </c>
      <c r="ALC5" s="93" t="s">
        <v>3</v>
      </c>
      <c r="ALD5" s="93" t="s">
        <v>8</v>
      </c>
      <c r="ALE5" s="93" t="s">
        <v>0</v>
      </c>
      <c r="ALF5" s="93" t="s">
        <v>1</v>
      </c>
      <c r="ALG5" s="93" t="s">
        <v>2</v>
      </c>
      <c r="ALH5" s="93" t="s">
        <v>3</v>
      </c>
      <c r="ALI5" s="93" t="s">
        <v>8</v>
      </c>
      <c r="ALJ5" s="93" t="s">
        <v>0</v>
      </c>
      <c r="ALK5" s="93" t="s">
        <v>1</v>
      </c>
      <c r="ALL5" s="93" t="s">
        <v>2</v>
      </c>
      <c r="ALM5" s="93" t="s">
        <v>3</v>
      </c>
      <c r="ALN5" s="93" t="s">
        <v>8</v>
      </c>
      <c r="ALO5" s="93" t="s">
        <v>0</v>
      </c>
      <c r="ALP5" s="93" t="s">
        <v>1</v>
      </c>
      <c r="ALQ5" s="93" t="s">
        <v>2</v>
      </c>
      <c r="ALR5" s="93" t="s">
        <v>3</v>
      </c>
      <c r="ALS5" s="93" t="s">
        <v>8</v>
      </c>
      <c r="ALT5" s="93" t="s">
        <v>0</v>
      </c>
      <c r="ALU5" s="93" t="s">
        <v>1</v>
      </c>
      <c r="ALV5" s="93" t="s">
        <v>2</v>
      </c>
      <c r="ALW5" s="93" t="s">
        <v>3</v>
      </c>
      <c r="ALX5" s="93" t="s">
        <v>8</v>
      </c>
      <c r="ALY5" s="93" t="s">
        <v>0</v>
      </c>
      <c r="ALZ5" s="93" t="s">
        <v>1</v>
      </c>
      <c r="AMA5" s="93" t="s">
        <v>2</v>
      </c>
      <c r="AMB5" s="93" t="s">
        <v>3</v>
      </c>
      <c r="AMC5" s="93" t="s">
        <v>8</v>
      </c>
      <c r="AMD5" s="93" t="s">
        <v>0</v>
      </c>
      <c r="AME5" s="93" t="s">
        <v>1</v>
      </c>
      <c r="AMF5" s="93" t="s">
        <v>2</v>
      </c>
      <c r="AMG5" s="93" t="s">
        <v>3</v>
      </c>
      <c r="AMH5" s="93" t="s">
        <v>8</v>
      </c>
      <c r="AMI5" s="93" t="s">
        <v>0</v>
      </c>
      <c r="AMJ5" s="93" t="s">
        <v>1</v>
      </c>
      <c r="AMK5" s="93" t="s">
        <v>2</v>
      </c>
      <c r="AML5" s="93" t="s">
        <v>3</v>
      </c>
      <c r="AMM5" s="93" t="s">
        <v>8</v>
      </c>
      <c r="AMN5" s="93" t="s">
        <v>0</v>
      </c>
      <c r="AMO5" s="93" t="s">
        <v>1</v>
      </c>
      <c r="AMP5" s="93" t="s">
        <v>2</v>
      </c>
      <c r="AMQ5" s="93" t="s">
        <v>3</v>
      </c>
      <c r="AMR5" s="93" t="s">
        <v>8</v>
      </c>
      <c r="AMS5" s="93" t="s">
        <v>0</v>
      </c>
      <c r="AMT5" s="93" t="s">
        <v>1</v>
      </c>
      <c r="AMU5" s="93" t="s">
        <v>2</v>
      </c>
      <c r="AMV5" s="93" t="s">
        <v>3</v>
      </c>
      <c r="AMW5" s="93" t="s">
        <v>8</v>
      </c>
      <c r="AMX5" s="93" t="s">
        <v>0</v>
      </c>
      <c r="AMY5" s="93" t="s">
        <v>1</v>
      </c>
      <c r="AMZ5" s="93" t="s">
        <v>2</v>
      </c>
      <c r="ANA5" s="93" t="s">
        <v>3</v>
      </c>
      <c r="ANB5" s="93" t="s">
        <v>8</v>
      </c>
      <c r="ANC5" s="93" t="s">
        <v>0</v>
      </c>
      <c r="AND5" s="93" t="s">
        <v>1</v>
      </c>
      <c r="ANE5" s="93" t="s">
        <v>2</v>
      </c>
      <c r="ANF5" s="93" t="s">
        <v>3</v>
      </c>
      <c r="ANG5" s="93" t="s">
        <v>8</v>
      </c>
      <c r="ANH5" s="93" t="s">
        <v>0</v>
      </c>
      <c r="ANI5" s="93" t="s">
        <v>1</v>
      </c>
      <c r="ANJ5" s="93" t="s">
        <v>2</v>
      </c>
      <c r="ANK5" s="93" t="s">
        <v>3</v>
      </c>
      <c r="ANL5" s="93" t="s">
        <v>8</v>
      </c>
      <c r="ANM5" s="93" t="s">
        <v>0</v>
      </c>
      <c r="ANN5" s="93" t="s">
        <v>1</v>
      </c>
      <c r="ANO5" s="93" t="s">
        <v>2</v>
      </c>
      <c r="ANP5" s="93" t="s">
        <v>3</v>
      </c>
      <c r="ANQ5" s="93" t="s">
        <v>8</v>
      </c>
      <c r="ANR5" s="93" t="s">
        <v>0</v>
      </c>
      <c r="ANS5" s="93" t="s">
        <v>1</v>
      </c>
      <c r="ANT5" s="93" t="s">
        <v>2</v>
      </c>
      <c r="ANU5" s="93" t="s">
        <v>3</v>
      </c>
      <c r="ANV5" s="93" t="s">
        <v>8</v>
      </c>
      <c r="ANW5" s="93" t="s">
        <v>0</v>
      </c>
      <c r="ANX5" s="93" t="s">
        <v>1</v>
      </c>
      <c r="ANY5" s="93" t="s">
        <v>2</v>
      </c>
      <c r="ANZ5" s="93" t="s">
        <v>3</v>
      </c>
      <c r="AOA5" s="93" t="s">
        <v>8</v>
      </c>
      <c r="AOB5" s="93" t="s">
        <v>0</v>
      </c>
      <c r="AOC5" s="93" t="s">
        <v>1</v>
      </c>
      <c r="AOD5" s="93" t="s">
        <v>2</v>
      </c>
      <c r="AOE5" s="93" t="s">
        <v>3</v>
      </c>
      <c r="AOF5" s="93" t="s">
        <v>8</v>
      </c>
      <c r="AOG5" s="93" t="s">
        <v>0</v>
      </c>
      <c r="AOH5" s="93" t="s">
        <v>1</v>
      </c>
      <c r="AOI5" s="93" t="s">
        <v>2</v>
      </c>
      <c r="AOJ5" s="93" t="s">
        <v>3</v>
      </c>
      <c r="AOK5" s="93" t="s">
        <v>8</v>
      </c>
      <c r="AOL5" s="93" t="s">
        <v>0</v>
      </c>
      <c r="AOM5" s="93" t="s">
        <v>1</v>
      </c>
      <c r="AON5" s="93" t="s">
        <v>2</v>
      </c>
      <c r="AOO5" s="93" t="s">
        <v>3</v>
      </c>
      <c r="AOP5" s="93" t="s">
        <v>8</v>
      </c>
      <c r="AOQ5" s="93" t="s">
        <v>0</v>
      </c>
      <c r="AOR5" s="93" t="s">
        <v>1</v>
      </c>
      <c r="AOS5" s="93" t="s">
        <v>2</v>
      </c>
      <c r="AOT5" s="93" t="s">
        <v>3</v>
      </c>
      <c r="AOU5" s="93" t="s">
        <v>8</v>
      </c>
      <c r="AOV5" s="93" t="s">
        <v>0</v>
      </c>
      <c r="AOW5" s="93" t="s">
        <v>1</v>
      </c>
      <c r="AOX5" s="93" t="s">
        <v>2</v>
      </c>
      <c r="AOY5" s="93" t="s">
        <v>3</v>
      </c>
      <c r="AOZ5" s="93" t="s">
        <v>8</v>
      </c>
      <c r="APA5" s="93" t="s">
        <v>0</v>
      </c>
      <c r="APB5" s="93" t="s">
        <v>1</v>
      </c>
      <c r="APC5" s="93" t="s">
        <v>2</v>
      </c>
      <c r="APD5" s="93" t="s">
        <v>3</v>
      </c>
      <c r="APE5" s="93" t="s">
        <v>8</v>
      </c>
      <c r="APF5" s="93" t="s">
        <v>0</v>
      </c>
      <c r="APG5" s="93" t="s">
        <v>1</v>
      </c>
      <c r="APH5" s="93" t="s">
        <v>2</v>
      </c>
      <c r="API5" s="93" t="s">
        <v>3</v>
      </c>
      <c r="APJ5" s="93" t="s">
        <v>8</v>
      </c>
      <c r="APK5" s="93" t="s">
        <v>0</v>
      </c>
      <c r="APL5" s="93" t="s">
        <v>1</v>
      </c>
      <c r="APM5" s="93" t="s">
        <v>2</v>
      </c>
      <c r="APN5" s="93" t="s">
        <v>3</v>
      </c>
      <c r="APO5" s="93" t="s">
        <v>8</v>
      </c>
      <c r="APP5" s="93" t="s">
        <v>0</v>
      </c>
      <c r="APQ5" s="93" t="s">
        <v>1</v>
      </c>
      <c r="APR5" s="93" t="s">
        <v>2</v>
      </c>
      <c r="APS5" s="93" t="s">
        <v>3</v>
      </c>
      <c r="APT5" s="93" t="s">
        <v>8</v>
      </c>
      <c r="APU5" s="93" t="s">
        <v>0</v>
      </c>
      <c r="APV5" s="93" t="s">
        <v>1</v>
      </c>
      <c r="APW5" s="93" t="s">
        <v>2</v>
      </c>
      <c r="APX5" s="93" t="s">
        <v>3</v>
      </c>
      <c r="APY5" s="93" t="s">
        <v>8</v>
      </c>
      <c r="APZ5" s="93" t="s">
        <v>0</v>
      </c>
      <c r="AQA5" s="93" t="s">
        <v>1</v>
      </c>
      <c r="AQB5" s="93" t="s">
        <v>2</v>
      </c>
      <c r="AQC5" s="93" t="s">
        <v>3</v>
      </c>
      <c r="AQD5" s="93" t="s">
        <v>8</v>
      </c>
      <c r="AQE5" s="93" t="s">
        <v>0</v>
      </c>
      <c r="AQF5" s="93" t="s">
        <v>1</v>
      </c>
      <c r="AQG5" s="93" t="s">
        <v>2</v>
      </c>
      <c r="AQH5" s="93" t="s">
        <v>3</v>
      </c>
      <c r="AQI5" s="93" t="s">
        <v>8</v>
      </c>
      <c r="AQJ5" s="93" t="s">
        <v>0</v>
      </c>
      <c r="AQK5" s="93" t="s">
        <v>1</v>
      </c>
      <c r="AQL5" s="93" t="s">
        <v>2</v>
      </c>
      <c r="AQM5" s="93" t="s">
        <v>3</v>
      </c>
      <c r="AQN5" s="93" t="s">
        <v>8</v>
      </c>
      <c r="AQO5" s="93" t="s">
        <v>0</v>
      </c>
      <c r="AQP5" s="93" t="s">
        <v>1</v>
      </c>
      <c r="AQQ5" s="93" t="s">
        <v>2</v>
      </c>
      <c r="AQR5" s="93" t="s">
        <v>3</v>
      </c>
      <c r="AQS5" s="93" t="s">
        <v>8</v>
      </c>
      <c r="AQT5" s="93" t="s">
        <v>0</v>
      </c>
      <c r="AQU5" s="93" t="s">
        <v>1</v>
      </c>
      <c r="AQV5" s="93" t="s">
        <v>2</v>
      </c>
      <c r="AQW5" s="93" t="s">
        <v>3</v>
      </c>
      <c r="AQX5" s="93" t="s">
        <v>8</v>
      </c>
      <c r="AQY5" s="93" t="s">
        <v>0</v>
      </c>
      <c r="AQZ5" s="93" t="s">
        <v>1</v>
      </c>
      <c r="ARA5" s="93" t="s">
        <v>2</v>
      </c>
      <c r="ARB5" s="93" t="s">
        <v>3</v>
      </c>
      <c r="ARC5" s="93" t="s">
        <v>8</v>
      </c>
      <c r="ARD5" s="93" t="s">
        <v>0</v>
      </c>
      <c r="ARE5" s="93" t="s">
        <v>1</v>
      </c>
      <c r="ARF5" s="93" t="s">
        <v>2</v>
      </c>
      <c r="ARG5" s="93" t="s">
        <v>3</v>
      </c>
      <c r="ARH5" s="93" t="s">
        <v>8</v>
      </c>
      <c r="ARI5" s="93" t="s">
        <v>0</v>
      </c>
      <c r="ARJ5" s="93" t="s">
        <v>1</v>
      </c>
      <c r="ARK5" s="93" t="s">
        <v>2</v>
      </c>
      <c r="ARL5" s="93" t="s">
        <v>3</v>
      </c>
      <c r="ARM5" s="93" t="s">
        <v>8</v>
      </c>
      <c r="ARN5" s="93" t="s">
        <v>0</v>
      </c>
      <c r="ARO5" s="93" t="s">
        <v>1</v>
      </c>
      <c r="ARP5" s="93" t="s">
        <v>2</v>
      </c>
      <c r="ARQ5" s="93" t="s">
        <v>3</v>
      </c>
      <c r="ARR5" s="93" t="s">
        <v>8</v>
      </c>
      <c r="ARS5" s="93" t="s">
        <v>0</v>
      </c>
      <c r="ART5" s="93" t="s">
        <v>1</v>
      </c>
      <c r="ARU5" s="93" t="s">
        <v>2</v>
      </c>
      <c r="ARV5" s="93" t="s">
        <v>3</v>
      </c>
      <c r="ARW5" s="93" t="s">
        <v>8</v>
      </c>
      <c r="ARX5" s="93" t="s">
        <v>0</v>
      </c>
      <c r="ARY5" s="93" t="s">
        <v>1</v>
      </c>
      <c r="ARZ5" s="93" t="s">
        <v>2</v>
      </c>
      <c r="ASA5" s="93" t="s">
        <v>3</v>
      </c>
      <c r="ASB5" s="93" t="s">
        <v>8</v>
      </c>
      <c r="ASC5" s="93" t="s">
        <v>0</v>
      </c>
      <c r="ASD5" s="93" t="s">
        <v>1</v>
      </c>
      <c r="ASE5" s="93" t="s">
        <v>2</v>
      </c>
      <c r="ASF5" s="93" t="s">
        <v>3</v>
      </c>
      <c r="ASG5" s="93" t="s">
        <v>8</v>
      </c>
      <c r="ASH5" s="93" t="s">
        <v>0</v>
      </c>
      <c r="ASI5" s="93" t="s">
        <v>1</v>
      </c>
      <c r="ASJ5" s="93" t="s">
        <v>2</v>
      </c>
      <c r="ASK5" s="93" t="s">
        <v>3</v>
      </c>
      <c r="ASL5" s="93" t="s">
        <v>8</v>
      </c>
      <c r="ASM5" s="93" t="s">
        <v>0</v>
      </c>
      <c r="ASN5" s="93" t="s">
        <v>1</v>
      </c>
      <c r="ASO5" s="93" t="s">
        <v>2</v>
      </c>
      <c r="ASP5" s="93" t="s">
        <v>3</v>
      </c>
      <c r="ASQ5" s="93" t="s">
        <v>8</v>
      </c>
      <c r="ASR5" s="93" t="s">
        <v>0</v>
      </c>
      <c r="ASS5" s="93" t="s">
        <v>1</v>
      </c>
      <c r="AST5" s="93" t="s">
        <v>2</v>
      </c>
      <c r="ASU5" s="93" t="s">
        <v>3</v>
      </c>
      <c r="ASV5" s="93" t="s">
        <v>8</v>
      </c>
      <c r="ASW5" s="93" t="s">
        <v>0</v>
      </c>
      <c r="ASX5" s="93" t="s">
        <v>1</v>
      </c>
      <c r="ASY5" s="93" t="s">
        <v>2</v>
      </c>
      <c r="ASZ5" s="93" t="s">
        <v>3</v>
      </c>
      <c r="ATA5" s="93" t="s">
        <v>8</v>
      </c>
      <c r="ATB5" s="93" t="s">
        <v>0</v>
      </c>
      <c r="ATC5" s="93" t="s">
        <v>1</v>
      </c>
      <c r="ATD5" s="93" t="s">
        <v>2</v>
      </c>
      <c r="ATE5" s="93" t="s">
        <v>3</v>
      </c>
      <c r="ATF5" s="93" t="s">
        <v>8</v>
      </c>
      <c r="ATG5" s="93" t="s">
        <v>0</v>
      </c>
      <c r="ATH5" s="93" t="s">
        <v>1</v>
      </c>
      <c r="ATI5" s="93" t="s">
        <v>2</v>
      </c>
      <c r="ATJ5" s="93" t="s">
        <v>3</v>
      </c>
      <c r="ATK5" s="93" t="s">
        <v>8</v>
      </c>
      <c r="ATL5" s="93" t="s">
        <v>0</v>
      </c>
      <c r="ATM5" s="93" t="s">
        <v>1</v>
      </c>
      <c r="ATN5" s="93" t="s">
        <v>2</v>
      </c>
      <c r="ATO5" s="93" t="s">
        <v>3</v>
      </c>
      <c r="ATP5" s="93" t="s">
        <v>8</v>
      </c>
      <c r="ATQ5" s="93" t="s">
        <v>0</v>
      </c>
      <c r="ATR5" s="93" t="s">
        <v>1</v>
      </c>
      <c r="ATS5" s="93" t="s">
        <v>2</v>
      </c>
      <c r="ATT5" s="93" t="s">
        <v>3</v>
      </c>
      <c r="ATU5" s="93" t="s">
        <v>8</v>
      </c>
      <c r="ATV5" s="93" t="s">
        <v>0</v>
      </c>
      <c r="ATW5" s="93" t="s">
        <v>1</v>
      </c>
      <c r="ATX5" s="93" t="s">
        <v>2</v>
      </c>
      <c r="ATY5" s="93" t="s">
        <v>3</v>
      </c>
      <c r="ATZ5" s="93" t="s">
        <v>8</v>
      </c>
      <c r="AUA5" s="93" t="s">
        <v>0</v>
      </c>
      <c r="AUB5" s="93" t="s">
        <v>1</v>
      </c>
      <c r="AUC5" s="93" t="s">
        <v>2</v>
      </c>
      <c r="AUD5" s="93" t="s">
        <v>3</v>
      </c>
      <c r="AUE5" s="93" t="s">
        <v>8</v>
      </c>
      <c r="AUF5" s="93" t="s">
        <v>0</v>
      </c>
      <c r="AUG5" s="93" t="s">
        <v>1</v>
      </c>
      <c r="AUH5" s="93" t="s">
        <v>2</v>
      </c>
      <c r="AUI5" s="93" t="s">
        <v>3</v>
      </c>
      <c r="AUJ5" s="93" t="s">
        <v>8</v>
      </c>
      <c r="AUK5" s="93" t="s">
        <v>0</v>
      </c>
      <c r="AUL5" s="93" t="s">
        <v>1</v>
      </c>
      <c r="AUM5" s="93" t="s">
        <v>2</v>
      </c>
      <c r="AUN5" s="93" t="s">
        <v>3</v>
      </c>
      <c r="AUO5" s="93" t="s">
        <v>8</v>
      </c>
      <c r="AUP5" s="93" t="s">
        <v>0</v>
      </c>
      <c r="AUQ5" s="93" t="s">
        <v>1</v>
      </c>
      <c r="AUR5" s="93" t="s">
        <v>2</v>
      </c>
      <c r="AUS5" s="93" t="s">
        <v>3</v>
      </c>
      <c r="AUT5" s="93" t="s">
        <v>8</v>
      </c>
      <c r="AUU5" s="93" t="s">
        <v>0</v>
      </c>
      <c r="AUV5" s="93" t="s">
        <v>1</v>
      </c>
      <c r="AUW5" s="93" t="s">
        <v>2</v>
      </c>
      <c r="AUX5" s="93" t="s">
        <v>3</v>
      </c>
      <c r="AUY5" s="93" t="s">
        <v>8</v>
      </c>
      <c r="AUZ5" s="93" t="s">
        <v>0</v>
      </c>
      <c r="AVA5" s="93" t="s">
        <v>1</v>
      </c>
      <c r="AVB5" s="93" t="s">
        <v>2</v>
      </c>
      <c r="AVC5" s="93" t="s">
        <v>3</v>
      </c>
      <c r="AVD5" s="93" t="s">
        <v>8</v>
      </c>
      <c r="AVE5" s="93" t="s">
        <v>0</v>
      </c>
      <c r="AVF5" s="93" t="s">
        <v>1</v>
      </c>
      <c r="AVG5" s="93" t="s">
        <v>2</v>
      </c>
      <c r="AVH5" s="93" t="s">
        <v>3</v>
      </c>
      <c r="AVI5" s="93" t="s">
        <v>8</v>
      </c>
      <c r="AVJ5" s="93" t="s">
        <v>0</v>
      </c>
      <c r="AVK5" s="93" t="s">
        <v>1</v>
      </c>
      <c r="AVL5" s="93" t="s">
        <v>2</v>
      </c>
      <c r="AVM5" s="93" t="s">
        <v>3</v>
      </c>
      <c r="AVN5" s="93" t="s">
        <v>8</v>
      </c>
      <c r="AVO5" s="93" t="s">
        <v>0</v>
      </c>
      <c r="AVP5" s="93" t="s">
        <v>1</v>
      </c>
      <c r="AVQ5" s="93" t="s">
        <v>2</v>
      </c>
      <c r="AVR5" s="93" t="s">
        <v>3</v>
      </c>
      <c r="AVS5" s="93" t="s">
        <v>8</v>
      </c>
      <c r="AVT5" s="93" t="s">
        <v>0</v>
      </c>
      <c r="AVU5" s="93" t="s">
        <v>1</v>
      </c>
      <c r="AVV5" s="93" t="s">
        <v>2</v>
      </c>
      <c r="AVW5" s="93" t="s">
        <v>3</v>
      </c>
      <c r="AVX5" s="93" t="s">
        <v>8</v>
      </c>
      <c r="AVY5" s="93" t="s">
        <v>0</v>
      </c>
      <c r="AVZ5" s="93" t="s">
        <v>1</v>
      </c>
      <c r="AWA5" s="93" t="s">
        <v>2</v>
      </c>
      <c r="AWB5" s="93" t="s">
        <v>3</v>
      </c>
      <c r="AWC5" s="93" t="s">
        <v>8</v>
      </c>
      <c r="AWD5" s="93" t="s">
        <v>0</v>
      </c>
      <c r="AWE5" s="93" t="s">
        <v>1</v>
      </c>
      <c r="AWF5" s="93" t="s">
        <v>2</v>
      </c>
      <c r="AWG5" s="93" t="s">
        <v>3</v>
      </c>
      <c r="AWH5" s="93" t="s">
        <v>8</v>
      </c>
      <c r="AWI5" s="93" t="s">
        <v>0</v>
      </c>
      <c r="AWJ5" s="93" t="s">
        <v>1</v>
      </c>
      <c r="AWK5" s="93" t="s">
        <v>2</v>
      </c>
      <c r="AWL5" s="93" t="s">
        <v>3</v>
      </c>
      <c r="AWM5" s="93" t="s">
        <v>8</v>
      </c>
      <c r="AWN5" s="93" t="s">
        <v>0</v>
      </c>
      <c r="AWO5" s="93" t="s">
        <v>1</v>
      </c>
      <c r="AWP5" s="93" t="s">
        <v>2</v>
      </c>
      <c r="AWQ5" s="93" t="s">
        <v>3</v>
      </c>
      <c r="AWR5" s="93" t="s">
        <v>8</v>
      </c>
      <c r="AWS5" s="93" t="s">
        <v>0</v>
      </c>
      <c r="AWT5" s="93" t="s">
        <v>1</v>
      </c>
      <c r="AWU5" s="93" t="s">
        <v>2</v>
      </c>
      <c r="AWV5" s="93" t="s">
        <v>3</v>
      </c>
      <c r="AWW5" s="93" t="s">
        <v>8</v>
      </c>
      <c r="AWX5" s="93" t="s">
        <v>0</v>
      </c>
      <c r="AWY5" s="93" t="s">
        <v>1</v>
      </c>
      <c r="AWZ5" s="93" t="s">
        <v>2</v>
      </c>
      <c r="AXA5" s="93" t="s">
        <v>3</v>
      </c>
      <c r="AXB5" s="93" t="s">
        <v>8</v>
      </c>
      <c r="AXC5" s="93" t="s">
        <v>0</v>
      </c>
      <c r="AXD5" s="93" t="s">
        <v>1</v>
      </c>
      <c r="AXE5" s="93" t="s">
        <v>2</v>
      </c>
      <c r="AXF5" s="93" t="s">
        <v>3</v>
      </c>
      <c r="AXG5" s="93" t="s">
        <v>8</v>
      </c>
      <c r="AXH5" s="93" t="s">
        <v>0</v>
      </c>
      <c r="AXI5" s="93" t="s">
        <v>1</v>
      </c>
      <c r="AXJ5" s="93" t="s">
        <v>2</v>
      </c>
      <c r="AXK5" s="93" t="s">
        <v>3</v>
      </c>
      <c r="AXL5" s="93" t="s">
        <v>8</v>
      </c>
      <c r="AXM5" s="93" t="s">
        <v>0</v>
      </c>
      <c r="AXN5" s="93" t="s">
        <v>1</v>
      </c>
      <c r="AXO5" s="93" t="s">
        <v>2</v>
      </c>
      <c r="AXP5" s="93" t="s">
        <v>3</v>
      </c>
      <c r="AXQ5" s="93" t="s">
        <v>8</v>
      </c>
      <c r="AXR5" s="93" t="s">
        <v>0</v>
      </c>
      <c r="AXS5" s="93" t="s">
        <v>1</v>
      </c>
      <c r="AXT5" s="93" t="s">
        <v>2</v>
      </c>
      <c r="AXU5" s="93" t="s">
        <v>3</v>
      </c>
      <c r="AXV5" s="93" t="s">
        <v>8</v>
      </c>
      <c r="AXW5" s="93" t="s">
        <v>0</v>
      </c>
      <c r="AXX5" s="93" t="s">
        <v>1</v>
      </c>
      <c r="AXY5" s="93" t="s">
        <v>2</v>
      </c>
      <c r="AXZ5" s="93" t="s">
        <v>3</v>
      </c>
      <c r="AYA5" s="93" t="s">
        <v>8</v>
      </c>
      <c r="AYB5" s="93" t="s">
        <v>0</v>
      </c>
      <c r="AYC5" s="93" t="s">
        <v>1</v>
      </c>
      <c r="AYD5" s="93" t="s">
        <v>2</v>
      </c>
      <c r="AYE5" s="93" t="s">
        <v>3</v>
      </c>
      <c r="AYF5" s="93" t="s">
        <v>8</v>
      </c>
      <c r="AYG5" s="93" t="s">
        <v>0</v>
      </c>
      <c r="AYH5" s="93" t="s">
        <v>1</v>
      </c>
      <c r="AYI5" s="93" t="s">
        <v>2</v>
      </c>
      <c r="AYJ5" s="93" t="s">
        <v>3</v>
      </c>
      <c r="AYK5" s="93" t="s">
        <v>8</v>
      </c>
      <c r="AYL5" s="93" t="s">
        <v>0</v>
      </c>
      <c r="AYM5" s="93" t="s">
        <v>1</v>
      </c>
      <c r="AYN5" s="93" t="s">
        <v>2</v>
      </c>
      <c r="AYO5" s="93" t="s">
        <v>3</v>
      </c>
      <c r="AYP5" s="93" t="s">
        <v>8</v>
      </c>
      <c r="AYQ5" s="93" t="s">
        <v>0</v>
      </c>
      <c r="AYR5" s="93" t="s">
        <v>1</v>
      </c>
      <c r="AYS5" s="93" t="s">
        <v>2</v>
      </c>
      <c r="AYT5" s="93" t="s">
        <v>3</v>
      </c>
      <c r="AYU5" s="93" t="s">
        <v>8</v>
      </c>
      <c r="AYV5" s="93" t="s">
        <v>0</v>
      </c>
      <c r="AYW5" s="93" t="s">
        <v>1</v>
      </c>
      <c r="AYX5" s="93" t="s">
        <v>2</v>
      </c>
      <c r="AYY5" s="93" t="s">
        <v>3</v>
      </c>
      <c r="AYZ5" s="93" t="s">
        <v>8</v>
      </c>
      <c r="AZA5" s="93" t="s">
        <v>0</v>
      </c>
      <c r="AZB5" s="93" t="s">
        <v>1</v>
      </c>
      <c r="AZC5" s="93" t="s">
        <v>2</v>
      </c>
      <c r="AZD5" s="93" t="s">
        <v>3</v>
      </c>
      <c r="AZE5" s="93" t="s">
        <v>8</v>
      </c>
      <c r="AZF5" s="93" t="s">
        <v>0</v>
      </c>
      <c r="AZG5" s="93" t="s">
        <v>1</v>
      </c>
      <c r="AZH5" s="93" t="s">
        <v>2</v>
      </c>
      <c r="AZI5" s="93" t="s">
        <v>3</v>
      </c>
      <c r="AZJ5" s="93" t="s">
        <v>8</v>
      </c>
      <c r="AZK5" s="93" t="s">
        <v>0</v>
      </c>
      <c r="AZL5" s="93" t="s">
        <v>1</v>
      </c>
      <c r="AZM5" s="93" t="s">
        <v>2</v>
      </c>
      <c r="AZN5" s="93" t="s">
        <v>3</v>
      </c>
      <c r="AZO5" s="93" t="s">
        <v>8</v>
      </c>
      <c r="AZP5" s="93" t="s">
        <v>0</v>
      </c>
      <c r="AZQ5" s="93" t="s">
        <v>1</v>
      </c>
      <c r="AZR5" s="93" t="s">
        <v>2</v>
      </c>
      <c r="AZS5" s="93" t="s">
        <v>3</v>
      </c>
      <c r="AZT5" s="93" t="s">
        <v>8</v>
      </c>
      <c r="AZU5" s="93" t="s">
        <v>0</v>
      </c>
      <c r="AZV5" s="93" t="s">
        <v>1</v>
      </c>
      <c r="AZW5" s="93" t="s">
        <v>2</v>
      </c>
      <c r="AZX5" s="93" t="s">
        <v>3</v>
      </c>
      <c r="AZY5" s="93" t="s">
        <v>8</v>
      </c>
      <c r="AZZ5" s="93" t="s">
        <v>0</v>
      </c>
      <c r="BAA5" s="93" t="s">
        <v>1</v>
      </c>
      <c r="BAB5" s="93" t="s">
        <v>2</v>
      </c>
      <c r="BAC5" s="93" t="s">
        <v>3</v>
      </c>
      <c r="BAD5" s="93" t="s">
        <v>8</v>
      </c>
      <c r="BAE5" s="93" t="s">
        <v>0</v>
      </c>
      <c r="BAF5" s="93" t="s">
        <v>1</v>
      </c>
      <c r="BAG5" s="93" t="s">
        <v>2</v>
      </c>
      <c r="BAH5" s="93" t="s">
        <v>3</v>
      </c>
      <c r="BAI5" s="93" t="s">
        <v>8</v>
      </c>
      <c r="BAJ5" s="93" t="s">
        <v>0</v>
      </c>
      <c r="BAK5" s="93" t="s">
        <v>1</v>
      </c>
      <c r="BAL5" s="93" t="s">
        <v>2</v>
      </c>
      <c r="BAM5" s="93" t="s">
        <v>3</v>
      </c>
      <c r="BAN5" s="93" t="s">
        <v>8</v>
      </c>
      <c r="BAO5" s="93" t="s">
        <v>0</v>
      </c>
      <c r="BAP5" s="93" t="s">
        <v>1</v>
      </c>
      <c r="BAQ5" s="93" t="s">
        <v>2</v>
      </c>
      <c r="BAR5" s="93" t="s">
        <v>3</v>
      </c>
      <c r="BAS5" s="93" t="s">
        <v>8</v>
      </c>
      <c r="BAT5" s="93" t="s">
        <v>0</v>
      </c>
      <c r="BAU5" s="93" t="s">
        <v>1</v>
      </c>
      <c r="BAV5" s="93" t="s">
        <v>2</v>
      </c>
      <c r="BAW5" s="93" t="s">
        <v>3</v>
      </c>
      <c r="BAX5" s="93" t="s">
        <v>8</v>
      </c>
      <c r="BAY5" s="93" t="s">
        <v>0</v>
      </c>
      <c r="BAZ5" s="93" t="s">
        <v>1</v>
      </c>
      <c r="BBA5" s="93" t="s">
        <v>2</v>
      </c>
      <c r="BBB5" s="93" t="s">
        <v>3</v>
      </c>
      <c r="BBC5" s="93" t="s">
        <v>8</v>
      </c>
      <c r="BBD5" s="93" t="s">
        <v>0</v>
      </c>
      <c r="BBE5" s="93" t="s">
        <v>1</v>
      </c>
      <c r="BBF5" s="93" t="s">
        <v>2</v>
      </c>
      <c r="BBG5" s="93" t="s">
        <v>3</v>
      </c>
      <c r="BBH5" s="93" t="s">
        <v>8</v>
      </c>
      <c r="BBI5" s="93" t="s">
        <v>0</v>
      </c>
      <c r="BBJ5" s="93" t="s">
        <v>1</v>
      </c>
      <c r="BBK5" s="93" t="s">
        <v>2</v>
      </c>
      <c r="BBL5" s="93" t="s">
        <v>3</v>
      </c>
      <c r="BBM5" s="93" t="s">
        <v>8</v>
      </c>
      <c r="BBN5" s="93" t="s">
        <v>0</v>
      </c>
      <c r="BBO5" s="93" t="s">
        <v>1</v>
      </c>
      <c r="BBP5" s="93" t="s">
        <v>2</v>
      </c>
      <c r="BBQ5" s="93" t="s">
        <v>3</v>
      </c>
      <c r="BBR5" s="93" t="s">
        <v>8</v>
      </c>
      <c r="BBS5" s="93" t="s">
        <v>0</v>
      </c>
      <c r="BBT5" s="93" t="s">
        <v>1</v>
      </c>
      <c r="BBU5" s="93" t="s">
        <v>2</v>
      </c>
      <c r="BBV5" s="93" t="s">
        <v>3</v>
      </c>
      <c r="BBW5" s="93" t="s">
        <v>8</v>
      </c>
      <c r="BBX5" s="93" t="s">
        <v>0</v>
      </c>
      <c r="BBY5" s="93" t="s">
        <v>1</v>
      </c>
      <c r="BBZ5" s="93" t="s">
        <v>2</v>
      </c>
      <c r="BCA5" s="93" t="s">
        <v>3</v>
      </c>
      <c r="BCB5" s="93" t="s">
        <v>8</v>
      </c>
      <c r="BCC5" s="93" t="s">
        <v>0</v>
      </c>
      <c r="BCD5" s="93" t="s">
        <v>1</v>
      </c>
      <c r="BCE5" s="93" t="s">
        <v>2</v>
      </c>
      <c r="BCF5" s="93" t="s">
        <v>3</v>
      </c>
      <c r="BCG5" s="93" t="s">
        <v>8</v>
      </c>
      <c r="BCH5" s="93" t="s">
        <v>0</v>
      </c>
      <c r="BCI5" s="93" t="s">
        <v>1</v>
      </c>
      <c r="BCJ5" s="93" t="s">
        <v>2</v>
      </c>
      <c r="BCK5" s="93" t="s">
        <v>3</v>
      </c>
      <c r="BCL5" s="93" t="s">
        <v>8</v>
      </c>
      <c r="BCM5" s="93" t="s">
        <v>0</v>
      </c>
      <c r="BCN5" s="93" t="s">
        <v>1</v>
      </c>
      <c r="BCO5" s="93" t="s">
        <v>2</v>
      </c>
      <c r="BCP5" s="93" t="s">
        <v>3</v>
      </c>
      <c r="BCQ5" s="93" t="s">
        <v>8</v>
      </c>
      <c r="BCR5" s="93" t="s">
        <v>0</v>
      </c>
      <c r="BCS5" s="93" t="s">
        <v>1</v>
      </c>
      <c r="BCT5" s="93" t="s">
        <v>2</v>
      </c>
      <c r="BCU5" s="93" t="s">
        <v>3</v>
      </c>
      <c r="BCV5" s="93" t="s">
        <v>8</v>
      </c>
      <c r="BCW5" s="93" t="s">
        <v>0</v>
      </c>
      <c r="BCX5" s="93" t="s">
        <v>1</v>
      </c>
      <c r="BCY5" s="93" t="s">
        <v>2</v>
      </c>
      <c r="BCZ5" s="93" t="s">
        <v>3</v>
      </c>
      <c r="BDA5" s="93" t="s">
        <v>8</v>
      </c>
      <c r="BDB5" s="93" t="s">
        <v>0</v>
      </c>
      <c r="BDC5" s="93" t="s">
        <v>1</v>
      </c>
      <c r="BDD5" s="93" t="s">
        <v>2</v>
      </c>
      <c r="BDE5" s="93" t="s">
        <v>3</v>
      </c>
      <c r="BDF5" s="93" t="s">
        <v>8</v>
      </c>
      <c r="BDG5" s="93" t="s">
        <v>0</v>
      </c>
      <c r="BDH5" s="93" t="s">
        <v>1</v>
      </c>
      <c r="BDI5" s="93" t="s">
        <v>2</v>
      </c>
      <c r="BDJ5" s="93" t="s">
        <v>3</v>
      </c>
      <c r="BDK5" s="93" t="s">
        <v>8</v>
      </c>
      <c r="BDL5" s="93" t="s">
        <v>0</v>
      </c>
      <c r="BDM5" s="93" t="s">
        <v>1</v>
      </c>
      <c r="BDN5" s="93" t="s">
        <v>2</v>
      </c>
      <c r="BDO5" s="93" t="s">
        <v>3</v>
      </c>
      <c r="BDP5" s="93" t="s">
        <v>8</v>
      </c>
      <c r="BDQ5" s="93" t="s">
        <v>0</v>
      </c>
      <c r="BDR5" s="93" t="s">
        <v>1</v>
      </c>
      <c r="BDS5" s="93" t="s">
        <v>2</v>
      </c>
      <c r="BDT5" s="93" t="s">
        <v>3</v>
      </c>
      <c r="BDU5" s="93" t="s">
        <v>8</v>
      </c>
      <c r="BDV5" s="93" t="s">
        <v>0</v>
      </c>
      <c r="BDW5" s="93" t="s">
        <v>1</v>
      </c>
      <c r="BDX5" s="93" t="s">
        <v>2</v>
      </c>
      <c r="BDY5" s="93" t="s">
        <v>3</v>
      </c>
      <c r="BDZ5" s="93" t="s">
        <v>8</v>
      </c>
      <c r="BEA5" s="93" t="s">
        <v>0</v>
      </c>
      <c r="BEB5" s="93" t="s">
        <v>1</v>
      </c>
      <c r="BEC5" s="93" t="s">
        <v>2</v>
      </c>
      <c r="BED5" s="93" t="s">
        <v>3</v>
      </c>
      <c r="BEE5" s="93" t="s">
        <v>8</v>
      </c>
      <c r="BEF5" s="93" t="s">
        <v>0</v>
      </c>
      <c r="BEG5" s="93" t="s">
        <v>1</v>
      </c>
      <c r="BEH5" s="93" t="s">
        <v>2</v>
      </c>
      <c r="BEI5" s="93" t="s">
        <v>3</v>
      </c>
      <c r="BEJ5" s="93" t="s">
        <v>8</v>
      </c>
      <c r="BEK5" s="93" t="s">
        <v>0</v>
      </c>
      <c r="BEL5" s="93" t="s">
        <v>1</v>
      </c>
      <c r="BEM5" s="93" t="s">
        <v>2</v>
      </c>
      <c r="BEN5" s="93" t="s">
        <v>3</v>
      </c>
      <c r="BEO5" s="93" t="s">
        <v>8</v>
      </c>
      <c r="BEP5" s="93" t="s">
        <v>0</v>
      </c>
      <c r="BEQ5" s="93" t="s">
        <v>1</v>
      </c>
      <c r="BER5" s="93" t="s">
        <v>2</v>
      </c>
      <c r="BES5" s="93" t="s">
        <v>3</v>
      </c>
      <c r="BET5" s="93" t="s">
        <v>8</v>
      </c>
      <c r="BEU5" s="93" t="s">
        <v>0</v>
      </c>
      <c r="BEV5" s="93" t="s">
        <v>1</v>
      </c>
      <c r="BEW5" s="93" t="s">
        <v>2</v>
      </c>
      <c r="BEX5" s="93" t="s">
        <v>3</v>
      </c>
      <c r="BEY5" s="93" t="s">
        <v>8</v>
      </c>
      <c r="BEZ5" s="93" t="s">
        <v>0</v>
      </c>
      <c r="BFA5" s="93" t="s">
        <v>1</v>
      </c>
      <c r="BFB5" s="93" t="s">
        <v>2</v>
      </c>
      <c r="BFC5" s="93" t="s">
        <v>3</v>
      </c>
      <c r="BFD5" s="93" t="s">
        <v>8</v>
      </c>
      <c r="BFE5" s="93" t="s">
        <v>0</v>
      </c>
      <c r="BFF5" s="93" t="s">
        <v>1</v>
      </c>
      <c r="BFG5" s="93" t="s">
        <v>2</v>
      </c>
      <c r="BFH5" s="93" t="s">
        <v>3</v>
      </c>
      <c r="BFI5" s="93" t="s">
        <v>8</v>
      </c>
      <c r="BFJ5" s="93" t="s">
        <v>0</v>
      </c>
      <c r="BFK5" s="93" t="s">
        <v>1</v>
      </c>
      <c r="BFL5" s="93" t="s">
        <v>2</v>
      </c>
      <c r="BFM5" s="93" t="s">
        <v>3</v>
      </c>
      <c r="BFN5" s="93" t="s">
        <v>8</v>
      </c>
      <c r="BFO5" s="93" t="s">
        <v>0</v>
      </c>
      <c r="BFP5" s="93" t="s">
        <v>1</v>
      </c>
      <c r="BFQ5" s="93" t="s">
        <v>2</v>
      </c>
      <c r="BFR5" s="93" t="s">
        <v>3</v>
      </c>
      <c r="BFS5" s="93" t="s">
        <v>8</v>
      </c>
      <c r="BFT5" s="93" t="s">
        <v>0</v>
      </c>
      <c r="BFU5" s="93" t="s">
        <v>1</v>
      </c>
      <c r="BFV5" s="93" t="s">
        <v>2</v>
      </c>
      <c r="BFW5" s="93" t="s">
        <v>3</v>
      </c>
      <c r="BFX5" s="93" t="s">
        <v>8</v>
      </c>
      <c r="BFY5" s="93" t="s">
        <v>0</v>
      </c>
      <c r="BFZ5" s="93" t="s">
        <v>1</v>
      </c>
      <c r="BGA5" s="93" t="s">
        <v>2</v>
      </c>
      <c r="BGB5" s="93" t="s">
        <v>3</v>
      </c>
      <c r="BGC5" s="93" t="s">
        <v>8</v>
      </c>
      <c r="BGD5" s="93" t="s">
        <v>0</v>
      </c>
      <c r="BGE5" s="93" t="s">
        <v>1</v>
      </c>
      <c r="BGF5" s="93" t="s">
        <v>2</v>
      </c>
      <c r="BGG5" s="93" t="s">
        <v>3</v>
      </c>
      <c r="BGH5" s="93" t="s">
        <v>8</v>
      </c>
      <c r="BGI5" s="93" t="s">
        <v>0</v>
      </c>
      <c r="BGJ5" s="93" t="s">
        <v>1</v>
      </c>
      <c r="BGK5" s="93" t="s">
        <v>2</v>
      </c>
      <c r="BGL5" s="93" t="s">
        <v>3</v>
      </c>
      <c r="BGM5" s="93" t="s">
        <v>8</v>
      </c>
      <c r="BGN5" s="93" t="s">
        <v>0</v>
      </c>
      <c r="BGO5" s="93" t="s">
        <v>1</v>
      </c>
      <c r="BGP5" s="93" t="s">
        <v>2</v>
      </c>
      <c r="BGQ5" s="93" t="s">
        <v>3</v>
      </c>
      <c r="BGR5" s="93" t="s">
        <v>8</v>
      </c>
      <c r="BGS5" s="93" t="s">
        <v>0</v>
      </c>
      <c r="BGT5" s="93" t="s">
        <v>1</v>
      </c>
      <c r="BGU5" s="93" t="s">
        <v>2</v>
      </c>
      <c r="BGV5" s="93" t="s">
        <v>3</v>
      </c>
      <c r="BGW5" s="93" t="s">
        <v>8</v>
      </c>
      <c r="BGX5" s="93" t="s">
        <v>0</v>
      </c>
      <c r="BGY5" s="93" t="s">
        <v>1</v>
      </c>
      <c r="BGZ5" s="93" t="s">
        <v>2</v>
      </c>
      <c r="BHA5" s="93" t="s">
        <v>3</v>
      </c>
      <c r="BHB5" s="93" t="s">
        <v>8</v>
      </c>
      <c r="BHC5" s="93" t="s">
        <v>0</v>
      </c>
      <c r="BHD5" s="93" t="s">
        <v>1</v>
      </c>
      <c r="BHE5" s="93" t="s">
        <v>2</v>
      </c>
      <c r="BHF5" s="93" t="s">
        <v>3</v>
      </c>
      <c r="BHG5" s="93" t="s">
        <v>8</v>
      </c>
      <c r="BHH5" s="93" t="s">
        <v>0</v>
      </c>
      <c r="BHI5" s="93" t="s">
        <v>1</v>
      </c>
      <c r="BHJ5" s="93" t="s">
        <v>2</v>
      </c>
      <c r="BHK5" s="93" t="s">
        <v>3</v>
      </c>
      <c r="BHL5" s="93" t="s">
        <v>8</v>
      </c>
      <c r="BHM5" s="93" t="s">
        <v>0</v>
      </c>
      <c r="BHN5" s="93" t="s">
        <v>1</v>
      </c>
      <c r="BHO5" s="93" t="s">
        <v>2</v>
      </c>
      <c r="BHP5" s="93" t="s">
        <v>3</v>
      </c>
      <c r="BHQ5" s="93" t="s">
        <v>8</v>
      </c>
      <c r="BHR5" s="93" t="s">
        <v>0</v>
      </c>
      <c r="BHS5" s="93" t="s">
        <v>1</v>
      </c>
      <c r="BHT5" s="93" t="s">
        <v>2</v>
      </c>
      <c r="BHU5" s="93" t="s">
        <v>3</v>
      </c>
      <c r="BHV5" s="93" t="s">
        <v>8</v>
      </c>
      <c r="BHW5" s="93" t="s">
        <v>0</v>
      </c>
      <c r="BHX5" s="93" t="s">
        <v>1</v>
      </c>
      <c r="BHY5" s="93" t="s">
        <v>2</v>
      </c>
      <c r="BHZ5" s="93" t="s">
        <v>3</v>
      </c>
      <c r="BIA5" s="93" t="s">
        <v>8</v>
      </c>
      <c r="BIB5" s="93" t="s">
        <v>0</v>
      </c>
      <c r="BIC5" s="93" t="s">
        <v>1</v>
      </c>
      <c r="BID5" s="93" t="s">
        <v>2</v>
      </c>
      <c r="BIE5" s="93" t="s">
        <v>3</v>
      </c>
      <c r="BIF5" s="93" t="s">
        <v>8</v>
      </c>
      <c r="BIG5" s="93" t="s">
        <v>0</v>
      </c>
      <c r="BIH5" s="93" t="s">
        <v>1</v>
      </c>
      <c r="BII5" s="93" t="s">
        <v>2</v>
      </c>
      <c r="BIJ5" s="93" t="s">
        <v>3</v>
      </c>
      <c r="BIK5" s="93" t="s">
        <v>8</v>
      </c>
      <c r="BIL5" s="93" t="s">
        <v>0</v>
      </c>
      <c r="BIM5" s="93" t="s">
        <v>1</v>
      </c>
      <c r="BIN5" s="93" t="s">
        <v>2</v>
      </c>
      <c r="BIO5" s="93" t="s">
        <v>3</v>
      </c>
      <c r="BIP5" s="93" t="s">
        <v>8</v>
      </c>
      <c r="BIQ5" s="93" t="s">
        <v>0</v>
      </c>
      <c r="BIR5" s="93" t="s">
        <v>1</v>
      </c>
      <c r="BIS5" s="93" t="s">
        <v>2</v>
      </c>
      <c r="BIT5" s="93" t="s">
        <v>3</v>
      </c>
      <c r="BIU5" s="93" t="s">
        <v>8</v>
      </c>
      <c r="BIV5" s="93" t="s">
        <v>0</v>
      </c>
      <c r="BIW5" s="93" t="s">
        <v>1</v>
      </c>
      <c r="BIX5" s="93" t="s">
        <v>2</v>
      </c>
      <c r="BIY5" s="93" t="s">
        <v>3</v>
      </c>
      <c r="BIZ5" s="93" t="s">
        <v>8</v>
      </c>
      <c r="BJA5" s="93" t="s">
        <v>0</v>
      </c>
      <c r="BJB5" s="93" t="s">
        <v>1</v>
      </c>
      <c r="BJC5" s="93" t="s">
        <v>2</v>
      </c>
      <c r="BJD5" s="93" t="s">
        <v>3</v>
      </c>
      <c r="BJE5" s="93" t="s">
        <v>8</v>
      </c>
      <c r="BJF5" s="93" t="s">
        <v>0</v>
      </c>
      <c r="BJG5" s="93" t="s">
        <v>1</v>
      </c>
      <c r="BJH5" s="93" t="s">
        <v>2</v>
      </c>
      <c r="BJI5" s="93" t="s">
        <v>3</v>
      </c>
      <c r="BJJ5" s="93" t="s">
        <v>8</v>
      </c>
      <c r="BJK5" s="93" t="s">
        <v>0</v>
      </c>
      <c r="BJL5" s="93" t="s">
        <v>1</v>
      </c>
      <c r="BJM5" s="93" t="s">
        <v>2</v>
      </c>
      <c r="BJN5" s="93" t="s">
        <v>3</v>
      </c>
      <c r="BJO5" s="93" t="s">
        <v>8</v>
      </c>
      <c r="BJP5" s="93" t="s">
        <v>0</v>
      </c>
      <c r="BJQ5" s="93" t="s">
        <v>1</v>
      </c>
      <c r="BJR5" s="93" t="s">
        <v>2</v>
      </c>
      <c r="BJS5" s="93" t="s">
        <v>3</v>
      </c>
      <c r="BJT5" s="93" t="s">
        <v>8</v>
      </c>
      <c r="BJU5" s="93" t="s">
        <v>0</v>
      </c>
      <c r="BJV5" s="93" t="s">
        <v>1</v>
      </c>
      <c r="BJW5" s="93" t="s">
        <v>2</v>
      </c>
      <c r="BJX5" s="93" t="s">
        <v>3</v>
      </c>
      <c r="BJY5" s="93" t="s">
        <v>8</v>
      </c>
      <c r="BJZ5" s="93" t="s">
        <v>0</v>
      </c>
      <c r="BKA5" s="93" t="s">
        <v>1</v>
      </c>
      <c r="BKB5" s="93" t="s">
        <v>2</v>
      </c>
      <c r="BKC5" s="93" t="s">
        <v>3</v>
      </c>
      <c r="BKD5" s="93" t="s">
        <v>8</v>
      </c>
      <c r="BKE5" s="93" t="s">
        <v>0</v>
      </c>
      <c r="BKF5" s="93" t="s">
        <v>1</v>
      </c>
      <c r="BKG5" s="93" t="s">
        <v>2</v>
      </c>
      <c r="BKH5" s="93" t="s">
        <v>3</v>
      </c>
      <c r="BKI5" s="93" t="s">
        <v>8</v>
      </c>
      <c r="BKJ5" s="93" t="s">
        <v>0</v>
      </c>
      <c r="BKK5" s="93" t="s">
        <v>1</v>
      </c>
      <c r="BKL5" s="93" t="s">
        <v>137</v>
      </c>
      <c r="BKM5" s="93" t="s">
        <v>8</v>
      </c>
      <c r="BKN5" s="93" t="s">
        <v>0</v>
      </c>
      <c r="BKO5" s="93" t="s">
        <v>1</v>
      </c>
      <c r="BKP5" s="93" t="s">
        <v>137</v>
      </c>
      <c r="BKQ5" s="93" t="s">
        <v>8</v>
      </c>
      <c r="BKR5" s="93" t="s">
        <v>0</v>
      </c>
      <c r="BKS5" s="93" t="s">
        <v>1</v>
      </c>
      <c r="BKT5" s="93" t="s">
        <v>137</v>
      </c>
      <c r="BKU5" s="93" t="s">
        <v>8</v>
      </c>
      <c r="BKV5" s="93" t="s">
        <v>0</v>
      </c>
      <c r="BKW5" s="93" t="s">
        <v>1</v>
      </c>
      <c r="BKX5" s="93" t="s">
        <v>137</v>
      </c>
      <c r="BKY5" s="93" t="s">
        <v>8</v>
      </c>
      <c r="BKZ5" s="93" t="s">
        <v>0</v>
      </c>
      <c r="BLA5" s="93" t="s">
        <v>1</v>
      </c>
      <c r="BLB5" s="93" t="s">
        <v>137</v>
      </c>
      <c r="BLC5" s="93" t="s">
        <v>8</v>
      </c>
      <c r="BLD5" s="93" t="s">
        <v>0</v>
      </c>
      <c r="BLE5" s="93" t="s">
        <v>1</v>
      </c>
      <c r="BLF5" s="93" t="s">
        <v>137</v>
      </c>
      <c r="BLG5" s="93" t="s">
        <v>8</v>
      </c>
      <c r="BLH5" s="93" t="s">
        <v>0</v>
      </c>
      <c r="BLI5" s="93" t="s">
        <v>1</v>
      </c>
      <c r="BLJ5" s="93" t="s">
        <v>2</v>
      </c>
      <c r="BLK5" s="93" t="s">
        <v>3</v>
      </c>
      <c r="BLL5" s="93" t="s">
        <v>8</v>
      </c>
      <c r="BLM5" s="93" t="s">
        <v>0</v>
      </c>
      <c r="BLN5" s="93" t="s">
        <v>1</v>
      </c>
      <c r="BLO5" s="93" t="s">
        <v>2</v>
      </c>
      <c r="BLP5" s="93" t="s">
        <v>3</v>
      </c>
      <c r="BLQ5" s="93" t="s">
        <v>8</v>
      </c>
      <c r="BLR5" s="93" t="s">
        <v>0</v>
      </c>
      <c r="BLS5" s="93" t="s">
        <v>1</v>
      </c>
      <c r="BLT5" s="93" t="s">
        <v>2</v>
      </c>
      <c r="BLU5" s="93" t="s">
        <v>3</v>
      </c>
      <c r="BLV5" s="93" t="s">
        <v>8</v>
      </c>
      <c r="BLW5" s="93" t="s">
        <v>0</v>
      </c>
      <c r="BLX5" s="93" t="s">
        <v>1</v>
      </c>
      <c r="BLY5" s="93" t="s">
        <v>2</v>
      </c>
      <c r="BLZ5" s="93" t="s">
        <v>3</v>
      </c>
      <c r="BMA5" s="93" t="s">
        <v>8</v>
      </c>
      <c r="BMB5" s="93" t="s">
        <v>0</v>
      </c>
      <c r="BMC5" s="93" t="s">
        <v>1</v>
      </c>
      <c r="BMD5" s="93" t="s">
        <v>2</v>
      </c>
      <c r="BME5" s="93" t="s">
        <v>3</v>
      </c>
    </row>
    <row r="6" spans="1:1713" s="82" customFormat="1" ht="55.5" customHeight="1" x14ac:dyDescent="0.35">
      <c r="B6" s="81"/>
      <c r="C6" s="81"/>
      <c r="J6" s="83"/>
      <c r="L6" s="84"/>
      <c r="N6" s="84"/>
      <c r="X6" s="206" t="s">
        <v>105</v>
      </c>
      <c r="Y6" s="207"/>
      <c r="Z6" s="207"/>
      <c r="AA6" s="207"/>
      <c r="AB6" s="207"/>
      <c r="AC6" s="207"/>
      <c r="AD6" s="207"/>
      <c r="AE6" s="207"/>
      <c r="AF6" s="207"/>
      <c r="AG6" s="207"/>
      <c r="AH6" s="207"/>
      <c r="AI6" s="207"/>
      <c r="AJ6" s="207"/>
      <c r="AK6" s="207"/>
      <c r="AL6" s="207"/>
      <c r="AM6" s="207"/>
      <c r="AN6" s="207"/>
      <c r="AO6" s="207"/>
      <c r="AP6" s="207"/>
      <c r="AQ6" s="207"/>
      <c r="AR6" s="207"/>
      <c r="AS6" s="207"/>
      <c r="AT6" s="207"/>
      <c r="AU6" s="207"/>
      <c r="AV6" s="207"/>
      <c r="AW6" s="207"/>
      <c r="AX6" s="207"/>
      <c r="AY6" s="207"/>
      <c r="AZ6" s="208" t="s">
        <v>106</v>
      </c>
      <c r="BA6" s="209"/>
      <c r="BB6" s="209"/>
      <c r="BC6" s="209"/>
      <c r="BD6" s="209"/>
      <c r="BE6" s="209"/>
      <c r="BF6" s="209"/>
      <c r="BG6" s="209"/>
      <c r="BH6" s="209"/>
      <c r="BI6" s="209"/>
      <c r="BJ6" s="209"/>
      <c r="BK6" s="209"/>
      <c r="BL6" s="209"/>
      <c r="BM6" s="209"/>
      <c r="BN6" s="230" t="s">
        <v>107</v>
      </c>
      <c r="BO6" s="230"/>
      <c r="BP6" s="230"/>
      <c r="BQ6" s="230"/>
      <c r="BR6" s="230"/>
      <c r="BS6" s="207"/>
      <c r="BT6" s="207"/>
      <c r="BU6" s="207"/>
      <c r="BV6" s="207"/>
      <c r="BW6" s="207"/>
      <c r="BX6" s="207"/>
      <c r="BY6" s="207"/>
      <c r="BZ6" s="207"/>
      <c r="CA6" s="207"/>
      <c r="CB6" s="207"/>
      <c r="CC6" s="207"/>
      <c r="CD6" s="207"/>
      <c r="CE6" s="207"/>
      <c r="CF6" s="207"/>
      <c r="CG6" s="207"/>
      <c r="CH6" s="207"/>
      <c r="CI6" s="207"/>
      <c r="CJ6" s="207"/>
      <c r="CK6" s="207"/>
      <c r="CL6" s="207"/>
      <c r="CM6" s="231" t="s">
        <v>1912</v>
      </c>
      <c r="CN6" s="231"/>
      <c r="CO6" s="231"/>
      <c r="CP6" s="209"/>
      <c r="CQ6" s="209"/>
      <c r="CR6" s="230" t="s">
        <v>109</v>
      </c>
      <c r="CS6" s="230"/>
      <c r="CT6" s="230"/>
      <c r="CU6" s="230"/>
      <c r="CV6" s="230"/>
      <c r="CW6" s="230"/>
      <c r="CX6" s="207"/>
      <c r="CY6" s="207"/>
      <c r="CZ6" s="207"/>
      <c r="DA6" s="207"/>
      <c r="DB6" s="207"/>
      <c r="DC6" s="207"/>
      <c r="DD6" s="207"/>
      <c r="DE6" s="207"/>
      <c r="DF6" s="207"/>
      <c r="DG6" s="207"/>
      <c r="DH6" s="207"/>
      <c r="DI6" s="207"/>
      <c r="DJ6" s="207"/>
      <c r="DK6" s="207"/>
      <c r="DL6" s="231" t="s">
        <v>111</v>
      </c>
      <c r="DM6" s="231"/>
      <c r="DN6" s="231"/>
      <c r="DO6" s="231"/>
      <c r="DP6" s="231"/>
      <c r="DQ6" s="209"/>
      <c r="DR6" s="209"/>
      <c r="DS6" s="209"/>
      <c r="DT6" s="209"/>
      <c r="DU6" s="209"/>
      <c r="DV6" s="209"/>
      <c r="DW6" s="209"/>
      <c r="DX6" s="209"/>
      <c r="DY6" s="209"/>
      <c r="DZ6" s="209"/>
      <c r="EA6" s="209"/>
      <c r="EB6" s="209"/>
      <c r="EC6" s="209"/>
      <c r="ED6" s="209"/>
      <c r="EE6" s="209"/>
      <c r="EF6" s="209"/>
      <c r="EG6" s="209"/>
      <c r="EH6" s="209"/>
      <c r="EI6" s="209"/>
      <c r="EJ6" s="209"/>
      <c r="EK6" s="230" t="s">
        <v>112</v>
      </c>
      <c r="EL6" s="230"/>
      <c r="EM6" s="230"/>
      <c r="EN6" s="207"/>
      <c r="EO6" s="207"/>
      <c r="EP6" s="207"/>
      <c r="EQ6" s="207"/>
      <c r="ER6" s="207"/>
      <c r="ES6" s="207"/>
      <c r="ET6" s="207"/>
      <c r="EU6" s="207"/>
      <c r="EV6" s="207"/>
      <c r="EW6" s="207"/>
      <c r="EX6" s="207"/>
      <c r="EY6" s="207"/>
      <c r="EZ6" s="207"/>
      <c r="FA6" s="207"/>
      <c r="FB6" s="207"/>
      <c r="FC6" s="207"/>
      <c r="FD6" s="207"/>
      <c r="FE6" s="207"/>
      <c r="FF6" s="207"/>
      <c r="FG6" s="207"/>
      <c r="FH6" s="207"/>
      <c r="FI6" s="207"/>
      <c r="FJ6" s="207"/>
      <c r="FK6" s="207"/>
      <c r="FL6" s="207"/>
      <c r="FM6" s="207"/>
      <c r="FN6" s="207"/>
      <c r="FO6" s="231" t="s">
        <v>60</v>
      </c>
      <c r="FP6" s="231"/>
      <c r="FQ6" s="231"/>
      <c r="FR6" s="231"/>
      <c r="FS6" s="210"/>
      <c r="FT6" s="210"/>
      <c r="FU6" s="210"/>
      <c r="FV6" s="210"/>
      <c r="FW6" s="210"/>
      <c r="FX6" s="210"/>
      <c r="FY6" s="210"/>
      <c r="FZ6" s="210"/>
      <c r="GA6" s="210"/>
      <c r="GB6" s="210"/>
      <c r="GC6" s="210"/>
      <c r="GD6" s="210"/>
      <c r="GE6" s="210"/>
      <c r="GF6" s="210"/>
      <c r="GG6" s="210"/>
      <c r="GH6" s="210"/>
      <c r="GI6" s="210"/>
      <c r="GJ6" s="210"/>
      <c r="GK6" s="210"/>
      <c r="GL6" s="210"/>
      <c r="GM6" s="210"/>
      <c r="GN6" s="210"/>
      <c r="GO6" s="210"/>
      <c r="GP6" s="210"/>
      <c r="GQ6" s="210"/>
      <c r="GR6" s="210"/>
      <c r="GS6" s="210"/>
      <c r="GT6" s="210"/>
      <c r="GU6" s="230" t="s">
        <v>61</v>
      </c>
      <c r="GV6" s="230"/>
      <c r="GW6" s="230"/>
      <c r="GX6" s="230"/>
      <c r="GY6" s="211"/>
      <c r="GZ6" s="211"/>
      <c r="HA6" s="211"/>
      <c r="HB6" s="211"/>
      <c r="HC6" s="211"/>
      <c r="HD6" s="211"/>
      <c r="HE6" s="211"/>
      <c r="HF6" s="211"/>
      <c r="HG6" s="211"/>
      <c r="HH6" s="211"/>
      <c r="HI6" s="211"/>
      <c r="HJ6" s="211"/>
      <c r="HK6" s="211"/>
      <c r="HL6" s="211"/>
      <c r="HM6" s="211"/>
      <c r="HN6" s="211"/>
      <c r="HO6" s="211"/>
      <c r="HP6" s="211"/>
      <c r="HQ6" s="211"/>
      <c r="HR6" s="207"/>
      <c r="HS6" s="207"/>
      <c r="HT6" s="207"/>
      <c r="HU6" s="207"/>
      <c r="HV6" s="207"/>
      <c r="HW6" s="207"/>
      <c r="HX6" s="207"/>
      <c r="HY6" s="207"/>
      <c r="HZ6" s="207"/>
      <c r="IA6" s="231" t="s">
        <v>113</v>
      </c>
      <c r="IB6" s="231"/>
      <c r="IC6" s="231"/>
      <c r="ID6" s="231"/>
      <c r="IE6" s="231"/>
      <c r="IF6" s="209"/>
      <c r="IG6" s="209"/>
      <c r="IH6" s="209"/>
      <c r="II6" s="209"/>
      <c r="IJ6" s="209"/>
      <c r="IK6" s="209"/>
      <c r="IL6" s="209"/>
      <c r="IM6" s="209"/>
      <c r="IN6" s="209"/>
      <c r="IO6" s="209"/>
      <c r="IP6" s="209"/>
      <c r="IQ6" s="209"/>
      <c r="IR6" s="209"/>
      <c r="IS6" s="209"/>
      <c r="IT6" s="209"/>
      <c r="IU6" s="209"/>
      <c r="IV6" s="209"/>
      <c r="IW6" s="209"/>
      <c r="IX6" s="209"/>
      <c r="IY6" s="209"/>
      <c r="IZ6" s="209"/>
      <c r="JA6" s="209"/>
      <c r="JB6" s="209"/>
      <c r="JC6" s="209"/>
      <c r="JD6" s="209"/>
      <c r="JE6" s="209"/>
      <c r="JF6" s="209"/>
      <c r="JG6" s="209"/>
      <c r="JH6" s="209"/>
      <c r="JI6" s="209"/>
      <c r="JJ6" s="209"/>
      <c r="JK6" s="209"/>
      <c r="JL6" s="209"/>
      <c r="JM6" s="209"/>
      <c r="JN6" s="209"/>
      <c r="JO6" s="230" t="s">
        <v>114</v>
      </c>
      <c r="JP6" s="230"/>
      <c r="JQ6" s="230"/>
      <c r="JR6" s="230"/>
      <c r="JS6" s="230"/>
      <c r="JT6" s="207"/>
      <c r="JU6" s="207"/>
      <c r="JV6" s="207"/>
      <c r="JW6" s="207"/>
      <c r="JX6" s="207"/>
      <c r="JY6" s="207"/>
      <c r="JZ6" s="207"/>
      <c r="KA6" s="207"/>
      <c r="KB6" s="207"/>
      <c r="KC6" s="207"/>
      <c r="KD6" s="207"/>
      <c r="KE6" s="207"/>
      <c r="KF6" s="207"/>
      <c r="KG6" s="207"/>
      <c r="KH6" s="207"/>
      <c r="KI6" s="207"/>
      <c r="KJ6" s="207"/>
      <c r="KK6" s="207"/>
      <c r="KL6" s="207"/>
      <c r="KM6" s="207"/>
      <c r="KN6" s="207"/>
      <c r="KO6" s="207"/>
      <c r="KP6" s="207"/>
      <c r="KQ6" s="207"/>
      <c r="KR6" s="207"/>
      <c r="KS6" s="207"/>
      <c r="KT6" s="207"/>
      <c r="KU6" s="207"/>
      <c r="KV6" s="207"/>
      <c r="KW6" s="207"/>
      <c r="KX6" s="207"/>
      <c r="KY6" s="207"/>
      <c r="KZ6" s="207"/>
      <c r="LA6" s="207"/>
      <c r="LB6" s="207"/>
      <c r="LC6" s="207"/>
      <c r="LD6" s="207"/>
      <c r="LE6" s="207"/>
      <c r="LF6" s="207"/>
      <c r="LG6" s="207"/>
      <c r="LH6" s="207"/>
      <c r="LI6" s="207"/>
      <c r="LJ6" s="207"/>
      <c r="LK6" s="207"/>
      <c r="LL6" s="207"/>
      <c r="LM6" s="207"/>
      <c r="LN6" s="207"/>
      <c r="LO6" s="207"/>
      <c r="LP6" s="207"/>
      <c r="LQ6" s="207"/>
      <c r="LR6" s="207"/>
      <c r="LS6" s="209" t="s">
        <v>115</v>
      </c>
      <c r="LT6" s="209"/>
      <c r="LU6" s="209"/>
      <c r="LV6" s="209"/>
      <c r="LW6" s="209"/>
      <c r="LX6" s="209"/>
      <c r="LY6" s="209"/>
      <c r="LZ6" s="209"/>
      <c r="MA6" s="209"/>
      <c r="MB6" s="209"/>
      <c r="MC6" s="209"/>
      <c r="MD6" s="209"/>
      <c r="ME6" s="209"/>
      <c r="MF6" s="209"/>
      <c r="MG6" s="209"/>
      <c r="MH6" s="209"/>
      <c r="MI6" s="209"/>
      <c r="MJ6" s="209"/>
      <c r="MK6" s="209"/>
      <c r="ML6" s="209"/>
      <c r="MM6" s="209"/>
      <c r="MN6" s="209"/>
      <c r="MO6" s="209"/>
      <c r="MP6" s="209"/>
      <c r="MQ6" s="209"/>
      <c r="MR6" s="209"/>
      <c r="MS6" s="209"/>
      <c r="MT6" s="209"/>
      <c r="MU6" s="209"/>
      <c r="MV6" s="209"/>
      <c r="MW6" s="209"/>
      <c r="MX6" s="209"/>
      <c r="MY6" s="209"/>
      <c r="MZ6" s="209"/>
      <c r="NA6" s="209"/>
      <c r="NB6" s="209"/>
      <c r="NC6" s="209"/>
      <c r="ND6" s="209"/>
      <c r="NE6" s="209"/>
      <c r="NF6" s="209"/>
      <c r="NG6" s="209"/>
      <c r="NH6" s="209"/>
      <c r="NI6" s="209"/>
      <c r="NJ6" s="209"/>
      <c r="NK6" s="209"/>
      <c r="NL6" s="209"/>
      <c r="NM6" s="209"/>
      <c r="NN6" s="209"/>
      <c r="NO6" s="209"/>
      <c r="NP6" s="209"/>
      <c r="NQ6" s="209"/>
      <c r="NR6" s="209"/>
      <c r="NS6" s="209"/>
      <c r="NT6" s="209"/>
      <c r="NU6" s="209"/>
      <c r="NV6" s="209"/>
      <c r="NW6" s="209"/>
      <c r="NX6" s="209"/>
      <c r="NY6" s="209"/>
      <c r="NZ6" s="209"/>
      <c r="OA6" s="207" t="s">
        <v>63</v>
      </c>
      <c r="OB6" s="207"/>
      <c r="OC6" s="207"/>
      <c r="OD6" s="207"/>
      <c r="OE6" s="207"/>
      <c r="OF6" s="207"/>
      <c r="OG6" s="207"/>
      <c r="OH6" s="207"/>
      <c r="OI6" s="207"/>
      <c r="OJ6" s="207"/>
      <c r="OK6" s="207"/>
      <c r="OL6" s="207"/>
      <c r="OM6" s="207"/>
      <c r="ON6" s="207"/>
      <c r="OO6" s="207"/>
      <c r="OP6" s="207"/>
      <c r="OQ6" s="207"/>
      <c r="OR6" s="207"/>
      <c r="OS6" s="207"/>
      <c r="OT6" s="207"/>
      <c r="OU6" s="207"/>
      <c r="OV6" s="207"/>
      <c r="OW6" s="207"/>
      <c r="OX6" s="207"/>
      <c r="OY6" s="207"/>
      <c r="OZ6" s="207"/>
      <c r="PA6" s="207"/>
      <c r="PB6" s="207"/>
      <c r="PC6" s="207"/>
      <c r="PD6" s="207"/>
      <c r="PE6" s="207"/>
      <c r="PF6" s="207"/>
      <c r="PG6" s="207"/>
      <c r="PH6" s="207"/>
      <c r="PI6" s="207"/>
      <c r="PJ6" s="207"/>
      <c r="PK6" s="207"/>
      <c r="PL6" s="207"/>
      <c r="PM6" s="207"/>
      <c r="PN6" s="207"/>
      <c r="PO6" s="207"/>
      <c r="PP6" s="207"/>
      <c r="PQ6" s="207"/>
      <c r="PR6" s="207"/>
      <c r="PS6" s="207"/>
      <c r="PT6" s="231" t="s">
        <v>64</v>
      </c>
      <c r="PU6" s="231"/>
      <c r="PV6" s="209"/>
      <c r="PW6" s="209"/>
      <c r="PX6" s="209"/>
      <c r="PY6" s="209"/>
      <c r="PZ6" s="209"/>
      <c r="QA6" s="209"/>
      <c r="QB6" s="209"/>
      <c r="QC6" s="209"/>
      <c r="QD6" s="209"/>
      <c r="QE6" s="209"/>
      <c r="QF6" s="209"/>
      <c r="QG6" s="209"/>
      <c r="QH6" s="209"/>
      <c r="QI6" s="209"/>
      <c r="QJ6" s="209"/>
      <c r="QK6" s="209"/>
      <c r="QL6" s="209"/>
      <c r="QM6" s="209"/>
      <c r="QN6" s="209"/>
      <c r="QO6" s="209"/>
      <c r="QP6" s="209"/>
      <c r="QQ6" s="209"/>
      <c r="QR6" s="209"/>
      <c r="QS6" s="230" t="s">
        <v>117</v>
      </c>
      <c r="QT6" s="230"/>
      <c r="QU6" s="230"/>
      <c r="QV6" s="230"/>
      <c r="QW6" s="230"/>
      <c r="QX6" s="230"/>
      <c r="QY6" s="207"/>
      <c r="QZ6" s="207"/>
      <c r="RA6" s="207"/>
      <c r="RB6" s="207"/>
      <c r="RC6" s="207"/>
      <c r="RD6" s="207"/>
      <c r="RE6" s="207"/>
      <c r="RF6" s="207"/>
      <c r="RG6" s="207"/>
      <c r="RH6" s="207"/>
      <c r="RI6" s="207"/>
      <c r="RJ6" s="207"/>
      <c r="RK6" s="207"/>
      <c r="RL6" s="207"/>
      <c r="RM6" s="207"/>
      <c r="RN6" s="207"/>
      <c r="RO6" s="207"/>
      <c r="RP6" s="207"/>
      <c r="RQ6" s="207"/>
      <c r="RR6" s="207"/>
      <c r="RS6" s="207"/>
      <c r="RT6" s="207"/>
      <c r="RU6" s="207"/>
      <c r="RV6" s="207"/>
      <c r="RW6" s="207"/>
      <c r="RX6" s="207"/>
      <c r="RY6" s="207"/>
      <c r="RZ6" s="207"/>
      <c r="SA6" s="207"/>
      <c r="SB6" s="207"/>
      <c r="SC6" s="207"/>
      <c r="SD6" s="207"/>
      <c r="SE6" s="207"/>
      <c r="SF6" s="207"/>
      <c r="SG6" s="231" t="s">
        <v>118</v>
      </c>
      <c r="SH6" s="231"/>
      <c r="SI6" s="231"/>
      <c r="SJ6" s="231"/>
      <c r="SK6" s="231"/>
      <c r="SL6" s="231"/>
      <c r="SM6" s="209"/>
      <c r="SN6" s="209"/>
      <c r="SO6" s="209"/>
      <c r="SP6" s="209"/>
      <c r="SQ6" s="209"/>
      <c r="SR6" s="209"/>
      <c r="SS6" s="209"/>
      <c r="ST6" s="209"/>
      <c r="SU6" s="209"/>
      <c r="SV6" s="209"/>
      <c r="SW6" s="209"/>
      <c r="SX6" s="209"/>
      <c r="SY6" s="209"/>
      <c r="SZ6" s="209"/>
      <c r="TA6" s="209"/>
      <c r="TB6" s="209"/>
      <c r="TC6" s="209"/>
      <c r="TD6" s="209"/>
      <c r="TE6" s="209"/>
      <c r="TF6" s="209"/>
      <c r="TG6" s="209"/>
      <c r="TH6" s="209"/>
      <c r="TI6" s="209"/>
      <c r="TJ6" s="209"/>
      <c r="TK6" s="209"/>
      <c r="TL6" s="209"/>
      <c r="TM6" s="209"/>
      <c r="TN6" s="209"/>
      <c r="TO6" s="209"/>
      <c r="TP6" s="209"/>
      <c r="TQ6" s="209"/>
      <c r="TR6" s="209"/>
      <c r="TS6" s="209"/>
      <c r="TT6" s="209"/>
      <c r="TU6" s="230" t="s">
        <v>119</v>
      </c>
      <c r="TV6" s="230"/>
      <c r="TW6" s="230"/>
      <c r="TX6" s="230"/>
      <c r="TY6" s="230"/>
      <c r="TZ6" s="207"/>
      <c r="UA6" s="207"/>
      <c r="UB6" s="207"/>
      <c r="UC6" s="207"/>
      <c r="UD6" s="207"/>
      <c r="UE6" s="207"/>
      <c r="UF6" s="207"/>
      <c r="UG6" s="207"/>
      <c r="UH6" s="207"/>
      <c r="UI6" s="207"/>
      <c r="UJ6" s="207"/>
      <c r="UK6" s="207"/>
      <c r="UL6" s="207"/>
      <c r="UM6" s="207"/>
      <c r="UN6" s="207"/>
      <c r="UO6" s="207"/>
      <c r="UP6" s="207"/>
      <c r="UQ6" s="207"/>
      <c r="UR6" s="207"/>
      <c r="US6" s="207"/>
      <c r="UT6" s="207"/>
      <c r="UU6" s="207"/>
      <c r="UV6" s="207"/>
      <c r="UW6" s="207"/>
      <c r="UX6" s="207"/>
      <c r="UY6" s="207"/>
      <c r="UZ6" s="207"/>
      <c r="VA6" s="207"/>
      <c r="VB6" s="207"/>
      <c r="VC6" s="207"/>
      <c r="VD6" s="207"/>
      <c r="VE6" s="207"/>
      <c r="VF6" s="207"/>
      <c r="VG6" s="207"/>
      <c r="VH6" s="207"/>
      <c r="VI6" s="231" t="s">
        <v>121</v>
      </c>
      <c r="VJ6" s="231"/>
      <c r="VK6" s="231"/>
      <c r="VL6" s="231"/>
      <c r="VM6" s="231"/>
      <c r="VN6" s="209"/>
      <c r="VO6" s="209"/>
      <c r="VP6" s="209"/>
      <c r="VQ6" s="209"/>
      <c r="VR6" s="209"/>
      <c r="VS6" s="209"/>
      <c r="VT6" s="209"/>
      <c r="VU6" s="209"/>
      <c r="VV6" s="209"/>
      <c r="VW6" s="209"/>
      <c r="VX6" s="209"/>
      <c r="VY6" s="209"/>
      <c r="VZ6" s="209"/>
      <c r="WA6" s="209"/>
      <c r="WB6" s="209"/>
      <c r="WC6" s="209"/>
      <c r="WD6" s="209"/>
      <c r="WE6" s="209"/>
      <c r="WF6" s="209"/>
      <c r="WG6" s="209"/>
      <c r="WH6" s="232" t="s">
        <v>122</v>
      </c>
      <c r="WI6" s="232"/>
      <c r="WJ6" s="232"/>
      <c r="WK6" s="232"/>
      <c r="WL6" s="232"/>
      <c r="WM6" s="207"/>
      <c r="WN6" s="207"/>
      <c r="WO6" s="207"/>
      <c r="WP6" s="207"/>
      <c r="WQ6" s="207"/>
      <c r="WR6" s="207"/>
      <c r="WS6" s="207"/>
      <c r="WT6" s="207"/>
      <c r="WU6" s="207"/>
      <c r="WV6" s="207"/>
      <c r="WW6" s="207"/>
      <c r="WX6" s="207"/>
      <c r="WY6" s="207"/>
      <c r="WZ6" s="207"/>
      <c r="XA6" s="207"/>
      <c r="XB6" s="207"/>
      <c r="XC6" s="207"/>
      <c r="XD6" s="207"/>
      <c r="XE6" s="207"/>
      <c r="XF6" s="207"/>
      <c r="XG6" s="233" t="s">
        <v>2452</v>
      </c>
      <c r="XH6" s="233"/>
      <c r="XI6" s="233"/>
      <c r="XJ6" s="233"/>
      <c r="XK6" s="233"/>
      <c r="XL6" s="209"/>
      <c r="XM6" s="209"/>
      <c r="XN6" s="209"/>
      <c r="XO6" s="209"/>
      <c r="XP6" s="209"/>
      <c r="XQ6" s="209"/>
      <c r="XR6" s="209"/>
      <c r="XS6" s="209"/>
      <c r="XT6" s="209"/>
      <c r="XU6" s="209"/>
      <c r="XV6" s="209"/>
      <c r="XW6" s="209"/>
      <c r="XX6" s="209"/>
      <c r="XY6" s="209"/>
      <c r="XZ6" s="209"/>
      <c r="YA6" s="209"/>
      <c r="YB6" s="209"/>
      <c r="YC6" s="209"/>
      <c r="YD6" s="209"/>
      <c r="YE6" s="209"/>
      <c r="YF6" s="209"/>
      <c r="YG6" s="209"/>
      <c r="YH6" s="209"/>
      <c r="YI6" s="209"/>
      <c r="YJ6" s="209"/>
      <c r="YK6" s="209"/>
      <c r="YL6" s="209"/>
      <c r="YM6" s="209"/>
      <c r="YN6" s="209"/>
      <c r="YO6" s="209"/>
      <c r="YP6" s="209"/>
      <c r="YQ6" s="209"/>
      <c r="YR6" s="209"/>
      <c r="YS6" s="209"/>
      <c r="YT6" s="209"/>
      <c r="YU6" s="209"/>
      <c r="YV6" s="209"/>
      <c r="YW6" s="209"/>
      <c r="YX6" s="209"/>
      <c r="YY6" s="209"/>
      <c r="YZ6" s="209"/>
      <c r="ZA6" s="209"/>
      <c r="ZB6" s="209"/>
      <c r="ZC6" s="209"/>
      <c r="ZD6" s="209"/>
      <c r="ZE6" s="209"/>
      <c r="ZF6" s="209"/>
      <c r="ZG6" s="209"/>
      <c r="ZH6" s="209"/>
      <c r="ZI6" s="209"/>
      <c r="ZJ6" s="209"/>
      <c r="ZK6" s="209"/>
      <c r="ZL6" s="209"/>
      <c r="ZM6" s="209"/>
      <c r="ZN6" s="209"/>
      <c r="ZO6" s="209"/>
      <c r="ZP6" s="209"/>
      <c r="ZQ6" s="209"/>
      <c r="ZR6" s="209"/>
      <c r="ZS6" s="209"/>
      <c r="ZT6" s="209"/>
      <c r="ZU6" s="209"/>
      <c r="ZV6" s="209"/>
      <c r="ZW6" s="209"/>
      <c r="ZX6" s="209"/>
      <c r="ZY6" s="209"/>
      <c r="ZZ6" s="209"/>
      <c r="AAA6" s="209"/>
      <c r="AAB6" s="209"/>
      <c r="AAC6" s="209"/>
      <c r="AAD6" s="209"/>
      <c r="AAE6" s="209"/>
      <c r="AAF6" s="209"/>
      <c r="AAG6" s="209"/>
      <c r="AAH6" s="209"/>
      <c r="AAI6" s="209"/>
      <c r="AAJ6" s="209"/>
      <c r="AAK6" s="209"/>
      <c r="AAL6" s="209"/>
      <c r="AAM6" s="209"/>
      <c r="AAN6" s="209"/>
      <c r="AAO6" s="209"/>
      <c r="AAP6" s="209"/>
      <c r="AAQ6" s="209"/>
      <c r="AAR6" s="209"/>
      <c r="AAS6" s="209"/>
      <c r="AAT6" s="209"/>
      <c r="AAU6" s="209"/>
      <c r="AAV6" s="209"/>
      <c r="AAW6" s="209"/>
      <c r="AAX6" s="209"/>
      <c r="AAY6" s="209"/>
      <c r="AAZ6" s="209"/>
      <c r="ABA6" s="209"/>
      <c r="ABB6" s="209"/>
      <c r="ABC6" s="209"/>
      <c r="ABD6" s="209"/>
      <c r="ABE6" s="209"/>
      <c r="ABF6" s="209"/>
      <c r="ABG6" s="209"/>
      <c r="ABH6" s="209"/>
      <c r="ABI6" s="209"/>
      <c r="ABJ6" s="209"/>
      <c r="ABK6" s="209"/>
      <c r="ABL6" s="209"/>
      <c r="ABM6" s="209"/>
      <c r="ABN6" s="209"/>
      <c r="ABO6" s="209"/>
      <c r="ABP6" s="209"/>
      <c r="ABQ6" s="209"/>
      <c r="ABR6" s="209"/>
      <c r="ABS6" s="209"/>
      <c r="ABT6" s="209"/>
      <c r="ABU6" s="209"/>
      <c r="ABV6" s="209"/>
      <c r="ABW6" s="209"/>
      <c r="ABX6" s="209"/>
      <c r="ABY6" s="209"/>
      <c r="ABZ6" s="209"/>
      <c r="ACA6" s="209"/>
      <c r="ACB6" s="209"/>
      <c r="ACC6" s="209"/>
      <c r="ACD6" s="209"/>
      <c r="ACE6" s="209"/>
      <c r="ACF6" s="209"/>
      <c r="ACG6" s="209"/>
      <c r="ACH6" s="209"/>
      <c r="ACI6" s="209"/>
      <c r="ACJ6" s="209"/>
      <c r="ACK6" s="209"/>
      <c r="ACL6" s="209"/>
      <c r="ACM6" s="209"/>
      <c r="ACN6" s="209"/>
      <c r="ACO6" s="209"/>
      <c r="ACP6" s="209"/>
      <c r="ACQ6" s="209"/>
      <c r="ACR6" s="209"/>
      <c r="ACS6" s="209"/>
      <c r="ACT6" s="209"/>
      <c r="ACU6" s="209"/>
      <c r="ACV6" s="209"/>
      <c r="ACW6" s="209"/>
      <c r="ACX6" s="209"/>
      <c r="ACY6" s="209"/>
      <c r="ACZ6" s="209"/>
      <c r="ADA6" s="209"/>
      <c r="ADB6" s="209"/>
      <c r="ADC6" s="209"/>
      <c r="ADD6" s="209"/>
      <c r="ADE6" s="209"/>
      <c r="ADF6" s="230" t="s">
        <v>65</v>
      </c>
      <c r="ADG6" s="230"/>
      <c r="ADH6" s="230"/>
      <c r="ADI6" s="230"/>
      <c r="ADJ6" s="230"/>
      <c r="ADK6" s="230"/>
      <c r="ADL6" s="207"/>
      <c r="ADM6" s="207"/>
      <c r="ADN6" s="207"/>
      <c r="ADO6" s="207"/>
      <c r="ADP6" s="207"/>
      <c r="ADQ6" s="207"/>
      <c r="ADR6" s="207"/>
      <c r="ADS6" s="207"/>
      <c r="ADT6" s="207"/>
      <c r="ADU6" s="207"/>
      <c r="ADV6" s="207"/>
      <c r="ADW6" s="207"/>
      <c r="ADX6" s="231" t="s">
        <v>66</v>
      </c>
      <c r="ADY6" s="231"/>
      <c r="ADZ6" s="231"/>
      <c r="AEA6" s="231"/>
      <c r="AEB6" s="231"/>
      <c r="AEC6" s="209"/>
      <c r="AED6" s="209"/>
      <c r="AEE6" s="209"/>
      <c r="AEF6" s="209"/>
      <c r="AEG6" s="209"/>
      <c r="AEH6" s="209"/>
      <c r="AEI6" s="209"/>
      <c r="AEJ6" s="209"/>
      <c r="AEK6" s="209"/>
      <c r="AEL6" s="209"/>
      <c r="AEM6" s="209"/>
      <c r="AEN6" s="209"/>
      <c r="AEO6" s="209"/>
      <c r="AEP6" s="209"/>
      <c r="AEQ6" s="209"/>
      <c r="AER6" s="209"/>
      <c r="AES6" s="209"/>
      <c r="AET6" s="209"/>
      <c r="AEU6" s="209"/>
      <c r="AEV6" s="209"/>
      <c r="AEW6" s="209"/>
      <c r="AEX6" s="209"/>
      <c r="AEY6" s="209"/>
      <c r="AEZ6" s="209"/>
      <c r="AFA6" s="209"/>
      <c r="AFB6" s="209"/>
      <c r="AFC6" s="209"/>
      <c r="AFD6" s="209"/>
      <c r="AFE6" s="209"/>
      <c r="AFF6" s="209"/>
      <c r="AFG6" s="209"/>
      <c r="AFH6" s="209"/>
      <c r="AFI6" s="209"/>
      <c r="AFJ6" s="209"/>
      <c r="AFK6" s="209"/>
      <c r="AFL6" s="209"/>
      <c r="AFM6" s="209"/>
      <c r="AFN6" s="230" t="s">
        <v>125</v>
      </c>
      <c r="AFO6" s="230"/>
      <c r="AFP6" s="230"/>
      <c r="AFQ6" s="230"/>
      <c r="AFR6" s="230"/>
      <c r="AFS6" s="230"/>
      <c r="AFT6" s="207"/>
      <c r="AFU6" s="207"/>
      <c r="AFV6" s="207"/>
      <c r="AFW6" s="207"/>
      <c r="AFX6" s="207"/>
      <c r="AFY6" s="207"/>
      <c r="AFZ6" s="207"/>
      <c r="AGA6" s="207"/>
      <c r="AGB6" s="207"/>
      <c r="AGC6" s="207"/>
      <c r="AGD6" s="207"/>
      <c r="AGE6" s="207"/>
      <c r="AGF6" s="207"/>
      <c r="AGG6" s="207"/>
      <c r="AGH6" s="207"/>
      <c r="AGI6" s="207"/>
      <c r="AGJ6" s="207"/>
      <c r="AGK6" s="207"/>
      <c r="AGL6" s="207"/>
      <c r="AGM6" s="207"/>
      <c r="AGN6" s="207"/>
      <c r="AGO6" s="207"/>
      <c r="AGP6" s="207"/>
      <c r="AGQ6" s="207"/>
      <c r="AGR6" s="207"/>
      <c r="AGS6" s="207"/>
      <c r="AGT6" s="207"/>
      <c r="AGU6" s="207"/>
      <c r="AGV6" s="207"/>
      <c r="AGW6" s="207"/>
      <c r="AGX6" s="207"/>
      <c r="AGY6" s="207"/>
      <c r="AGZ6" s="207"/>
      <c r="AHA6" s="207"/>
      <c r="AHB6" s="207"/>
      <c r="AHC6" s="207"/>
      <c r="AHD6" s="207"/>
      <c r="AHE6" s="207"/>
      <c r="AHF6" s="207"/>
      <c r="AHG6" s="231" t="s">
        <v>126</v>
      </c>
      <c r="AHH6" s="231"/>
      <c r="AHI6" s="231"/>
      <c r="AHJ6" s="231"/>
      <c r="AHK6" s="231"/>
      <c r="AHL6" s="231"/>
      <c r="AHM6" s="231"/>
      <c r="AHN6" s="231"/>
      <c r="AHO6" s="231"/>
      <c r="AHP6" s="231"/>
      <c r="AHQ6" s="209"/>
      <c r="AHR6" s="209"/>
      <c r="AHS6" s="209"/>
      <c r="AHT6" s="209"/>
      <c r="AHU6" s="209"/>
      <c r="AHV6" s="209"/>
      <c r="AHW6" s="209"/>
      <c r="AHX6" s="209"/>
      <c r="AHY6" s="209"/>
      <c r="AHZ6" s="209"/>
      <c r="AIA6" s="209"/>
      <c r="AIB6" s="209"/>
      <c r="AIC6" s="209"/>
      <c r="AID6" s="209"/>
      <c r="AIE6" s="209"/>
      <c r="AIF6" s="209"/>
      <c r="AIG6" s="209"/>
      <c r="AIH6" s="209"/>
      <c r="AII6" s="209"/>
      <c r="AIJ6" s="209"/>
      <c r="AIK6" s="209"/>
      <c r="AIL6" s="209"/>
      <c r="AIM6" s="209"/>
      <c r="AIN6" s="209"/>
      <c r="AIO6" s="209"/>
      <c r="AIP6" s="209"/>
      <c r="AIQ6" s="209"/>
      <c r="AIR6" s="209"/>
      <c r="AIS6" s="209"/>
      <c r="AIT6" s="209"/>
      <c r="AIU6" s="209"/>
      <c r="AIV6" s="209"/>
      <c r="AIW6" s="209"/>
      <c r="AIX6" s="209"/>
      <c r="AIY6" s="209"/>
      <c r="AIZ6" s="209"/>
      <c r="AJA6" s="209"/>
      <c r="AJB6" s="209"/>
      <c r="AJC6" s="209"/>
      <c r="AJD6" s="209"/>
      <c r="AJE6" s="230" t="s">
        <v>68</v>
      </c>
      <c r="AJF6" s="230"/>
      <c r="AJG6" s="230"/>
      <c r="AJH6" s="230"/>
      <c r="AJI6" s="230"/>
      <c r="AJJ6" s="207"/>
      <c r="AJK6" s="207"/>
      <c r="AJL6" s="207"/>
      <c r="AJM6" s="207"/>
      <c r="AJN6" s="207"/>
      <c r="AJO6" s="207"/>
      <c r="AJP6" s="207"/>
      <c r="AJQ6" s="207"/>
      <c r="AJR6" s="207"/>
      <c r="AJS6" s="207"/>
      <c r="AJT6" s="207"/>
      <c r="AJU6" s="207"/>
      <c r="AJV6" s="207"/>
      <c r="AJW6" s="207"/>
      <c r="AJX6" s="207"/>
      <c r="AJY6" s="207"/>
      <c r="AJZ6" s="207"/>
      <c r="AKA6" s="207"/>
      <c r="AKB6" s="207"/>
      <c r="AKC6" s="207"/>
      <c r="AKD6" s="207"/>
      <c r="AKE6" s="207"/>
      <c r="AKF6" s="207"/>
      <c r="AKG6" s="207"/>
      <c r="AKH6" s="207"/>
      <c r="AKI6" s="207"/>
      <c r="AKJ6" s="207"/>
      <c r="AKK6" s="207"/>
      <c r="AKL6" s="207"/>
      <c r="AKM6" s="207"/>
      <c r="AKN6" s="207"/>
      <c r="AKO6" s="207"/>
      <c r="AKP6" s="207"/>
      <c r="AKQ6" s="207"/>
      <c r="AKR6" s="207"/>
      <c r="AKS6" s="207"/>
      <c r="AKT6" s="207"/>
      <c r="AKU6" s="207"/>
      <c r="AKV6" s="207"/>
      <c r="AKW6" s="207"/>
      <c r="AKX6" s="207"/>
      <c r="AKY6" s="207"/>
      <c r="AKZ6" s="207"/>
      <c r="ALA6" s="207"/>
      <c r="ALB6" s="207"/>
      <c r="ALC6" s="207"/>
      <c r="ALD6" s="207"/>
      <c r="ALE6" s="207"/>
      <c r="ALF6" s="207"/>
      <c r="ALG6" s="207"/>
      <c r="ALH6" s="207"/>
      <c r="ALI6" s="207"/>
      <c r="ALJ6" s="207"/>
      <c r="ALK6" s="207"/>
      <c r="ALL6" s="207"/>
      <c r="ALM6" s="207"/>
      <c r="ALN6" s="207"/>
      <c r="ALO6" s="207"/>
      <c r="ALP6" s="207"/>
      <c r="ALQ6" s="207"/>
      <c r="ALR6" s="207"/>
      <c r="ALS6" s="207"/>
      <c r="ALT6" s="207"/>
      <c r="ALU6" s="207"/>
      <c r="ALV6" s="207"/>
      <c r="ALW6" s="207"/>
      <c r="ALX6" s="207"/>
      <c r="ALY6" s="207"/>
      <c r="ALZ6" s="207"/>
      <c r="AMA6" s="207"/>
      <c r="AMB6" s="231" t="s">
        <v>127</v>
      </c>
      <c r="AMC6" s="231"/>
      <c r="AMD6" s="231"/>
      <c r="AME6" s="231"/>
      <c r="AMF6" s="231"/>
      <c r="AMG6" s="209"/>
      <c r="AMH6" s="209"/>
      <c r="AMI6" s="209"/>
      <c r="AMJ6" s="209"/>
      <c r="AMK6" s="209"/>
      <c r="AML6" s="209"/>
      <c r="AMM6" s="209"/>
      <c r="AMN6" s="209"/>
      <c r="AMO6" s="209"/>
      <c r="AMP6" s="209"/>
      <c r="AMQ6" s="209"/>
      <c r="AMR6" s="209"/>
      <c r="AMS6" s="209"/>
      <c r="AMT6" s="209"/>
      <c r="AMU6" s="209"/>
      <c r="AMV6" s="209"/>
      <c r="AMW6" s="209"/>
      <c r="AMX6" s="209"/>
      <c r="AMY6" s="209"/>
      <c r="AMZ6" s="209"/>
      <c r="ANA6" s="209"/>
      <c r="ANB6" s="209"/>
      <c r="ANC6" s="209"/>
      <c r="AND6" s="209"/>
      <c r="ANE6" s="209"/>
      <c r="ANF6" s="209"/>
      <c r="ANG6" s="209"/>
      <c r="ANH6" s="209"/>
      <c r="ANI6" s="209"/>
      <c r="ANJ6" s="209"/>
      <c r="ANK6" s="209"/>
      <c r="ANL6" s="209"/>
      <c r="ANM6" s="209"/>
      <c r="ANN6" s="209"/>
      <c r="ANO6" s="209"/>
      <c r="ANP6" s="209"/>
      <c r="ANQ6" s="209"/>
      <c r="ANR6" s="209"/>
      <c r="ANS6" s="209"/>
      <c r="ANT6" s="209"/>
      <c r="ANU6" s="209"/>
      <c r="ANV6" s="209"/>
      <c r="ANW6" s="209"/>
      <c r="ANX6" s="209"/>
      <c r="ANY6" s="209"/>
      <c r="ANZ6" s="209"/>
      <c r="AOA6" s="209"/>
      <c r="AOB6" s="209"/>
      <c r="AOC6" s="209"/>
      <c r="AOD6" s="209"/>
      <c r="AOE6" s="209"/>
      <c r="AOF6" s="209"/>
      <c r="AOG6" s="209"/>
      <c r="AOH6" s="209"/>
      <c r="AOI6" s="209"/>
      <c r="AOJ6" s="209"/>
      <c r="AOK6" s="209"/>
      <c r="AOL6" s="209"/>
      <c r="AOM6" s="209"/>
      <c r="AON6" s="209"/>
      <c r="AOO6" s="209"/>
      <c r="AOP6" s="209"/>
      <c r="AOQ6" s="209"/>
      <c r="AOR6" s="209"/>
      <c r="AOS6" s="209"/>
      <c r="AOT6" s="209"/>
      <c r="AOU6" s="209"/>
      <c r="AOV6" s="209"/>
      <c r="AOW6" s="209"/>
      <c r="AOX6" s="209"/>
      <c r="AOY6" s="209"/>
      <c r="AOZ6" s="209"/>
      <c r="APA6" s="209"/>
      <c r="APB6" s="209"/>
      <c r="APC6" s="209"/>
      <c r="APD6" s="209"/>
      <c r="APE6" s="209"/>
      <c r="APF6" s="209"/>
      <c r="APG6" s="209"/>
      <c r="APH6" s="209"/>
      <c r="API6" s="209"/>
      <c r="APJ6" s="209"/>
      <c r="APK6" s="209"/>
      <c r="APL6" s="209"/>
      <c r="APM6" s="209"/>
      <c r="APN6" s="209"/>
      <c r="APO6" s="209"/>
      <c r="APP6" s="209"/>
      <c r="APQ6" s="209"/>
      <c r="APR6" s="209"/>
      <c r="APS6" s="209"/>
      <c r="APT6" s="209"/>
      <c r="APU6" s="209"/>
      <c r="APV6" s="209"/>
      <c r="APW6" s="209"/>
      <c r="APX6" s="209"/>
      <c r="APY6" s="209"/>
      <c r="APZ6" s="209"/>
      <c r="AQA6" s="209"/>
      <c r="AQB6" s="209"/>
      <c r="AQC6" s="209"/>
      <c r="AQD6" s="209"/>
      <c r="AQE6" s="209"/>
      <c r="AQF6" s="209"/>
      <c r="AQG6" s="209"/>
      <c r="AQH6" s="209"/>
      <c r="AQI6" s="209"/>
      <c r="AQJ6" s="209"/>
      <c r="AQK6" s="209"/>
      <c r="AQL6" s="209"/>
      <c r="AQM6" s="209"/>
      <c r="AQN6" s="209"/>
      <c r="AQO6" s="209"/>
      <c r="AQP6" s="209"/>
      <c r="AQQ6" s="209"/>
      <c r="AQR6" s="209"/>
      <c r="AQS6" s="209"/>
      <c r="AQT6" s="209"/>
      <c r="AQU6" s="209"/>
      <c r="AQV6" s="209"/>
      <c r="AQW6" s="209"/>
      <c r="AQX6" s="209"/>
      <c r="AQY6" s="209"/>
      <c r="AQZ6" s="209"/>
      <c r="ARA6" s="209"/>
      <c r="ARB6" s="209"/>
      <c r="ARC6" s="209"/>
      <c r="ARD6" s="209"/>
      <c r="ARE6" s="209"/>
      <c r="ARF6" s="209"/>
      <c r="ARG6" s="209"/>
      <c r="ARH6" s="209"/>
      <c r="ARI6" s="209"/>
      <c r="ARJ6" s="209"/>
      <c r="ARK6" s="209"/>
      <c r="ARL6" s="209"/>
      <c r="ARM6" s="209"/>
      <c r="ARN6" s="209"/>
      <c r="ARO6" s="209"/>
      <c r="ARP6" s="209"/>
      <c r="ARQ6" s="209"/>
      <c r="ARR6" s="209"/>
      <c r="ARS6" s="209"/>
      <c r="ART6" s="209"/>
      <c r="ARU6" s="209"/>
      <c r="ARV6" s="209"/>
      <c r="ARW6" s="209"/>
      <c r="ARX6" s="209"/>
      <c r="ARY6" s="209"/>
      <c r="ARZ6" s="209"/>
      <c r="ASA6" s="209"/>
      <c r="ASB6" s="209"/>
      <c r="ASC6" s="209"/>
      <c r="ASD6" s="209"/>
      <c r="ASE6" s="209"/>
      <c r="ASF6" s="209"/>
      <c r="ASG6" s="209"/>
      <c r="ASH6" s="209"/>
      <c r="ASI6" s="209"/>
      <c r="ASJ6" s="209"/>
      <c r="ASK6" s="209"/>
      <c r="ASL6" s="209"/>
      <c r="ASM6" s="209"/>
      <c r="ASN6" s="209"/>
      <c r="ASO6" s="209"/>
      <c r="ASP6" s="209"/>
      <c r="ASQ6" s="209"/>
      <c r="ASR6" s="209"/>
      <c r="ASS6" s="209"/>
      <c r="AST6" s="209"/>
      <c r="ASU6" s="209"/>
      <c r="ASV6" s="209"/>
      <c r="ASW6" s="209"/>
      <c r="ASX6" s="209"/>
      <c r="ASY6" s="209"/>
      <c r="ASZ6" s="209"/>
      <c r="ATA6" s="209"/>
      <c r="ATB6" s="209"/>
      <c r="ATC6" s="209"/>
      <c r="ATD6" s="209"/>
      <c r="ATE6" s="209"/>
      <c r="ATF6" s="209"/>
      <c r="ATG6" s="209"/>
      <c r="ATH6" s="209"/>
      <c r="ATI6" s="209"/>
      <c r="ATJ6" s="230" t="s">
        <v>128</v>
      </c>
      <c r="ATK6" s="230"/>
      <c r="ATL6" s="230"/>
      <c r="ATM6" s="230"/>
      <c r="ATN6" s="230"/>
      <c r="ATO6" s="207"/>
      <c r="ATP6" s="207"/>
      <c r="ATQ6" s="207"/>
      <c r="ATR6" s="207"/>
      <c r="ATS6" s="207"/>
      <c r="ATT6" s="207"/>
      <c r="ATU6" s="207"/>
      <c r="ATV6" s="207"/>
      <c r="ATW6" s="207"/>
      <c r="ATX6" s="207"/>
      <c r="ATY6" s="207"/>
      <c r="ATZ6" s="207"/>
      <c r="AUA6" s="207"/>
      <c r="AUB6" s="207"/>
      <c r="AUC6" s="207"/>
      <c r="AUD6" s="207"/>
      <c r="AUE6" s="207"/>
      <c r="AUF6" s="207"/>
      <c r="AUG6" s="207"/>
      <c r="AUH6" s="207"/>
      <c r="AUI6" s="207"/>
      <c r="AUJ6" s="207"/>
      <c r="AUK6" s="207"/>
      <c r="AUL6" s="207"/>
      <c r="AUM6" s="207"/>
      <c r="AUN6" s="207"/>
      <c r="AUO6" s="207"/>
      <c r="AUP6" s="207"/>
      <c r="AUQ6" s="207"/>
      <c r="AUR6" s="207"/>
      <c r="AUS6" s="207"/>
      <c r="AUT6" s="207"/>
      <c r="AUU6" s="207"/>
      <c r="AUV6" s="207"/>
      <c r="AUW6" s="207"/>
      <c r="AUX6" s="207"/>
      <c r="AUY6" s="207"/>
      <c r="AUZ6" s="207"/>
      <c r="AVA6" s="207"/>
      <c r="AVB6" s="207"/>
      <c r="AVC6" s="207"/>
      <c r="AVD6" s="207"/>
      <c r="AVE6" s="207"/>
      <c r="AVF6" s="207"/>
      <c r="AVG6" s="207"/>
      <c r="AVH6" s="207"/>
      <c r="AVI6" s="207"/>
      <c r="AVJ6" s="207"/>
      <c r="AVK6" s="207"/>
      <c r="AVL6" s="207"/>
      <c r="AVM6" s="207"/>
      <c r="AVN6" s="207"/>
      <c r="AVO6" s="207"/>
      <c r="AVP6" s="207"/>
      <c r="AVQ6" s="207"/>
      <c r="AVR6" s="207"/>
      <c r="AVS6" s="207"/>
      <c r="AVT6" s="207"/>
      <c r="AVU6" s="207"/>
      <c r="AVV6" s="207"/>
      <c r="AVW6" s="207"/>
      <c r="AVX6" s="207"/>
      <c r="AVY6" s="207"/>
      <c r="AVZ6" s="207"/>
      <c r="AWA6" s="207"/>
      <c r="AWB6" s="207"/>
      <c r="AWC6" s="207"/>
      <c r="AWD6" s="207"/>
      <c r="AWE6" s="207"/>
      <c r="AWF6" s="207"/>
      <c r="AWG6" s="207"/>
      <c r="AWH6" s="207"/>
      <c r="AWI6" s="207"/>
      <c r="AWJ6" s="207"/>
      <c r="AWK6" s="207"/>
      <c r="AWL6" s="207"/>
      <c r="AWM6" s="207"/>
      <c r="AWN6" s="207"/>
      <c r="AWO6" s="207"/>
      <c r="AWP6" s="207"/>
      <c r="AWQ6" s="207"/>
      <c r="AWR6" s="207"/>
      <c r="AWS6" s="207"/>
      <c r="AWT6" s="207"/>
      <c r="AWU6" s="207"/>
      <c r="AWV6" s="207"/>
      <c r="AWW6" s="207"/>
      <c r="AWX6" s="207"/>
      <c r="AWY6" s="207"/>
      <c r="AWZ6" s="207"/>
      <c r="AXA6" s="207"/>
      <c r="AXB6" s="207"/>
      <c r="AXC6" s="207"/>
      <c r="AXD6" s="207"/>
      <c r="AXE6" s="207"/>
      <c r="AXF6" s="207"/>
      <c r="AXG6" s="207"/>
      <c r="AXH6" s="207"/>
      <c r="AXI6" s="207"/>
      <c r="AXJ6" s="207"/>
      <c r="AXK6" s="207"/>
      <c r="AXL6" s="207"/>
      <c r="AXM6" s="207"/>
      <c r="AXN6" s="207"/>
      <c r="AXO6" s="207"/>
      <c r="AXP6" s="207"/>
      <c r="AXQ6" s="207"/>
      <c r="AXR6" s="207"/>
      <c r="AXS6" s="207"/>
      <c r="AXT6" s="207"/>
      <c r="AXU6" s="207"/>
      <c r="AXV6" s="207"/>
      <c r="AXW6" s="207"/>
      <c r="AXX6" s="207"/>
      <c r="AXY6" s="207"/>
      <c r="AXZ6" s="207"/>
      <c r="AYA6" s="207"/>
      <c r="AYB6" s="207"/>
      <c r="AYC6" s="207"/>
      <c r="AYD6" s="207"/>
      <c r="AYE6" s="207"/>
      <c r="AYF6" s="207"/>
      <c r="AYG6" s="207"/>
      <c r="AYH6" s="207"/>
      <c r="AYI6" s="207"/>
      <c r="AYJ6" s="207"/>
      <c r="AYK6" s="207"/>
      <c r="AYL6" s="207"/>
      <c r="AYM6" s="207"/>
      <c r="AYN6" s="207"/>
      <c r="AYO6" s="207"/>
      <c r="AYP6" s="207"/>
      <c r="AYQ6" s="207"/>
      <c r="AYR6" s="207"/>
      <c r="AYS6" s="207"/>
      <c r="AYT6" s="207"/>
      <c r="AYU6" s="207"/>
      <c r="AYV6" s="207"/>
      <c r="AYW6" s="207"/>
      <c r="AYX6" s="207"/>
      <c r="AYY6" s="207"/>
      <c r="AYZ6" s="207"/>
      <c r="AZA6" s="207"/>
      <c r="AZB6" s="207"/>
      <c r="AZC6" s="207"/>
      <c r="AZD6" s="207"/>
      <c r="AZE6" s="207"/>
      <c r="AZF6" s="207"/>
      <c r="AZG6" s="207"/>
      <c r="AZH6" s="207"/>
      <c r="AZI6" s="207"/>
      <c r="AZJ6" s="207"/>
      <c r="AZK6" s="207"/>
      <c r="AZL6" s="207"/>
      <c r="AZM6" s="207"/>
      <c r="AZN6" s="207"/>
      <c r="AZO6" s="207"/>
      <c r="AZP6" s="207"/>
      <c r="AZQ6" s="207"/>
      <c r="AZR6" s="207"/>
      <c r="AZS6" s="207"/>
      <c r="AZT6" s="207"/>
      <c r="AZU6" s="207"/>
      <c r="AZV6" s="207"/>
      <c r="AZW6" s="207"/>
      <c r="AZX6" s="207"/>
      <c r="AZY6" s="207"/>
      <c r="AZZ6" s="207"/>
      <c r="BAA6" s="207"/>
      <c r="BAB6" s="207"/>
      <c r="BAC6" s="207"/>
      <c r="BAD6" s="207"/>
      <c r="BAE6" s="207"/>
      <c r="BAF6" s="207"/>
      <c r="BAG6" s="207"/>
      <c r="BAH6" s="207"/>
      <c r="BAI6" s="207"/>
      <c r="BAJ6" s="207"/>
      <c r="BAK6" s="207"/>
      <c r="BAL6" s="207"/>
      <c r="BAM6" s="207"/>
      <c r="BAN6" s="207"/>
      <c r="BAO6" s="207"/>
      <c r="BAP6" s="207"/>
      <c r="BAQ6" s="207"/>
      <c r="BAR6" s="231" t="s">
        <v>129</v>
      </c>
      <c r="BAS6" s="231"/>
      <c r="BAT6" s="231"/>
      <c r="BAU6" s="231"/>
      <c r="BAV6" s="231"/>
      <c r="BAW6" s="209"/>
      <c r="BAX6" s="209"/>
      <c r="BAY6" s="209"/>
      <c r="BAZ6" s="209"/>
      <c r="BBA6" s="209"/>
      <c r="BBB6" s="209"/>
      <c r="BBC6" s="209"/>
      <c r="BBD6" s="209"/>
      <c r="BBE6" s="209"/>
      <c r="BBF6" s="209"/>
      <c r="BBG6" s="209"/>
      <c r="BBH6" s="209"/>
      <c r="BBI6" s="209"/>
      <c r="BBJ6" s="209"/>
      <c r="BBK6" s="209"/>
      <c r="BBL6" s="209"/>
      <c r="BBM6" s="209"/>
      <c r="BBN6" s="209"/>
      <c r="BBO6" s="209"/>
      <c r="BBP6" s="209"/>
      <c r="BBQ6" s="209"/>
      <c r="BBR6" s="209"/>
      <c r="BBS6" s="209"/>
      <c r="BBT6" s="209"/>
      <c r="BBU6" s="209"/>
      <c r="BBV6" s="209"/>
      <c r="BBW6" s="209"/>
      <c r="BBX6" s="209"/>
      <c r="BBY6" s="209"/>
      <c r="BBZ6" s="209"/>
      <c r="BCA6" s="209"/>
      <c r="BCB6" s="209"/>
      <c r="BCC6" s="209"/>
      <c r="BCD6" s="209"/>
      <c r="BCE6" s="209"/>
      <c r="BCF6" s="209"/>
      <c r="BCG6" s="209"/>
      <c r="BCH6" s="209"/>
      <c r="BCI6" s="209"/>
      <c r="BCJ6" s="209"/>
      <c r="BCK6" s="209"/>
      <c r="BCL6" s="209"/>
      <c r="BCM6" s="209"/>
      <c r="BCN6" s="209"/>
      <c r="BCO6" s="209"/>
      <c r="BCP6" s="209"/>
      <c r="BCQ6" s="209"/>
      <c r="BCR6" s="209"/>
      <c r="BCS6" s="209"/>
      <c r="BCT6" s="209"/>
      <c r="BCU6" s="209"/>
      <c r="BCV6" s="209"/>
      <c r="BCW6" s="209"/>
      <c r="BCX6" s="209"/>
      <c r="BCY6" s="209"/>
      <c r="BCZ6" s="209"/>
      <c r="BDA6" s="209"/>
      <c r="BDB6" s="209"/>
      <c r="BDC6" s="209"/>
      <c r="BDD6" s="209"/>
      <c r="BDE6" s="209"/>
      <c r="BDF6" s="209"/>
      <c r="BDG6" s="209"/>
      <c r="BDH6" s="209"/>
      <c r="BDI6" s="209"/>
      <c r="BDJ6" s="209"/>
      <c r="BDK6" s="209"/>
      <c r="BDL6" s="209"/>
      <c r="BDM6" s="209"/>
      <c r="BDN6" s="209"/>
      <c r="BDO6" s="230" t="s">
        <v>130</v>
      </c>
      <c r="BDP6" s="230"/>
      <c r="BDQ6" s="230"/>
      <c r="BDR6" s="230"/>
      <c r="BDS6" s="230"/>
      <c r="BDT6" s="207"/>
      <c r="BDU6" s="207"/>
      <c r="BDV6" s="207"/>
      <c r="BDW6" s="207"/>
      <c r="BDX6" s="207"/>
      <c r="BDY6" s="207"/>
      <c r="BDZ6" s="207"/>
      <c r="BEA6" s="207"/>
      <c r="BEB6" s="207"/>
      <c r="BEC6" s="207"/>
      <c r="BED6" s="207"/>
      <c r="BEE6" s="207"/>
      <c r="BEF6" s="207"/>
      <c r="BEG6" s="207"/>
      <c r="BEH6" s="207"/>
      <c r="BEI6" s="207"/>
      <c r="BEJ6" s="207"/>
      <c r="BEK6" s="207"/>
      <c r="BEL6" s="207"/>
      <c r="BEM6" s="207"/>
      <c r="BEN6" s="207"/>
      <c r="BEO6" s="207"/>
      <c r="BEP6" s="207"/>
      <c r="BEQ6" s="207"/>
      <c r="BER6" s="207"/>
      <c r="BES6" s="207"/>
      <c r="BET6" s="207"/>
      <c r="BEU6" s="207"/>
      <c r="BEV6" s="207"/>
      <c r="BEW6" s="207"/>
      <c r="BEX6" s="207"/>
      <c r="BEY6" s="207"/>
      <c r="BEZ6" s="207"/>
      <c r="BFA6" s="207"/>
      <c r="BFB6" s="207"/>
      <c r="BFC6" s="207"/>
      <c r="BFD6" s="207"/>
      <c r="BFE6" s="207"/>
      <c r="BFF6" s="207"/>
      <c r="BFG6" s="207"/>
      <c r="BFH6" s="207"/>
      <c r="BFI6" s="207"/>
      <c r="BFJ6" s="207"/>
      <c r="BFK6" s="207"/>
      <c r="BFL6" s="207"/>
      <c r="BFM6" s="207"/>
      <c r="BFN6" s="207"/>
      <c r="BFO6" s="207"/>
      <c r="BFP6" s="207"/>
      <c r="BFQ6" s="207"/>
      <c r="BFR6" s="207"/>
      <c r="BFS6" s="207"/>
      <c r="BFT6" s="207"/>
      <c r="BFU6" s="207"/>
      <c r="BFV6" s="207"/>
      <c r="BFW6" s="207"/>
      <c r="BFX6" s="207"/>
      <c r="BFY6" s="207"/>
      <c r="BFZ6" s="207"/>
      <c r="BGA6" s="207"/>
      <c r="BGB6" s="207"/>
      <c r="BGC6" s="207"/>
      <c r="BGD6" s="207"/>
      <c r="BGE6" s="207"/>
      <c r="BGF6" s="207"/>
      <c r="BGG6" s="207"/>
      <c r="BGH6" s="207"/>
      <c r="BGI6" s="207"/>
      <c r="BGJ6" s="207"/>
      <c r="BGK6" s="207"/>
      <c r="BGL6" s="207"/>
      <c r="BGM6" s="207"/>
      <c r="BGN6" s="207"/>
      <c r="BGO6" s="207"/>
      <c r="BGP6" s="207"/>
      <c r="BGQ6" s="207"/>
      <c r="BGR6" s="207"/>
      <c r="BGS6" s="207"/>
      <c r="BGT6" s="207"/>
      <c r="BGU6" s="207"/>
      <c r="BGV6" s="207"/>
      <c r="BGW6" s="207"/>
      <c r="BGX6" s="207"/>
      <c r="BGY6" s="207"/>
      <c r="BGZ6" s="207"/>
      <c r="BHA6" s="207"/>
      <c r="BHB6" s="207"/>
      <c r="BHC6" s="207"/>
      <c r="BHD6" s="207"/>
      <c r="BHE6" s="207"/>
      <c r="BHF6" s="207"/>
      <c r="BHG6" s="207"/>
      <c r="BHH6" s="207"/>
      <c r="BHI6" s="207"/>
      <c r="BHJ6" s="207"/>
      <c r="BHK6" s="207"/>
      <c r="BHL6" s="207"/>
      <c r="BHM6" s="207"/>
      <c r="BHN6" s="207"/>
      <c r="BHO6" s="207"/>
      <c r="BHP6" s="207"/>
      <c r="BHQ6" s="207"/>
      <c r="BHR6" s="207"/>
      <c r="BHS6" s="207"/>
      <c r="BHT6" s="207"/>
      <c r="BHU6" s="207"/>
      <c r="BHV6" s="207"/>
      <c r="BHW6" s="207"/>
      <c r="BHX6" s="207"/>
      <c r="BHY6" s="207"/>
      <c r="BHZ6" s="207"/>
      <c r="BIA6" s="207"/>
      <c r="BIB6" s="207"/>
      <c r="BIC6" s="207"/>
      <c r="BID6" s="207"/>
      <c r="BIE6" s="207"/>
      <c r="BIF6" s="207"/>
      <c r="BIG6" s="207"/>
      <c r="BIH6" s="207"/>
      <c r="BII6" s="207"/>
      <c r="BIJ6" s="207"/>
      <c r="BIK6" s="207"/>
      <c r="BIL6" s="207"/>
      <c r="BIM6" s="207"/>
      <c r="BIN6" s="207"/>
      <c r="BIO6" s="207"/>
      <c r="BIP6" s="207"/>
      <c r="BIQ6" s="207"/>
      <c r="BIR6" s="207"/>
      <c r="BIS6" s="207"/>
      <c r="BIT6" s="207"/>
      <c r="BIU6" s="207"/>
      <c r="BIV6" s="207"/>
      <c r="BIW6" s="207"/>
      <c r="BIX6" s="207"/>
      <c r="BIY6" s="207"/>
      <c r="BIZ6" s="207"/>
      <c r="BJA6" s="207"/>
      <c r="BJB6" s="207"/>
      <c r="BJC6" s="207"/>
      <c r="BJD6" s="207"/>
      <c r="BJE6" s="207"/>
      <c r="BJF6" s="207"/>
      <c r="BJG6" s="207"/>
      <c r="BJH6" s="207"/>
      <c r="BJI6" s="207"/>
      <c r="BJJ6" s="207"/>
      <c r="BJK6" s="207"/>
      <c r="BJL6" s="207"/>
      <c r="BJM6" s="207"/>
      <c r="BJN6" s="207"/>
      <c r="BJO6" s="207"/>
      <c r="BJP6" s="207"/>
      <c r="BJQ6" s="207"/>
      <c r="BJR6" s="207"/>
      <c r="BJS6" s="207"/>
      <c r="BJT6" s="207"/>
      <c r="BJU6" s="207"/>
      <c r="BJV6" s="207"/>
      <c r="BJW6" s="207"/>
      <c r="BJX6" s="207"/>
      <c r="BJY6" s="207"/>
      <c r="BJZ6" s="207"/>
      <c r="BKA6" s="207"/>
      <c r="BKB6" s="207"/>
      <c r="BKC6" s="207"/>
      <c r="BKD6" s="207"/>
      <c r="BKE6" s="207"/>
      <c r="BKF6" s="207"/>
      <c r="BKG6" s="207"/>
      <c r="BKH6" s="207"/>
      <c r="BKI6" s="207"/>
      <c r="BKJ6" s="207"/>
      <c r="BKK6" s="207"/>
      <c r="BKL6" s="207"/>
      <c r="BKM6" s="207"/>
      <c r="BKN6" s="207"/>
      <c r="BKO6" s="207"/>
      <c r="BKP6" s="207"/>
      <c r="BKQ6" s="207"/>
      <c r="BKR6" s="207"/>
      <c r="BKS6" s="207"/>
      <c r="BKT6" s="207"/>
      <c r="BKU6" s="207"/>
      <c r="BKV6" s="207"/>
      <c r="BKW6" s="231" t="s">
        <v>131</v>
      </c>
      <c r="BKX6" s="231"/>
      <c r="BKY6" s="231"/>
      <c r="BKZ6" s="231"/>
      <c r="BLA6" s="231"/>
      <c r="BLB6" s="209"/>
      <c r="BLC6" s="209"/>
      <c r="BLD6" s="209"/>
      <c r="BLE6" s="209"/>
      <c r="BLF6" s="209"/>
      <c r="BLG6" s="209"/>
      <c r="BLH6" s="209"/>
      <c r="BLI6" s="209"/>
      <c r="BLJ6" s="209"/>
      <c r="BLK6" s="209"/>
      <c r="BLL6" s="209"/>
      <c r="BLM6" s="209"/>
      <c r="BLN6" s="209"/>
      <c r="BLO6" s="209"/>
      <c r="BLP6" s="209"/>
      <c r="BLQ6" s="209"/>
      <c r="BLR6" s="209"/>
      <c r="BLS6" s="209"/>
      <c r="BLT6" s="209"/>
      <c r="BLU6" s="230" t="s">
        <v>132</v>
      </c>
      <c r="BLV6" s="230"/>
      <c r="BLW6" s="230"/>
      <c r="BLX6" s="230"/>
      <c r="BLY6" s="230"/>
      <c r="BLZ6" s="207"/>
      <c r="BMA6" s="207"/>
      <c r="BMB6" s="207"/>
      <c r="BMC6" s="207"/>
      <c r="BMD6" s="207"/>
      <c r="BME6" s="207"/>
      <c r="BMF6" s="207"/>
      <c r="BMG6" s="207"/>
      <c r="BMH6" s="207"/>
      <c r="BMI6" s="207"/>
      <c r="BMJ6" s="207"/>
      <c r="BMK6" s="207"/>
      <c r="BML6" s="207"/>
      <c r="BMM6" s="207"/>
      <c r="BMN6" s="207"/>
      <c r="BMO6" s="207"/>
      <c r="BMP6" s="207"/>
      <c r="BMQ6" s="207"/>
      <c r="BMR6" s="207"/>
      <c r="BMS6" s="207"/>
    </row>
    <row r="7" spans="1:1713" s="82" customFormat="1" ht="43.5" x14ac:dyDescent="0.35">
      <c r="B7" s="81"/>
      <c r="C7" s="81"/>
      <c r="F7" s="61"/>
      <c r="J7" s="83"/>
      <c r="L7" s="84"/>
      <c r="N7" s="84"/>
      <c r="W7" s="82" t="b">
        <f>X7=detail_table[[#Headers],[Q5a | First name | Client Doesn''t Know or Client Refused]]</f>
        <v>0</v>
      </c>
      <c r="X7" s="212" t="s">
        <v>70</v>
      </c>
      <c r="Y7" s="212"/>
      <c r="Z7" s="213" t="s">
        <v>71</v>
      </c>
      <c r="AA7" s="213"/>
      <c r="AB7" s="212" t="s">
        <v>16</v>
      </c>
      <c r="AC7" s="212"/>
      <c r="AD7" s="235" t="s">
        <v>2200</v>
      </c>
      <c r="AE7" s="235"/>
      <c r="AF7" s="212" t="s">
        <v>6</v>
      </c>
      <c r="AG7" s="212"/>
      <c r="AH7" s="213" t="s">
        <v>2201</v>
      </c>
      <c r="AI7" s="213"/>
      <c r="AJ7" s="212" t="s">
        <v>2202</v>
      </c>
      <c r="AK7" s="212"/>
      <c r="AL7" s="235" t="s">
        <v>2203</v>
      </c>
      <c r="AM7" s="235"/>
      <c r="AN7" s="234" t="s">
        <v>2204</v>
      </c>
      <c r="AO7" s="234"/>
      <c r="AP7" s="235" t="s">
        <v>2205</v>
      </c>
      <c r="AQ7" s="235"/>
      <c r="AR7" s="234" t="s">
        <v>2206</v>
      </c>
      <c r="AS7" s="234"/>
      <c r="AT7" s="235" t="s">
        <v>2207</v>
      </c>
      <c r="AU7" s="235"/>
      <c r="AV7" s="234" t="s">
        <v>2208</v>
      </c>
      <c r="AW7" s="234"/>
      <c r="AX7" s="235" t="s">
        <v>2209</v>
      </c>
      <c r="AY7" s="235"/>
      <c r="AZ7" s="212" t="s">
        <v>2210</v>
      </c>
      <c r="BA7" s="213" t="s">
        <v>2211</v>
      </c>
      <c r="BB7" s="212" t="s">
        <v>2212</v>
      </c>
      <c r="BC7" s="213" t="s">
        <v>2213</v>
      </c>
      <c r="BD7" s="212" t="s">
        <v>2214</v>
      </c>
      <c r="BE7" s="213" t="s">
        <v>2215</v>
      </c>
      <c r="BF7" s="212" t="s">
        <v>2216</v>
      </c>
      <c r="BG7" s="214" t="s">
        <v>2217</v>
      </c>
      <c r="BH7" s="212" t="s">
        <v>2218</v>
      </c>
      <c r="BI7" s="213" t="s">
        <v>2219</v>
      </c>
      <c r="BJ7" s="212" t="s">
        <v>2220</v>
      </c>
      <c r="BK7" s="213" t="s">
        <v>2221</v>
      </c>
      <c r="BL7" s="212" t="s">
        <v>2222</v>
      </c>
      <c r="BM7" s="213" t="s">
        <v>2223</v>
      </c>
      <c r="BN7" s="215" t="s">
        <v>2224</v>
      </c>
      <c r="BO7" s="215"/>
      <c r="BP7" s="215"/>
      <c r="BQ7" s="215"/>
      <c r="BR7" s="215"/>
      <c r="BS7" s="216" t="s">
        <v>2225</v>
      </c>
      <c r="BT7" s="216"/>
      <c r="BU7" s="216"/>
      <c r="BV7" s="216"/>
      <c r="BW7" s="216"/>
      <c r="BX7" s="215" t="s">
        <v>2226</v>
      </c>
      <c r="BY7" s="215"/>
      <c r="BZ7" s="215"/>
      <c r="CA7" s="215"/>
      <c r="CB7" s="215"/>
      <c r="CC7" s="216" t="s">
        <v>2227</v>
      </c>
      <c r="CD7" s="216"/>
      <c r="CE7" s="216"/>
      <c r="CF7" s="216"/>
      <c r="CG7" s="216"/>
      <c r="CH7" s="215" t="s">
        <v>2228</v>
      </c>
      <c r="CI7" s="215"/>
      <c r="CJ7" s="215"/>
      <c r="CK7" s="215"/>
      <c r="CL7" s="215"/>
      <c r="CM7" s="216" t="s">
        <v>2229</v>
      </c>
      <c r="CN7" s="216"/>
      <c r="CO7" s="216"/>
      <c r="CP7" s="216"/>
      <c r="CQ7" s="216"/>
      <c r="CR7" s="215" t="s">
        <v>2230</v>
      </c>
      <c r="CS7" s="215"/>
      <c r="CT7" s="215"/>
      <c r="CU7" s="215"/>
      <c r="CV7" s="215"/>
      <c r="CW7" s="216" t="s">
        <v>2231</v>
      </c>
      <c r="CX7" s="216"/>
      <c r="CY7" s="216"/>
      <c r="CZ7" s="216"/>
      <c r="DA7" s="216"/>
      <c r="DB7" s="215" t="s">
        <v>2232</v>
      </c>
      <c r="DC7" s="215"/>
      <c r="DD7" s="215"/>
      <c r="DE7" s="215"/>
      <c r="DF7" s="215"/>
      <c r="DG7" s="216" t="s">
        <v>2233</v>
      </c>
      <c r="DH7" s="216"/>
      <c r="DI7" s="216"/>
      <c r="DJ7" s="216"/>
      <c r="DK7" s="216"/>
      <c r="DL7" s="215" t="s">
        <v>2234</v>
      </c>
      <c r="DM7" s="215"/>
      <c r="DN7" s="215"/>
      <c r="DO7" s="215"/>
      <c r="DP7" s="215"/>
      <c r="DQ7" s="216" t="s">
        <v>2235</v>
      </c>
      <c r="DR7" s="216"/>
      <c r="DS7" s="216"/>
      <c r="DT7" s="216"/>
      <c r="DU7" s="216"/>
      <c r="DV7" s="215" t="s">
        <v>2236</v>
      </c>
      <c r="DW7" s="215"/>
      <c r="DX7" s="215"/>
      <c r="DY7" s="215"/>
      <c r="DZ7" s="215"/>
      <c r="EA7" s="216" t="s">
        <v>2237</v>
      </c>
      <c r="EB7" s="216"/>
      <c r="EC7" s="216"/>
      <c r="ED7" s="216"/>
      <c r="EE7" s="216"/>
      <c r="EF7" s="215" t="s">
        <v>2238</v>
      </c>
      <c r="EG7" s="215"/>
      <c r="EH7" s="215"/>
      <c r="EI7" s="215"/>
      <c r="EJ7" s="215"/>
      <c r="EK7" s="216" t="s">
        <v>2239</v>
      </c>
      <c r="EL7" s="216"/>
      <c r="EM7" s="216"/>
      <c r="EN7" s="216"/>
      <c r="EO7" s="216"/>
      <c r="EP7" s="215" t="s">
        <v>2240</v>
      </c>
      <c r="EQ7" s="215"/>
      <c r="ER7" s="215"/>
      <c r="ES7" s="215"/>
      <c r="ET7" s="215"/>
      <c r="EU7" s="216" t="s">
        <v>2241</v>
      </c>
      <c r="EV7" s="216"/>
      <c r="EW7" s="216"/>
      <c r="EX7" s="216"/>
      <c r="EY7" s="216"/>
      <c r="EZ7" s="215" t="s">
        <v>2242</v>
      </c>
      <c r="FA7" s="215"/>
      <c r="FB7" s="215"/>
      <c r="FC7" s="215"/>
      <c r="FD7" s="215"/>
      <c r="FE7" s="216" t="s">
        <v>2243</v>
      </c>
      <c r="FF7" s="216"/>
      <c r="FG7" s="216"/>
      <c r="FH7" s="216"/>
      <c r="FI7" s="216"/>
      <c r="FJ7" s="215" t="s">
        <v>2244</v>
      </c>
      <c r="FK7" s="215"/>
      <c r="FL7" s="215"/>
      <c r="FM7" s="215"/>
      <c r="FN7" s="215"/>
      <c r="FO7" s="216" t="s">
        <v>2245</v>
      </c>
      <c r="FP7" s="216"/>
      <c r="FQ7" s="216"/>
      <c r="FR7" s="216"/>
      <c r="FS7" s="215" t="s">
        <v>2246</v>
      </c>
      <c r="FT7" s="215"/>
      <c r="FU7" s="215"/>
      <c r="FV7" s="215"/>
      <c r="FW7" s="216" t="s">
        <v>2247</v>
      </c>
      <c r="FX7" s="216"/>
      <c r="FY7" s="216"/>
      <c r="FZ7" s="216"/>
      <c r="GA7" s="215" t="s">
        <v>2248</v>
      </c>
      <c r="GB7" s="215"/>
      <c r="GC7" s="215"/>
      <c r="GD7" s="215"/>
      <c r="GE7" s="216" t="s">
        <v>2249</v>
      </c>
      <c r="GF7" s="216"/>
      <c r="GG7" s="216"/>
      <c r="GH7" s="216"/>
      <c r="GI7" s="215" t="s">
        <v>2250</v>
      </c>
      <c r="GJ7" s="215"/>
      <c r="GK7" s="215"/>
      <c r="GL7" s="215"/>
      <c r="GM7" s="216" t="s">
        <v>2251</v>
      </c>
      <c r="GN7" s="216"/>
      <c r="GO7" s="216"/>
      <c r="GP7" s="216"/>
      <c r="GQ7" s="215" t="s">
        <v>2252</v>
      </c>
      <c r="GR7" s="215"/>
      <c r="GS7" s="215"/>
      <c r="GT7" s="215"/>
      <c r="GU7" s="216" t="s">
        <v>2245</v>
      </c>
      <c r="GV7" s="216"/>
      <c r="GW7" s="216"/>
      <c r="GX7" s="216"/>
      <c r="GY7" s="215" t="s">
        <v>2246</v>
      </c>
      <c r="GZ7" s="215"/>
      <c r="HA7" s="215"/>
      <c r="HB7" s="215"/>
      <c r="HC7" s="216" t="s">
        <v>2247</v>
      </c>
      <c r="HD7" s="216"/>
      <c r="HE7" s="216"/>
      <c r="HF7" s="216"/>
      <c r="HG7" s="215" t="s">
        <v>2248</v>
      </c>
      <c r="HH7" s="215"/>
      <c r="HI7" s="215"/>
      <c r="HJ7" s="215"/>
      <c r="HK7" s="216" t="s">
        <v>2249</v>
      </c>
      <c r="HL7" s="216"/>
      <c r="HM7" s="213"/>
      <c r="HN7" s="213"/>
      <c r="HO7" s="215" t="s">
        <v>2250</v>
      </c>
      <c r="HP7" s="215"/>
      <c r="HQ7" s="215"/>
      <c r="HR7" s="215"/>
      <c r="HS7" s="216" t="s">
        <v>2251</v>
      </c>
      <c r="HT7" s="216"/>
      <c r="HU7" s="213"/>
      <c r="HV7" s="213"/>
      <c r="HW7" s="215" t="s">
        <v>2252</v>
      </c>
      <c r="HX7" s="215"/>
      <c r="HY7" s="215"/>
      <c r="HZ7" s="215"/>
      <c r="IA7" s="213" t="s">
        <v>2245</v>
      </c>
      <c r="IB7" s="213"/>
      <c r="IC7" s="213"/>
      <c r="ID7" s="213"/>
      <c r="IE7" s="213"/>
      <c r="IF7" s="215" t="s">
        <v>2246</v>
      </c>
      <c r="IG7" s="215"/>
      <c r="IH7" s="215"/>
      <c r="II7" s="215"/>
      <c r="IJ7" s="212"/>
      <c r="IK7" s="235" t="s">
        <v>2247</v>
      </c>
      <c r="IL7" s="235"/>
      <c r="IM7" s="235"/>
      <c r="IN7" s="235"/>
      <c r="IO7" s="235"/>
      <c r="IP7" s="234" t="s">
        <v>2248</v>
      </c>
      <c r="IQ7" s="234"/>
      <c r="IR7" s="234"/>
      <c r="IS7" s="234"/>
      <c r="IT7" s="234"/>
      <c r="IU7" s="235" t="s">
        <v>2249</v>
      </c>
      <c r="IV7" s="235"/>
      <c r="IW7" s="235"/>
      <c r="IX7" s="235"/>
      <c r="IY7" s="235"/>
      <c r="IZ7" s="234" t="s">
        <v>2250</v>
      </c>
      <c r="JA7" s="234"/>
      <c r="JB7" s="234"/>
      <c r="JC7" s="234"/>
      <c r="JD7" s="234"/>
      <c r="JE7" s="235" t="s">
        <v>2251</v>
      </c>
      <c r="JF7" s="235"/>
      <c r="JG7" s="235"/>
      <c r="JH7" s="235"/>
      <c r="JI7" s="235"/>
      <c r="JJ7" s="234" t="s">
        <v>2252</v>
      </c>
      <c r="JK7" s="234"/>
      <c r="JL7" s="234"/>
      <c r="JM7" s="234"/>
      <c r="JN7" s="234"/>
      <c r="JO7" s="213" t="s">
        <v>2245</v>
      </c>
      <c r="JP7" s="213"/>
      <c r="JQ7" s="213"/>
      <c r="JR7" s="213"/>
      <c r="JS7" s="213"/>
      <c r="JT7" s="213"/>
      <c r="JU7" s="213"/>
      <c r="JV7" s="212" t="s">
        <v>2246</v>
      </c>
      <c r="JW7" s="212"/>
      <c r="JX7" s="212"/>
      <c r="JY7" s="212"/>
      <c r="JZ7" s="212"/>
      <c r="KA7" s="212"/>
      <c r="KB7" s="212"/>
      <c r="KC7" s="235" t="s">
        <v>2253</v>
      </c>
      <c r="KD7" s="235"/>
      <c r="KE7" s="235"/>
      <c r="KF7" s="235"/>
      <c r="KG7" s="213"/>
      <c r="KH7" s="213"/>
      <c r="KI7" s="213"/>
      <c r="KJ7" s="234" t="s">
        <v>2248</v>
      </c>
      <c r="KK7" s="234"/>
      <c r="KL7" s="234"/>
      <c r="KM7" s="234"/>
      <c r="KN7" s="212"/>
      <c r="KO7" s="212"/>
      <c r="KP7" s="212"/>
      <c r="KQ7" s="235" t="s">
        <v>2249</v>
      </c>
      <c r="KR7" s="235"/>
      <c r="KS7" s="235"/>
      <c r="KT7" s="235"/>
      <c r="KU7" s="213"/>
      <c r="KV7" s="213"/>
      <c r="KW7" s="213"/>
      <c r="KX7" s="234" t="s">
        <v>2250</v>
      </c>
      <c r="KY7" s="234"/>
      <c r="KZ7" s="234"/>
      <c r="LA7" s="234"/>
      <c r="LB7" s="212"/>
      <c r="LC7" s="212"/>
      <c r="LD7" s="212"/>
      <c r="LE7" s="235" t="s">
        <v>2251</v>
      </c>
      <c r="LF7" s="235"/>
      <c r="LG7" s="235"/>
      <c r="LH7" s="235"/>
      <c r="LI7" s="213"/>
      <c r="LJ7" s="213"/>
      <c r="LK7" s="213"/>
      <c r="LL7" s="234" t="s">
        <v>2254</v>
      </c>
      <c r="LM7" s="234"/>
      <c r="LN7" s="234"/>
      <c r="LO7" s="234"/>
      <c r="LP7" s="212"/>
      <c r="LQ7" s="212"/>
      <c r="LR7" s="212"/>
      <c r="LS7" s="235" t="s">
        <v>2255</v>
      </c>
      <c r="LT7" s="235"/>
      <c r="LU7" s="213"/>
      <c r="LV7" s="213"/>
      <c r="LW7" s="213"/>
      <c r="LX7" s="215" t="s">
        <v>2256</v>
      </c>
      <c r="LY7" s="215"/>
      <c r="LZ7" s="215"/>
      <c r="MA7" s="215"/>
      <c r="MB7" s="212"/>
      <c r="MC7" s="217" t="s">
        <v>2257</v>
      </c>
      <c r="MD7" s="217"/>
      <c r="ME7" s="217"/>
      <c r="MF7" s="217"/>
      <c r="MG7" s="217"/>
      <c r="MH7" s="218" t="s">
        <v>2258</v>
      </c>
      <c r="MI7" s="218"/>
      <c r="MJ7" s="218"/>
      <c r="MK7" s="218"/>
      <c r="ML7" s="218"/>
      <c r="MM7" s="217" t="s">
        <v>2259</v>
      </c>
      <c r="MN7" s="217"/>
      <c r="MO7" s="217"/>
      <c r="MP7" s="217"/>
      <c r="MQ7" s="217"/>
      <c r="MR7" s="218" t="s">
        <v>2260</v>
      </c>
      <c r="MS7" s="218"/>
      <c r="MT7" s="218"/>
      <c r="MU7" s="218"/>
      <c r="MV7" s="218"/>
      <c r="MW7" s="217" t="s">
        <v>2261</v>
      </c>
      <c r="MX7" s="217"/>
      <c r="MY7" s="217"/>
      <c r="MZ7" s="217"/>
      <c r="NA7" s="217"/>
      <c r="NB7" s="218" t="s">
        <v>2262</v>
      </c>
      <c r="NC7" s="218"/>
      <c r="ND7" s="218"/>
      <c r="NE7" s="218"/>
      <c r="NF7" s="218"/>
      <c r="NG7" s="213" t="s">
        <v>2263</v>
      </c>
      <c r="NH7" s="213"/>
      <c r="NI7" s="213"/>
      <c r="NJ7" s="213"/>
      <c r="NK7" s="213"/>
      <c r="NL7" s="215" t="s">
        <v>2264</v>
      </c>
      <c r="NM7" s="215"/>
      <c r="NN7" s="215"/>
      <c r="NO7" s="215"/>
      <c r="NP7" s="212"/>
      <c r="NQ7" s="235" t="s">
        <v>2265</v>
      </c>
      <c r="NR7" s="235"/>
      <c r="NS7" s="235"/>
      <c r="NT7" s="217"/>
      <c r="NU7" s="217"/>
      <c r="NV7" s="218" t="s">
        <v>2266</v>
      </c>
      <c r="NW7" s="218"/>
      <c r="NX7" s="218"/>
      <c r="NY7" s="218"/>
      <c r="NZ7" s="218"/>
      <c r="OA7" s="235" t="s">
        <v>2267</v>
      </c>
      <c r="OB7" s="235"/>
      <c r="OC7" s="235"/>
      <c r="OD7" s="235"/>
      <c r="OE7" s="235"/>
      <c r="OF7" s="234" t="s">
        <v>2268</v>
      </c>
      <c r="OG7" s="234"/>
      <c r="OH7" s="234"/>
      <c r="OI7" s="234"/>
      <c r="OJ7" s="234"/>
      <c r="OK7" s="235" t="s">
        <v>2269</v>
      </c>
      <c r="OL7" s="235"/>
      <c r="OM7" s="235"/>
      <c r="ON7" s="235"/>
      <c r="OO7" s="235"/>
      <c r="OP7" s="234" t="s">
        <v>2270</v>
      </c>
      <c r="OQ7" s="234"/>
      <c r="OR7" s="234"/>
      <c r="OS7" s="234"/>
      <c r="OT7" s="234"/>
      <c r="OU7" s="235" t="s">
        <v>2271</v>
      </c>
      <c r="OV7" s="235"/>
      <c r="OW7" s="235"/>
      <c r="OX7" s="235"/>
      <c r="OY7" s="235"/>
      <c r="OZ7" s="236" t="s">
        <v>2272</v>
      </c>
      <c r="PA7" s="236"/>
      <c r="PB7" s="236"/>
      <c r="PC7" s="236"/>
      <c r="PD7" s="236"/>
      <c r="PE7" s="235" t="s">
        <v>2273</v>
      </c>
      <c r="PF7" s="235"/>
      <c r="PG7" s="235"/>
      <c r="PH7" s="235"/>
      <c r="PI7" s="235"/>
      <c r="PJ7" s="234" t="s">
        <v>2274</v>
      </c>
      <c r="PK7" s="234"/>
      <c r="PL7" s="234"/>
      <c r="PM7" s="234"/>
      <c r="PN7" s="234"/>
      <c r="PO7" s="235" t="s">
        <v>2275</v>
      </c>
      <c r="PP7" s="235"/>
      <c r="PQ7" s="235"/>
      <c r="PR7" s="235"/>
      <c r="PS7" s="235"/>
      <c r="PT7" s="234" t="s">
        <v>2276</v>
      </c>
      <c r="PU7" s="234"/>
      <c r="PV7" s="234"/>
      <c r="PW7" s="234"/>
      <c r="PX7" s="234"/>
      <c r="PY7" s="235" t="s">
        <v>2277</v>
      </c>
      <c r="PZ7" s="235"/>
      <c r="QA7" s="235"/>
      <c r="QB7" s="235"/>
      <c r="QC7" s="235"/>
      <c r="QD7" s="234" t="s">
        <v>2226</v>
      </c>
      <c r="QE7" s="234"/>
      <c r="QF7" s="234"/>
      <c r="QG7" s="234"/>
      <c r="QH7" s="234"/>
      <c r="QI7" s="235" t="s">
        <v>2227</v>
      </c>
      <c r="QJ7" s="235"/>
      <c r="QK7" s="235"/>
      <c r="QL7" s="235"/>
      <c r="QM7" s="235"/>
      <c r="QN7" s="236" t="s">
        <v>2228</v>
      </c>
      <c r="QO7" s="236"/>
      <c r="QP7" s="236"/>
      <c r="QQ7" s="236"/>
      <c r="QR7" s="236"/>
      <c r="QS7" s="235" t="s">
        <v>2278</v>
      </c>
      <c r="QT7" s="235"/>
      <c r="QU7" s="235"/>
      <c r="QV7" s="235"/>
      <c r="QW7" s="235"/>
      <c r="QX7" s="234" t="s">
        <v>2279</v>
      </c>
      <c r="QY7" s="234"/>
      <c r="QZ7" s="234"/>
      <c r="RA7" s="234"/>
      <c r="RB7" s="234"/>
      <c r="RC7" s="235" t="s">
        <v>2280</v>
      </c>
      <c r="RD7" s="235"/>
      <c r="RE7" s="235"/>
      <c r="RF7" s="235"/>
      <c r="RG7" s="235"/>
      <c r="RH7" s="234" t="s">
        <v>2281</v>
      </c>
      <c r="RI7" s="234"/>
      <c r="RJ7" s="234"/>
      <c r="RK7" s="234"/>
      <c r="RL7" s="234"/>
      <c r="RM7" s="235" t="s">
        <v>2282</v>
      </c>
      <c r="RN7" s="235"/>
      <c r="RO7" s="235"/>
      <c r="RP7" s="235"/>
      <c r="RQ7" s="235"/>
      <c r="RR7" s="234" t="s">
        <v>2283</v>
      </c>
      <c r="RS7" s="234"/>
      <c r="RT7" s="234"/>
      <c r="RU7" s="234"/>
      <c r="RV7" s="234"/>
      <c r="RW7" s="235" t="s">
        <v>2284</v>
      </c>
      <c r="RX7" s="235"/>
      <c r="RY7" s="235"/>
      <c r="RZ7" s="235"/>
      <c r="SA7" s="235"/>
      <c r="SB7" s="236" t="s">
        <v>2285</v>
      </c>
      <c r="SC7" s="236"/>
      <c r="SD7" s="236"/>
      <c r="SE7" s="236"/>
      <c r="SF7" s="236"/>
      <c r="SG7" s="235" t="s">
        <v>2278</v>
      </c>
      <c r="SH7" s="235"/>
      <c r="SI7" s="235"/>
      <c r="SJ7" s="235"/>
      <c r="SK7" s="235"/>
      <c r="SL7" s="234" t="s">
        <v>2279</v>
      </c>
      <c r="SM7" s="234"/>
      <c r="SN7" s="234"/>
      <c r="SO7" s="234"/>
      <c r="SP7" s="234"/>
      <c r="SQ7" s="235" t="s">
        <v>2280</v>
      </c>
      <c r="SR7" s="235"/>
      <c r="SS7" s="235"/>
      <c r="ST7" s="235"/>
      <c r="SU7" s="235"/>
      <c r="SV7" s="234" t="s">
        <v>2281</v>
      </c>
      <c r="SW7" s="234"/>
      <c r="SX7" s="234"/>
      <c r="SY7" s="234"/>
      <c r="SZ7" s="234"/>
      <c r="TA7" s="235" t="s">
        <v>2282</v>
      </c>
      <c r="TB7" s="235"/>
      <c r="TC7" s="235"/>
      <c r="TD7" s="235"/>
      <c r="TE7" s="235"/>
      <c r="TF7" s="234" t="s">
        <v>2283</v>
      </c>
      <c r="TG7" s="234"/>
      <c r="TH7" s="234"/>
      <c r="TI7" s="234"/>
      <c r="TJ7" s="234"/>
      <c r="TK7" s="235" t="s">
        <v>2284</v>
      </c>
      <c r="TL7" s="235"/>
      <c r="TM7" s="235"/>
      <c r="TN7" s="235"/>
      <c r="TO7" s="235"/>
      <c r="TP7" s="236" t="s">
        <v>2285</v>
      </c>
      <c r="TQ7" s="236"/>
      <c r="TR7" s="236"/>
      <c r="TS7" s="236"/>
      <c r="TT7" s="236"/>
      <c r="TU7" s="235" t="s">
        <v>2278</v>
      </c>
      <c r="TV7" s="235"/>
      <c r="TW7" s="235"/>
      <c r="TX7" s="235"/>
      <c r="TY7" s="235"/>
      <c r="TZ7" s="234" t="s">
        <v>2279</v>
      </c>
      <c r="UA7" s="234"/>
      <c r="UB7" s="234"/>
      <c r="UC7" s="234"/>
      <c r="UD7" s="234"/>
      <c r="UE7" s="235" t="s">
        <v>2280</v>
      </c>
      <c r="UF7" s="235"/>
      <c r="UG7" s="235"/>
      <c r="UH7" s="235"/>
      <c r="UI7" s="235"/>
      <c r="UJ7" s="234" t="s">
        <v>2281</v>
      </c>
      <c r="UK7" s="234"/>
      <c r="UL7" s="234"/>
      <c r="UM7" s="234"/>
      <c r="UN7" s="234"/>
      <c r="UO7" s="235" t="s">
        <v>2282</v>
      </c>
      <c r="UP7" s="235"/>
      <c r="UQ7" s="235"/>
      <c r="UR7" s="235"/>
      <c r="US7" s="235"/>
      <c r="UT7" s="234" t="s">
        <v>2283</v>
      </c>
      <c r="UU7" s="234"/>
      <c r="UV7" s="234"/>
      <c r="UW7" s="234"/>
      <c r="UX7" s="234"/>
      <c r="UY7" s="235" t="s">
        <v>2284</v>
      </c>
      <c r="UZ7" s="235"/>
      <c r="VA7" s="235"/>
      <c r="VB7" s="235"/>
      <c r="VC7" s="235"/>
      <c r="VD7" s="236" t="s">
        <v>2285</v>
      </c>
      <c r="VE7" s="236"/>
      <c r="VF7" s="236"/>
      <c r="VG7" s="236"/>
      <c r="VH7" s="236"/>
      <c r="VI7" s="217" t="s">
        <v>2286</v>
      </c>
      <c r="VJ7" s="217"/>
      <c r="VK7" s="217"/>
      <c r="VL7" s="217"/>
      <c r="VM7" s="217"/>
      <c r="VN7" s="218" t="s">
        <v>2287</v>
      </c>
      <c r="VO7" s="218"/>
      <c r="VP7" s="218"/>
      <c r="VQ7" s="218"/>
      <c r="VR7" s="218"/>
      <c r="VS7" s="235" t="s">
        <v>2226</v>
      </c>
      <c r="VT7" s="235"/>
      <c r="VU7" s="235"/>
      <c r="VV7" s="235"/>
      <c r="VW7" s="235"/>
      <c r="VX7" s="234" t="s">
        <v>2227</v>
      </c>
      <c r="VY7" s="234"/>
      <c r="VZ7" s="234"/>
      <c r="WA7" s="234"/>
      <c r="WB7" s="234"/>
      <c r="WC7" s="217" t="s">
        <v>2228</v>
      </c>
      <c r="WD7" s="217"/>
      <c r="WE7" s="217"/>
      <c r="WF7" s="217"/>
      <c r="WG7" s="217"/>
      <c r="WH7" s="218" t="s">
        <v>2286</v>
      </c>
      <c r="WI7" s="218"/>
      <c r="WJ7" s="218"/>
      <c r="WK7" s="218"/>
      <c r="WL7" s="218"/>
      <c r="WM7" s="213" t="s">
        <v>2287</v>
      </c>
      <c r="WN7" s="213"/>
      <c r="WO7" s="213"/>
      <c r="WP7" s="213"/>
      <c r="WQ7" s="213"/>
      <c r="WR7" s="215" t="s">
        <v>2226</v>
      </c>
      <c r="WS7" s="215"/>
      <c r="WT7" s="215"/>
      <c r="WU7" s="215"/>
      <c r="WV7" s="212"/>
      <c r="WW7" s="237" t="s">
        <v>2227</v>
      </c>
      <c r="WX7" s="237"/>
      <c r="WY7" s="237"/>
      <c r="WZ7" s="237"/>
      <c r="XA7" s="237"/>
      <c r="XB7" s="218" t="s">
        <v>2228</v>
      </c>
      <c r="XC7" s="218"/>
      <c r="XD7" s="218"/>
      <c r="XE7" s="218"/>
      <c r="XF7" s="218"/>
      <c r="XG7" s="237" t="s">
        <v>2288</v>
      </c>
      <c r="XH7" s="237"/>
      <c r="XI7" s="237"/>
      <c r="XJ7" s="237"/>
      <c r="XK7" s="237"/>
      <c r="XL7" s="238" t="s">
        <v>2289</v>
      </c>
      <c r="XM7" s="238"/>
      <c r="XN7" s="238"/>
      <c r="XO7" s="238"/>
      <c r="XP7" s="238"/>
      <c r="XQ7" s="237" t="s">
        <v>2290</v>
      </c>
      <c r="XR7" s="237"/>
      <c r="XS7" s="237"/>
      <c r="XT7" s="237"/>
      <c r="XU7" s="237"/>
      <c r="XV7" s="238" t="s">
        <v>2291</v>
      </c>
      <c r="XW7" s="238"/>
      <c r="XX7" s="238"/>
      <c r="XY7" s="238"/>
      <c r="XZ7" s="238"/>
      <c r="YA7" s="237" t="s">
        <v>2292</v>
      </c>
      <c r="YB7" s="237"/>
      <c r="YC7" s="237"/>
      <c r="YD7" s="237"/>
      <c r="YE7" s="237"/>
      <c r="YF7" s="218" t="s">
        <v>2293</v>
      </c>
      <c r="YG7" s="218"/>
      <c r="YH7" s="218"/>
      <c r="YI7" s="218"/>
      <c r="YJ7" s="218"/>
      <c r="YK7" s="237" t="s">
        <v>2294</v>
      </c>
      <c r="YL7" s="237"/>
      <c r="YM7" s="237"/>
      <c r="YN7" s="237"/>
      <c r="YO7" s="237"/>
      <c r="YP7" s="238" t="s">
        <v>2295</v>
      </c>
      <c r="YQ7" s="238"/>
      <c r="YR7" s="238"/>
      <c r="YS7" s="238"/>
      <c r="YT7" s="238"/>
      <c r="YU7" s="237" t="s">
        <v>2296</v>
      </c>
      <c r="YV7" s="237"/>
      <c r="YW7" s="237"/>
      <c r="YX7" s="237"/>
      <c r="YY7" s="237"/>
      <c r="YZ7" s="238" t="s">
        <v>2297</v>
      </c>
      <c r="ZA7" s="238"/>
      <c r="ZB7" s="238"/>
      <c r="ZC7" s="238"/>
      <c r="ZD7" s="238"/>
      <c r="ZE7" s="237" t="s">
        <v>2298</v>
      </c>
      <c r="ZF7" s="237"/>
      <c r="ZG7" s="237"/>
      <c r="ZH7" s="237"/>
      <c r="ZI7" s="237"/>
      <c r="ZJ7" s="215" t="s">
        <v>2299</v>
      </c>
      <c r="ZK7" s="215"/>
      <c r="ZL7" s="215"/>
      <c r="ZM7" s="215"/>
      <c r="ZN7" s="212"/>
      <c r="ZO7" s="237" t="s">
        <v>2300</v>
      </c>
      <c r="ZP7" s="237"/>
      <c r="ZQ7" s="237"/>
      <c r="ZR7" s="237"/>
      <c r="ZS7" s="237"/>
      <c r="ZT7" s="238" t="s">
        <v>2301</v>
      </c>
      <c r="ZU7" s="238"/>
      <c r="ZV7" s="238"/>
      <c r="ZW7" s="238"/>
      <c r="ZX7" s="238"/>
      <c r="ZY7" s="217" t="s">
        <v>2302</v>
      </c>
      <c r="ZZ7" s="217"/>
      <c r="AAA7" s="217"/>
      <c r="AAB7" s="217"/>
      <c r="AAC7" s="217"/>
      <c r="AAD7" s="238" t="s">
        <v>2303</v>
      </c>
      <c r="AAE7" s="238"/>
      <c r="AAF7" s="238"/>
      <c r="AAG7" s="238"/>
      <c r="AAH7" s="238"/>
      <c r="AAI7" s="237" t="s">
        <v>2464</v>
      </c>
      <c r="AAJ7" s="237"/>
      <c r="AAK7" s="237"/>
      <c r="AAL7" s="237"/>
      <c r="AAM7" s="237"/>
      <c r="AAN7" s="238" t="s">
        <v>2304</v>
      </c>
      <c r="AAO7" s="238"/>
      <c r="AAP7" s="238"/>
      <c r="AAQ7" s="238"/>
      <c r="AAR7" s="238"/>
      <c r="AAS7" s="237" t="s">
        <v>2305</v>
      </c>
      <c r="AAT7" s="237"/>
      <c r="AAU7" s="237"/>
      <c r="AAV7" s="237"/>
      <c r="AAW7" s="237"/>
      <c r="AAX7" s="238" t="s">
        <v>2306</v>
      </c>
      <c r="AAY7" s="238"/>
      <c r="AAZ7" s="238"/>
      <c r="ABA7" s="238"/>
      <c r="ABB7" s="238"/>
      <c r="ABC7" s="237" t="s">
        <v>2307</v>
      </c>
      <c r="ABD7" s="237"/>
      <c r="ABE7" s="237"/>
      <c r="ABF7" s="237"/>
      <c r="ABG7" s="237"/>
      <c r="ABH7" s="238" t="s">
        <v>2308</v>
      </c>
      <c r="ABI7" s="238"/>
      <c r="ABJ7" s="238"/>
      <c r="ABK7" s="238"/>
      <c r="ABL7" s="238"/>
      <c r="ABM7" s="237" t="s">
        <v>2309</v>
      </c>
      <c r="ABN7" s="237"/>
      <c r="ABO7" s="237"/>
      <c r="ABP7" s="237"/>
      <c r="ABQ7" s="237"/>
      <c r="ABR7" s="238" t="s">
        <v>2310</v>
      </c>
      <c r="ABS7" s="238"/>
      <c r="ABT7" s="238"/>
      <c r="ABU7" s="238"/>
      <c r="ABV7" s="238"/>
      <c r="ABW7" s="237" t="s">
        <v>2311</v>
      </c>
      <c r="ABX7" s="237"/>
      <c r="ABY7" s="237"/>
      <c r="ABZ7" s="237"/>
      <c r="ACA7" s="237"/>
      <c r="ACB7" s="215" t="s">
        <v>2312</v>
      </c>
      <c r="ACC7" s="215"/>
      <c r="ACD7" s="215"/>
      <c r="ACE7" s="215"/>
      <c r="ACF7" s="212"/>
      <c r="ACG7" s="217" t="s">
        <v>2313</v>
      </c>
      <c r="ACH7" s="217"/>
      <c r="ACI7" s="217"/>
      <c r="ACJ7" s="217"/>
      <c r="ACK7" s="217"/>
      <c r="ACL7" s="238" t="s">
        <v>2314</v>
      </c>
      <c r="ACM7" s="238"/>
      <c r="ACN7" s="238"/>
      <c r="ACO7" s="238"/>
      <c r="ACP7" s="238"/>
      <c r="ACQ7" s="237" t="s">
        <v>2315</v>
      </c>
      <c r="ACR7" s="237"/>
      <c r="ACS7" s="237"/>
      <c r="ACT7" s="237"/>
      <c r="ACU7" s="237"/>
      <c r="ACV7" s="218" t="s">
        <v>2316</v>
      </c>
      <c r="ACW7" s="218"/>
      <c r="ACX7" s="218"/>
      <c r="ACY7" s="218"/>
      <c r="ACZ7" s="218"/>
      <c r="ADA7" s="217" t="s">
        <v>2317</v>
      </c>
      <c r="ADB7" s="217"/>
      <c r="ADC7" s="217"/>
      <c r="ADD7" s="217"/>
      <c r="ADE7" s="217"/>
      <c r="ADF7" s="234" t="s">
        <v>2318</v>
      </c>
      <c r="ADG7" s="234"/>
      <c r="ADH7" s="234"/>
      <c r="ADI7" s="219" t="s">
        <v>2319</v>
      </c>
      <c r="ADJ7" s="219"/>
      <c r="ADK7" s="219"/>
      <c r="ADL7" s="234" t="s">
        <v>2320</v>
      </c>
      <c r="ADM7" s="234"/>
      <c r="ADN7" s="234"/>
      <c r="ADO7" s="235" t="s">
        <v>2321</v>
      </c>
      <c r="ADP7" s="235"/>
      <c r="ADQ7" s="235"/>
      <c r="ADR7" s="234" t="s">
        <v>2322</v>
      </c>
      <c r="ADS7" s="234"/>
      <c r="ADT7" s="234"/>
      <c r="ADU7" s="235" t="s">
        <v>2323</v>
      </c>
      <c r="ADV7" s="235"/>
      <c r="ADW7" s="235"/>
      <c r="ADX7" s="241" t="s">
        <v>2324</v>
      </c>
      <c r="ADY7" s="241"/>
      <c r="ADZ7" s="241"/>
      <c r="AEA7" s="242" t="s">
        <v>2454</v>
      </c>
      <c r="AEB7" s="242"/>
      <c r="AEC7" s="242"/>
      <c r="AED7" s="239" t="s">
        <v>2325</v>
      </c>
      <c r="AEE7" s="239"/>
      <c r="AEF7" s="239"/>
      <c r="AEG7" s="240" t="s">
        <v>2326</v>
      </c>
      <c r="AEH7" s="240"/>
      <c r="AEI7" s="240"/>
      <c r="AEJ7" s="239" t="s">
        <v>2327</v>
      </c>
      <c r="AEK7" s="239"/>
      <c r="AEL7" s="239"/>
      <c r="AEM7" s="240" t="s">
        <v>2328</v>
      </c>
      <c r="AEN7" s="240"/>
      <c r="AEO7" s="240"/>
      <c r="AEP7" s="239" t="s">
        <v>2329</v>
      </c>
      <c r="AEQ7" s="239"/>
      <c r="AER7" s="239"/>
      <c r="AES7" s="240" t="s">
        <v>2330</v>
      </c>
      <c r="AET7" s="240"/>
      <c r="AEU7" s="240"/>
      <c r="AEV7" s="239" t="s">
        <v>2331</v>
      </c>
      <c r="AEW7" s="239"/>
      <c r="AEX7" s="239"/>
      <c r="AEY7" s="240" t="s">
        <v>2332</v>
      </c>
      <c r="AEZ7" s="240"/>
      <c r="AFA7" s="240"/>
      <c r="AFB7" s="239" t="s">
        <v>2333</v>
      </c>
      <c r="AFC7" s="239"/>
      <c r="AFD7" s="239"/>
      <c r="AFE7" s="240" t="s">
        <v>2334</v>
      </c>
      <c r="AFF7" s="240"/>
      <c r="AFG7" s="240"/>
      <c r="AFH7" s="239" t="s">
        <v>2335</v>
      </c>
      <c r="AFI7" s="239"/>
      <c r="AFJ7" s="239"/>
      <c r="AFK7" s="240" t="s">
        <v>2336</v>
      </c>
      <c r="AFL7" s="240"/>
      <c r="AFM7" s="240"/>
      <c r="AFN7" s="237" t="s">
        <v>2337</v>
      </c>
      <c r="AFO7" s="237"/>
      <c r="AFP7" s="237"/>
      <c r="AFQ7" s="238" t="s">
        <v>2338</v>
      </c>
      <c r="AFR7" s="238"/>
      <c r="AFS7" s="238"/>
      <c r="AFT7" s="237" t="s">
        <v>2339</v>
      </c>
      <c r="AFU7" s="237"/>
      <c r="AFV7" s="237"/>
      <c r="AFW7" s="238" t="s">
        <v>2340</v>
      </c>
      <c r="AFX7" s="238"/>
      <c r="AFY7" s="238"/>
      <c r="AFZ7" s="237" t="s">
        <v>2341</v>
      </c>
      <c r="AGA7" s="237"/>
      <c r="AGB7" s="237"/>
      <c r="AGC7" s="238" t="s">
        <v>2342</v>
      </c>
      <c r="AGD7" s="238"/>
      <c r="AGE7" s="238"/>
      <c r="AGF7" s="237" t="s">
        <v>2343</v>
      </c>
      <c r="AGG7" s="237"/>
      <c r="AGH7" s="237"/>
      <c r="AGI7" s="238" t="s">
        <v>2344</v>
      </c>
      <c r="AGJ7" s="238"/>
      <c r="AGK7" s="238"/>
      <c r="AGL7" s="237" t="s">
        <v>2345</v>
      </c>
      <c r="AGM7" s="237"/>
      <c r="AGN7" s="237"/>
      <c r="AGO7" s="238" t="s">
        <v>2346</v>
      </c>
      <c r="AGP7" s="238"/>
      <c r="AGQ7" s="238"/>
      <c r="AGR7" s="237" t="s">
        <v>2347</v>
      </c>
      <c r="AGS7" s="237"/>
      <c r="AGT7" s="237"/>
      <c r="AGU7" s="238" t="s">
        <v>2348</v>
      </c>
      <c r="AGV7" s="238"/>
      <c r="AGW7" s="238"/>
      <c r="AGX7" s="237" t="s">
        <v>2349</v>
      </c>
      <c r="AGY7" s="237"/>
      <c r="AGZ7" s="237"/>
      <c r="AHA7" s="238" t="s">
        <v>2350</v>
      </c>
      <c r="AHB7" s="238"/>
      <c r="AHC7" s="238"/>
      <c r="AHD7" s="237" t="s">
        <v>2351</v>
      </c>
      <c r="AHE7" s="237"/>
      <c r="AHF7" s="237"/>
      <c r="AHG7" s="218" t="s">
        <v>2352</v>
      </c>
      <c r="AHH7" s="218"/>
      <c r="AHI7" s="212"/>
      <c r="AHJ7" s="212"/>
      <c r="AHK7" s="212"/>
      <c r="AHL7" s="237" t="s">
        <v>2353</v>
      </c>
      <c r="AHM7" s="237"/>
      <c r="AHN7" s="237"/>
      <c r="AHO7" s="237"/>
      <c r="AHP7" s="237"/>
      <c r="AHQ7" s="238" t="s">
        <v>2354</v>
      </c>
      <c r="AHR7" s="238"/>
      <c r="AHS7" s="238"/>
      <c r="AHT7" s="238"/>
      <c r="AHU7" s="238"/>
      <c r="AHV7" s="237" t="s">
        <v>2340</v>
      </c>
      <c r="AHW7" s="237"/>
      <c r="AHX7" s="237"/>
      <c r="AHY7" s="237"/>
      <c r="AHZ7" s="237"/>
      <c r="AIA7" s="238" t="s">
        <v>2341</v>
      </c>
      <c r="AIB7" s="238"/>
      <c r="AIC7" s="238"/>
      <c r="AID7" s="238"/>
      <c r="AIE7" s="238"/>
      <c r="AIF7" s="237" t="s">
        <v>2355</v>
      </c>
      <c r="AIG7" s="237"/>
      <c r="AIH7" s="237"/>
      <c r="AII7" s="237"/>
      <c r="AIJ7" s="237"/>
      <c r="AIK7" s="238" t="s">
        <v>2356</v>
      </c>
      <c r="AIL7" s="238"/>
      <c r="AIM7" s="238"/>
      <c r="AIN7" s="238"/>
      <c r="AIO7" s="238"/>
      <c r="AIP7" s="237" t="s">
        <v>2357</v>
      </c>
      <c r="AIQ7" s="237"/>
      <c r="AIR7" s="237"/>
      <c r="AIS7" s="237"/>
      <c r="AIT7" s="237"/>
      <c r="AIU7" s="238" t="s">
        <v>2358</v>
      </c>
      <c r="AIV7" s="238"/>
      <c r="AIW7" s="238"/>
      <c r="AIX7" s="238"/>
      <c r="AIY7" s="238"/>
      <c r="AIZ7" s="213" t="s">
        <v>2359</v>
      </c>
      <c r="AJA7" s="213"/>
      <c r="AJB7" s="216"/>
      <c r="AJC7" s="216"/>
      <c r="AJD7" s="213"/>
      <c r="AJE7" s="218" t="s">
        <v>2337</v>
      </c>
      <c r="AJF7" s="218"/>
      <c r="AJG7" s="212"/>
      <c r="AJH7" s="212"/>
      <c r="AJI7" s="212"/>
      <c r="AJJ7" s="237" t="s">
        <v>2338</v>
      </c>
      <c r="AJK7" s="237"/>
      <c r="AJL7" s="237"/>
      <c r="AJM7" s="237"/>
      <c r="AJN7" s="237"/>
      <c r="AJO7" s="238" t="s">
        <v>2339</v>
      </c>
      <c r="AJP7" s="238"/>
      <c r="AJQ7" s="238"/>
      <c r="AJR7" s="238"/>
      <c r="AJS7" s="238"/>
      <c r="AJT7" s="237" t="s">
        <v>2340</v>
      </c>
      <c r="AJU7" s="237"/>
      <c r="AJV7" s="237"/>
      <c r="AJW7" s="237"/>
      <c r="AJX7" s="237"/>
      <c r="AJY7" s="238" t="s">
        <v>2341</v>
      </c>
      <c r="AJZ7" s="238"/>
      <c r="AKA7" s="238"/>
      <c r="AKB7" s="238"/>
      <c r="AKC7" s="238"/>
      <c r="AKD7" s="237" t="s">
        <v>2342</v>
      </c>
      <c r="AKE7" s="237"/>
      <c r="AKF7" s="237"/>
      <c r="AKG7" s="237"/>
      <c r="AKH7" s="237"/>
      <c r="AKI7" s="238" t="s">
        <v>2343</v>
      </c>
      <c r="AKJ7" s="238"/>
      <c r="AKK7" s="238"/>
      <c r="AKL7" s="238"/>
      <c r="AKM7" s="238"/>
      <c r="AKN7" s="237" t="s">
        <v>2344</v>
      </c>
      <c r="AKO7" s="237"/>
      <c r="AKP7" s="237"/>
      <c r="AKQ7" s="237"/>
      <c r="AKR7" s="237"/>
      <c r="AKS7" s="238" t="s">
        <v>2345</v>
      </c>
      <c r="AKT7" s="238"/>
      <c r="AKU7" s="238"/>
      <c r="AKV7" s="238"/>
      <c r="AKW7" s="238"/>
      <c r="AKX7" s="237" t="s">
        <v>2346</v>
      </c>
      <c r="AKY7" s="237"/>
      <c r="AKZ7" s="237"/>
      <c r="ALA7" s="237"/>
      <c r="ALB7" s="237"/>
      <c r="ALC7" s="238" t="s">
        <v>2347</v>
      </c>
      <c r="ALD7" s="238"/>
      <c r="ALE7" s="238"/>
      <c r="ALF7" s="238"/>
      <c r="ALG7" s="238"/>
      <c r="ALH7" s="237" t="s">
        <v>2348</v>
      </c>
      <c r="ALI7" s="237"/>
      <c r="ALJ7" s="237"/>
      <c r="ALK7" s="237"/>
      <c r="ALL7" s="237"/>
      <c r="ALM7" s="238" t="s">
        <v>2349</v>
      </c>
      <c r="ALN7" s="238"/>
      <c r="ALO7" s="238"/>
      <c r="ALP7" s="238"/>
      <c r="ALQ7" s="238"/>
      <c r="ALR7" s="237" t="s">
        <v>2350</v>
      </c>
      <c r="ALS7" s="237"/>
      <c r="ALT7" s="237"/>
      <c r="ALU7" s="237"/>
      <c r="ALV7" s="237"/>
      <c r="ALW7" s="238" t="s">
        <v>2351</v>
      </c>
      <c r="ALX7" s="238"/>
      <c r="ALY7" s="238"/>
      <c r="ALZ7" s="238"/>
      <c r="AMA7" s="238"/>
      <c r="AMB7" s="237" t="s">
        <v>2360</v>
      </c>
      <c r="AMC7" s="237"/>
      <c r="AMD7" s="237"/>
      <c r="AME7" s="237"/>
      <c r="AMF7" s="237"/>
      <c r="AMG7" s="238" t="s">
        <v>2361</v>
      </c>
      <c r="AMH7" s="238"/>
      <c r="AMI7" s="238"/>
      <c r="AMJ7" s="238"/>
      <c r="AMK7" s="238"/>
      <c r="AML7" s="237" t="s">
        <v>2362</v>
      </c>
      <c r="AMM7" s="237"/>
      <c r="AMN7" s="237"/>
      <c r="AMO7" s="237"/>
      <c r="AMP7" s="237"/>
      <c r="AMQ7" s="238" t="s">
        <v>2363</v>
      </c>
      <c r="AMR7" s="238"/>
      <c r="AMS7" s="238"/>
      <c r="AMT7" s="238"/>
      <c r="AMU7" s="238"/>
      <c r="AMV7" s="237" t="s">
        <v>2455</v>
      </c>
      <c r="AMW7" s="237"/>
      <c r="AMX7" s="237"/>
      <c r="AMY7" s="237"/>
      <c r="AMZ7" s="237"/>
      <c r="ANA7" s="238" t="s">
        <v>2364</v>
      </c>
      <c r="ANB7" s="238"/>
      <c r="ANC7" s="238"/>
      <c r="AND7" s="238"/>
      <c r="ANE7" s="238"/>
      <c r="ANF7" s="237" t="s">
        <v>2456</v>
      </c>
      <c r="ANG7" s="237"/>
      <c r="ANH7" s="237"/>
      <c r="ANI7" s="237"/>
      <c r="ANJ7" s="237"/>
      <c r="ANK7" s="238" t="s">
        <v>2457</v>
      </c>
      <c r="ANL7" s="238"/>
      <c r="ANM7" s="238"/>
      <c r="ANN7" s="238"/>
      <c r="ANO7" s="238"/>
      <c r="ANP7" s="237" t="s">
        <v>2365</v>
      </c>
      <c r="ANQ7" s="237"/>
      <c r="ANR7" s="237"/>
      <c r="ANS7" s="237"/>
      <c r="ANT7" s="237"/>
      <c r="ANU7" s="238" t="s">
        <v>2366</v>
      </c>
      <c r="ANV7" s="238"/>
      <c r="ANW7" s="238"/>
      <c r="ANX7" s="238"/>
      <c r="ANY7" s="238"/>
      <c r="ANZ7" s="237" t="s">
        <v>2367</v>
      </c>
      <c r="AOA7" s="237"/>
      <c r="AOB7" s="237"/>
      <c r="AOC7" s="237"/>
      <c r="AOD7" s="237"/>
      <c r="AOE7" s="238" t="s">
        <v>2293</v>
      </c>
      <c r="AOF7" s="238"/>
      <c r="AOG7" s="238"/>
      <c r="AOH7" s="238"/>
      <c r="AOI7" s="238"/>
      <c r="AOJ7" s="237" t="s">
        <v>2368</v>
      </c>
      <c r="AOK7" s="237"/>
      <c r="AOL7" s="237"/>
      <c r="AOM7" s="237"/>
      <c r="AON7" s="237"/>
      <c r="AOO7" s="238" t="s">
        <v>2369</v>
      </c>
      <c r="AOP7" s="238"/>
      <c r="AOQ7" s="238"/>
      <c r="AOR7" s="238"/>
      <c r="AOS7" s="238"/>
      <c r="AOT7" s="237" t="s">
        <v>2370</v>
      </c>
      <c r="AOU7" s="237"/>
      <c r="AOV7" s="237"/>
      <c r="AOW7" s="237"/>
      <c r="AOX7" s="237"/>
      <c r="AOY7" s="238" t="s">
        <v>2371</v>
      </c>
      <c r="AOZ7" s="238"/>
      <c r="APA7" s="238"/>
      <c r="APB7" s="238"/>
      <c r="APC7" s="238"/>
      <c r="APD7" s="237" t="s">
        <v>2372</v>
      </c>
      <c r="APE7" s="237"/>
      <c r="APF7" s="237"/>
      <c r="APG7" s="237"/>
      <c r="APH7" s="237"/>
      <c r="API7" s="238" t="s">
        <v>2373</v>
      </c>
      <c r="APJ7" s="238"/>
      <c r="APK7" s="238"/>
      <c r="APL7" s="238"/>
      <c r="APM7" s="238"/>
      <c r="APN7" s="237" t="s">
        <v>2374</v>
      </c>
      <c r="APO7" s="237"/>
      <c r="APP7" s="237"/>
      <c r="APQ7" s="237"/>
      <c r="APR7" s="237"/>
      <c r="APS7" s="238" t="s">
        <v>2375</v>
      </c>
      <c r="APT7" s="238"/>
      <c r="APU7" s="238"/>
      <c r="APV7" s="238"/>
      <c r="APW7" s="238"/>
      <c r="APX7" s="237" t="s">
        <v>2376</v>
      </c>
      <c r="APY7" s="237"/>
      <c r="APZ7" s="237"/>
      <c r="AQA7" s="237"/>
      <c r="AQB7" s="237"/>
      <c r="AQC7" s="238" t="s">
        <v>2302</v>
      </c>
      <c r="AQD7" s="238"/>
      <c r="AQE7" s="238"/>
      <c r="AQF7" s="238"/>
      <c r="AQG7" s="238"/>
      <c r="AQH7" s="237" t="s">
        <v>2377</v>
      </c>
      <c r="AQI7" s="237"/>
      <c r="AQJ7" s="237"/>
      <c r="AQK7" s="237"/>
      <c r="AQL7" s="237"/>
      <c r="AQM7" s="238" t="s">
        <v>2378</v>
      </c>
      <c r="AQN7" s="238"/>
      <c r="AQO7" s="238"/>
      <c r="AQP7" s="238"/>
      <c r="AQQ7" s="238"/>
      <c r="AQR7" s="237" t="s">
        <v>2379</v>
      </c>
      <c r="AQS7" s="237"/>
      <c r="AQT7" s="237"/>
      <c r="AQU7" s="237"/>
      <c r="AQV7" s="237"/>
      <c r="AQW7" s="238" t="s">
        <v>2380</v>
      </c>
      <c r="AQX7" s="238"/>
      <c r="AQY7" s="238"/>
      <c r="AQZ7" s="238"/>
      <c r="ARA7" s="238"/>
      <c r="ARB7" s="237" t="s">
        <v>2381</v>
      </c>
      <c r="ARC7" s="237"/>
      <c r="ARD7" s="237"/>
      <c r="ARE7" s="237"/>
      <c r="ARF7" s="237"/>
      <c r="ARG7" s="238" t="s">
        <v>2382</v>
      </c>
      <c r="ARH7" s="238"/>
      <c r="ARI7" s="238"/>
      <c r="ARJ7" s="238"/>
      <c r="ARK7" s="238"/>
      <c r="ARL7" s="237" t="s">
        <v>2383</v>
      </c>
      <c r="ARM7" s="237"/>
      <c r="ARN7" s="237"/>
      <c r="ARO7" s="237"/>
      <c r="ARP7" s="237"/>
      <c r="ARQ7" s="238" t="s">
        <v>2316</v>
      </c>
      <c r="ARR7" s="238"/>
      <c r="ARS7" s="238"/>
      <c r="ART7" s="238"/>
      <c r="ARU7" s="238"/>
      <c r="ARV7" s="237" t="s">
        <v>2384</v>
      </c>
      <c r="ARW7" s="237"/>
      <c r="ARX7" s="237"/>
      <c r="ARY7" s="237"/>
      <c r="ARZ7" s="237"/>
      <c r="ASA7" s="238" t="s">
        <v>2385</v>
      </c>
      <c r="ASB7" s="238"/>
      <c r="ASC7" s="238"/>
      <c r="ASD7" s="238"/>
      <c r="ASE7" s="238"/>
      <c r="ASF7" s="237" t="s">
        <v>2386</v>
      </c>
      <c r="ASG7" s="237"/>
      <c r="ASH7" s="237"/>
      <c r="ASI7" s="237"/>
      <c r="ASJ7" s="237"/>
      <c r="ASK7" s="238" t="s">
        <v>2387</v>
      </c>
      <c r="ASL7" s="238"/>
      <c r="ASM7" s="238"/>
      <c r="ASN7" s="238"/>
      <c r="ASO7" s="238"/>
      <c r="ASP7" s="237" t="s">
        <v>2388</v>
      </c>
      <c r="ASQ7" s="237"/>
      <c r="ASR7" s="237"/>
      <c r="ASS7" s="237"/>
      <c r="AST7" s="237"/>
      <c r="ASU7" s="238" t="s">
        <v>2389</v>
      </c>
      <c r="ASV7" s="238"/>
      <c r="ASW7" s="238"/>
      <c r="ASX7" s="238"/>
      <c r="ASY7" s="238"/>
      <c r="ASZ7" s="237" t="s">
        <v>2390</v>
      </c>
      <c r="ATA7" s="237"/>
      <c r="ATB7" s="237"/>
      <c r="ATC7" s="237"/>
      <c r="ATD7" s="237"/>
      <c r="ATE7" s="238" t="s">
        <v>2228</v>
      </c>
      <c r="ATF7" s="238"/>
      <c r="ATG7" s="238"/>
      <c r="ATH7" s="238"/>
      <c r="ATI7" s="238"/>
      <c r="ATJ7" s="237" t="s">
        <v>2360</v>
      </c>
      <c r="ATK7" s="237"/>
      <c r="ATL7" s="237"/>
      <c r="ATM7" s="237"/>
      <c r="ATN7" s="237"/>
      <c r="ATO7" s="238" t="s">
        <v>2361</v>
      </c>
      <c r="ATP7" s="238"/>
      <c r="ATQ7" s="238"/>
      <c r="ATR7" s="238"/>
      <c r="ATS7" s="238"/>
      <c r="ATT7" s="237" t="s">
        <v>2362</v>
      </c>
      <c r="ATU7" s="237"/>
      <c r="ATV7" s="237"/>
      <c r="ATW7" s="237"/>
      <c r="ATX7" s="237"/>
      <c r="ATY7" s="238" t="s">
        <v>2363</v>
      </c>
      <c r="ATZ7" s="238"/>
      <c r="AUA7" s="238"/>
      <c r="AUB7" s="238"/>
      <c r="AUC7" s="238"/>
      <c r="AUD7" s="237" t="s">
        <v>2455</v>
      </c>
      <c r="AUE7" s="237"/>
      <c r="AUF7" s="237"/>
      <c r="AUG7" s="237"/>
      <c r="AUH7" s="237"/>
      <c r="AUI7" s="238" t="s">
        <v>2364</v>
      </c>
      <c r="AUJ7" s="238"/>
      <c r="AUK7" s="238"/>
      <c r="AUL7" s="238"/>
      <c r="AUM7" s="238"/>
      <c r="AUN7" s="237" t="s">
        <v>2456</v>
      </c>
      <c r="AUO7" s="237"/>
      <c r="AUP7" s="237"/>
      <c r="AUQ7" s="237"/>
      <c r="AUR7" s="237"/>
      <c r="AUS7" s="238" t="s">
        <v>2457</v>
      </c>
      <c r="AUT7" s="238"/>
      <c r="AUU7" s="238"/>
      <c r="AUV7" s="238"/>
      <c r="AUW7" s="238"/>
      <c r="AUX7" s="237" t="s">
        <v>2365</v>
      </c>
      <c r="AUY7" s="237"/>
      <c r="AUZ7" s="237"/>
      <c r="AVA7" s="237"/>
      <c r="AVB7" s="237"/>
      <c r="AVC7" s="238" t="s">
        <v>2366</v>
      </c>
      <c r="AVD7" s="238"/>
      <c r="AVE7" s="238"/>
      <c r="AVF7" s="238"/>
      <c r="AVG7" s="238"/>
      <c r="AVH7" s="237" t="s">
        <v>2367</v>
      </c>
      <c r="AVI7" s="237"/>
      <c r="AVJ7" s="237"/>
      <c r="AVK7" s="237"/>
      <c r="AVL7" s="237"/>
      <c r="AVM7" s="238" t="s">
        <v>2293</v>
      </c>
      <c r="AVN7" s="238"/>
      <c r="AVO7" s="238"/>
      <c r="AVP7" s="238"/>
      <c r="AVQ7" s="238"/>
      <c r="AVR7" s="237" t="s">
        <v>2368</v>
      </c>
      <c r="AVS7" s="237"/>
      <c r="AVT7" s="237"/>
      <c r="AVU7" s="237"/>
      <c r="AVV7" s="237"/>
      <c r="AVW7" s="238" t="s">
        <v>2369</v>
      </c>
      <c r="AVX7" s="238"/>
      <c r="AVY7" s="238"/>
      <c r="AVZ7" s="238"/>
      <c r="AWA7" s="238"/>
      <c r="AWB7" s="237" t="s">
        <v>2370</v>
      </c>
      <c r="AWC7" s="237"/>
      <c r="AWD7" s="237"/>
      <c r="AWE7" s="237"/>
      <c r="AWF7" s="237"/>
      <c r="AWG7" s="238" t="s">
        <v>2371</v>
      </c>
      <c r="AWH7" s="238"/>
      <c r="AWI7" s="238"/>
      <c r="AWJ7" s="238"/>
      <c r="AWK7" s="238"/>
      <c r="AWL7" s="237" t="s">
        <v>2372</v>
      </c>
      <c r="AWM7" s="237"/>
      <c r="AWN7" s="237"/>
      <c r="AWO7" s="237"/>
      <c r="AWP7" s="237"/>
      <c r="AWQ7" s="238" t="s">
        <v>2373</v>
      </c>
      <c r="AWR7" s="238"/>
      <c r="AWS7" s="238"/>
      <c r="AWT7" s="238"/>
      <c r="AWU7" s="238"/>
      <c r="AWV7" s="237" t="s">
        <v>2374</v>
      </c>
      <c r="AWW7" s="237"/>
      <c r="AWX7" s="237"/>
      <c r="AWY7" s="237"/>
      <c r="AWZ7" s="237"/>
      <c r="AXA7" s="238" t="s">
        <v>2375</v>
      </c>
      <c r="AXB7" s="238"/>
      <c r="AXC7" s="238"/>
      <c r="AXD7" s="238"/>
      <c r="AXE7" s="238"/>
      <c r="AXF7" s="237" t="s">
        <v>2376</v>
      </c>
      <c r="AXG7" s="237"/>
      <c r="AXH7" s="237"/>
      <c r="AXI7" s="237"/>
      <c r="AXJ7" s="237"/>
      <c r="AXK7" s="238" t="s">
        <v>2302</v>
      </c>
      <c r="AXL7" s="238"/>
      <c r="AXM7" s="238"/>
      <c r="AXN7" s="238"/>
      <c r="AXO7" s="238"/>
      <c r="AXP7" s="237" t="s">
        <v>2377</v>
      </c>
      <c r="AXQ7" s="237"/>
      <c r="AXR7" s="237"/>
      <c r="AXS7" s="237"/>
      <c r="AXT7" s="237"/>
      <c r="AXU7" s="238" t="s">
        <v>2378</v>
      </c>
      <c r="AXV7" s="238"/>
      <c r="AXW7" s="238"/>
      <c r="AXX7" s="238"/>
      <c r="AXY7" s="238"/>
      <c r="AXZ7" s="237" t="s">
        <v>2379</v>
      </c>
      <c r="AYA7" s="237"/>
      <c r="AYB7" s="237"/>
      <c r="AYC7" s="237"/>
      <c r="AYD7" s="237"/>
      <c r="AYE7" s="238" t="s">
        <v>2380</v>
      </c>
      <c r="AYF7" s="238"/>
      <c r="AYG7" s="238"/>
      <c r="AYH7" s="238"/>
      <c r="AYI7" s="238"/>
      <c r="AYJ7" s="237" t="s">
        <v>2381</v>
      </c>
      <c r="AYK7" s="237"/>
      <c r="AYL7" s="237"/>
      <c r="AYM7" s="237"/>
      <c r="AYN7" s="237"/>
      <c r="AYO7" s="238" t="s">
        <v>2382</v>
      </c>
      <c r="AYP7" s="238"/>
      <c r="AYQ7" s="238"/>
      <c r="AYR7" s="238"/>
      <c r="AYS7" s="238"/>
      <c r="AYT7" s="237" t="s">
        <v>2383</v>
      </c>
      <c r="AYU7" s="237"/>
      <c r="AYV7" s="237"/>
      <c r="AYW7" s="237"/>
      <c r="AYX7" s="237"/>
      <c r="AYY7" s="238" t="s">
        <v>2316</v>
      </c>
      <c r="AYZ7" s="238"/>
      <c r="AZA7" s="238"/>
      <c r="AZB7" s="238"/>
      <c r="AZC7" s="238"/>
      <c r="AZD7" s="237" t="s">
        <v>2384</v>
      </c>
      <c r="AZE7" s="237"/>
      <c r="AZF7" s="237"/>
      <c r="AZG7" s="237"/>
      <c r="AZH7" s="237"/>
      <c r="AZI7" s="238" t="s">
        <v>2385</v>
      </c>
      <c r="AZJ7" s="238"/>
      <c r="AZK7" s="238"/>
      <c r="AZL7" s="238"/>
      <c r="AZM7" s="238"/>
      <c r="AZN7" s="237" t="s">
        <v>2386</v>
      </c>
      <c r="AZO7" s="237"/>
      <c r="AZP7" s="237"/>
      <c r="AZQ7" s="237"/>
      <c r="AZR7" s="237"/>
      <c r="AZS7" s="238" t="s">
        <v>2387</v>
      </c>
      <c r="AZT7" s="238"/>
      <c r="AZU7" s="238"/>
      <c r="AZV7" s="238"/>
      <c r="AZW7" s="238"/>
      <c r="AZX7" s="237" t="s">
        <v>2388</v>
      </c>
      <c r="AZY7" s="237"/>
      <c r="AZZ7" s="237"/>
      <c r="BAA7" s="237"/>
      <c r="BAB7" s="237"/>
      <c r="BAC7" s="238" t="s">
        <v>2389</v>
      </c>
      <c r="BAD7" s="238"/>
      <c r="BAE7" s="238"/>
      <c r="BAF7" s="238"/>
      <c r="BAG7" s="238"/>
      <c r="BAH7" s="237" t="s">
        <v>2390</v>
      </c>
      <c r="BAI7" s="237"/>
      <c r="BAJ7" s="237"/>
      <c r="BAK7" s="237"/>
      <c r="BAL7" s="237"/>
      <c r="BAM7" s="238" t="s">
        <v>2228</v>
      </c>
      <c r="BAN7" s="238"/>
      <c r="BAO7" s="238"/>
      <c r="BAP7" s="238"/>
      <c r="BAQ7" s="238"/>
      <c r="BAR7" s="237" t="s">
        <v>2391</v>
      </c>
      <c r="BAS7" s="237"/>
      <c r="BAT7" s="237"/>
      <c r="BAU7" s="237"/>
      <c r="BAV7" s="237"/>
      <c r="BAW7" s="238" t="s">
        <v>2392</v>
      </c>
      <c r="BAX7" s="238"/>
      <c r="BAY7" s="238"/>
      <c r="BAZ7" s="238"/>
      <c r="BBA7" s="238"/>
      <c r="BBB7" s="237" t="s">
        <v>2393</v>
      </c>
      <c r="BBC7" s="237"/>
      <c r="BBD7" s="237"/>
      <c r="BBE7" s="237"/>
      <c r="BBF7" s="237"/>
      <c r="BBG7" s="238" t="s">
        <v>2394</v>
      </c>
      <c r="BBH7" s="238"/>
      <c r="BBI7" s="238"/>
      <c r="BBJ7" s="238"/>
      <c r="BBK7" s="238"/>
      <c r="BBL7" s="237" t="s">
        <v>2395</v>
      </c>
      <c r="BBM7" s="237"/>
      <c r="BBN7" s="237"/>
      <c r="BBO7" s="237"/>
      <c r="BBP7" s="237"/>
      <c r="BBQ7" s="238" t="s">
        <v>2396</v>
      </c>
      <c r="BBR7" s="238"/>
      <c r="BBS7" s="238"/>
      <c r="BBT7" s="238"/>
      <c r="BBU7" s="238"/>
      <c r="BBV7" s="237" t="s">
        <v>2397</v>
      </c>
      <c r="BBW7" s="237"/>
      <c r="BBX7" s="237"/>
      <c r="BBY7" s="237"/>
      <c r="BBZ7" s="237"/>
      <c r="BCA7" s="238" t="s">
        <v>2398</v>
      </c>
      <c r="BCB7" s="238"/>
      <c r="BCC7" s="238"/>
      <c r="BCD7" s="238"/>
      <c r="BCE7" s="238"/>
      <c r="BCF7" s="237" t="s">
        <v>2399</v>
      </c>
      <c r="BCG7" s="237"/>
      <c r="BCH7" s="237"/>
      <c r="BCI7" s="237"/>
      <c r="BCJ7" s="237"/>
      <c r="BCK7" s="238" t="s">
        <v>2400</v>
      </c>
      <c r="BCL7" s="238"/>
      <c r="BCM7" s="238"/>
      <c r="BCN7" s="238"/>
      <c r="BCO7" s="238"/>
      <c r="BCP7" s="237" t="s">
        <v>2401</v>
      </c>
      <c r="BCQ7" s="237"/>
      <c r="BCR7" s="237"/>
      <c r="BCS7" s="237"/>
      <c r="BCT7" s="237"/>
      <c r="BCU7" s="238" t="s">
        <v>2402</v>
      </c>
      <c r="BCV7" s="238"/>
      <c r="BCW7" s="238"/>
      <c r="BCX7" s="238"/>
      <c r="BCY7" s="238"/>
      <c r="BCZ7" s="237" t="s">
        <v>2403</v>
      </c>
      <c r="BDA7" s="237"/>
      <c r="BDB7" s="237"/>
      <c r="BDC7" s="237"/>
      <c r="BDD7" s="237"/>
      <c r="BDE7" s="238" t="s">
        <v>2404</v>
      </c>
      <c r="BDF7" s="238"/>
      <c r="BDG7" s="238"/>
      <c r="BDH7" s="238"/>
      <c r="BDI7" s="238"/>
      <c r="BDJ7" s="237" t="s">
        <v>2351</v>
      </c>
      <c r="BDK7" s="237"/>
      <c r="BDL7" s="237"/>
      <c r="BDM7" s="237"/>
      <c r="BDN7" s="237"/>
      <c r="BDO7" s="238" t="s">
        <v>2360</v>
      </c>
      <c r="BDP7" s="238"/>
      <c r="BDQ7" s="238"/>
      <c r="BDR7" s="238"/>
      <c r="BDS7" s="238"/>
      <c r="BDT7" s="237" t="s">
        <v>2361</v>
      </c>
      <c r="BDU7" s="237"/>
      <c r="BDV7" s="237"/>
      <c r="BDW7" s="237"/>
      <c r="BDX7" s="237"/>
      <c r="BDY7" s="238" t="s">
        <v>2362</v>
      </c>
      <c r="BDZ7" s="238"/>
      <c r="BEA7" s="238"/>
      <c r="BEB7" s="238"/>
      <c r="BEC7" s="238"/>
      <c r="BED7" s="237" t="s">
        <v>2363</v>
      </c>
      <c r="BEE7" s="237"/>
      <c r="BEF7" s="237"/>
      <c r="BEG7" s="237"/>
      <c r="BEH7" s="237"/>
      <c r="BEI7" s="238" t="s">
        <v>2455</v>
      </c>
      <c r="BEJ7" s="238"/>
      <c r="BEK7" s="238"/>
      <c r="BEL7" s="238"/>
      <c r="BEM7" s="238"/>
      <c r="BEN7" s="237" t="s">
        <v>2364</v>
      </c>
      <c r="BEO7" s="237"/>
      <c r="BEP7" s="237"/>
      <c r="BEQ7" s="237"/>
      <c r="BER7" s="237"/>
      <c r="BES7" s="238" t="s">
        <v>2456</v>
      </c>
      <c r="BET7" s="238"/>
      <c r="BEU7" s="238"/>
      <c r="BEV7" s="238"/>
      <c r="BEW7" s="238"/>
      <c r="BEX7" s="237" t="s">
        <v>2457</v>
      </c>
      <c r="BEY7" s="237"/>
      <c r="BEZ7" s="237"/>
      <c r="BFA7" s="237"/>
      <c r="BFB7" s="237"/>
      <c r="BFC7" s="238" t="s">
        <v>2365</v>
      </c>
      <c r="BFD7" s="238"/>
      <c r="BFE7" s="238"/>
      <c r="BFF7" s="238"/>
      <c r="BFG7" s="238"/>
      <c r="BFH7" s="237" t="s">
        <v>2366</v>
      </c>
      <c r="BFI7" s="237"/>
      <c r="BFJ7" s="237"/>
      <c r="BFK7" s="237"/>
      <c r="BFL7" s="237"/>
      <c r="BFM7" s="238" t="s">
        <v>2367</v>
      </c>
      <c r="BFN7" s="238"/>
      <c r="BFO7" s="238"/>
      <c r="BFP7" s="238"/>
      <c r="BFQ7" s="238"/>
      <c r="BFR7" s="237" t="s">
        <v>2293</v>
      </c>
      <c r="BFS7" s="237"/>
      <c r="BFT7" s="237"/>
      <c r="BFU7" s="237"/>
      <c r="BFV7" s="237"/>
      <c r="BFW7" s="238" t="s">
        <v>2368</v>
      </c>
      <c r="BFX7" s="238"/>
      <c r="BFY7" s="238"/>
      <c r="BFZ7" s="238"/>
      <c r="BGA7" s="238"/>
      <c r="BGB7" s="237" t="s">
        <v>2369</v>
      </c>
      <c r="BGC7" s="237"/>
      <c r="BGD7" s="237"/>
      <c r="BGE7" s="237"/>
      <c r="BGF7" s="237"/>
      <c r="BGG7" s="238" t="s">
        <v>2370</v>
      </c>
      <c r="BGH7" s="238"/>
      <c r="BGI7" s="238"/>
      <c r="BGJ7" s="238"/>
      <c r="BGK7" s="238"/>
      <c r="BGL7" s="237" t="s">
        <v>2371</v>
      </c>
      <c r="BGM7" s="237"/>
      <c r="BGN7" s="237"/>
      <c r="BGO7" s="237"/>
      <c r="BGP7" s="237"/>
      <c r="BGQ7" s="238" t="s">
        <v>2372</v>
      </c>
      <c r="BGR7" s="238"/>
      <c r="BGS7" s="238"/>
      <c r="BGT7" s="238"/>
      <c r="BGU7" s="238"/>
      <c r="BGV7" s="237" t="s">
        <v>2373</v>
      </c>
      <c r="BGW7" s="237"/>
      <c r="BGX7" s="237"/>
      <c r="BGY7" s="237"/>
      <c r="BGZ7" s="237"/>
      <c r="BHA7" s="238" t="s">
        <v>2374</v>
      </c>
      <c r="BHB7" s="238"/>
      <c r="BHC7" s="238"/>
      <c r="BHD7" s="238"/>
      <c r="BHE7" s="238"/>
      <c r="BHF7" s="237" t="s">
        <v>2375</v>
      </c>
      <c r="BHG7" s="237"/>
      <c r="BHH7" s="237"/>
      <c r="BHI7" s="237"/>
      <c r="BHJ7" s="237"/>
      <c r="BHK7" s="238" t="s">
        <v>2376</v>
      </c>
      <c r="BHL7" s="238"/>
      <c r="BHM7" s="238"/>
      <c r="BHN7" s="238"/>
      <c r="BHO7" s="238"/>
      <c r="BHP7" s="237" t="s">
        <v>2302</v>
      </c>
      <c r="BHQ7" s="237"/>
      <c r="BHR7" s="237"/>
      <c r="BHS7" s="237"/>
      <c r="BHT7" s="237"/>
      <c r="BHU7" s="238" t="s">
        <v>2377</v>
      </c>
      <c r="BHV7" s="238"/>
      <c r="BHW7" s="238"/>
      <c r="BHX7" s="238"/>
      <c r="BHY7" s="238"/>
      <c r="BHZ7" s="237" t="s">
        <v>2378</v>
      </c>
      <c r="BIA7" s="237"/>
      <c r="BIB7" s="237"/>
      <c r="BIC7" s="237"/>
      <c r="BID7" s="237"/>
      <c r="BIE7" s="238" t="s">
        <v>2379</v>
      </c>
      <c r="BIF7" s="238"/>
      <c r="BIG7" s="238"/>
      <c r="BIH7" s="238"/>
      <c r="BII7" s="238"/>
      <c r="BIJ7" s="237" t="s">
        <v>2380</v>
      </c>
      <c r="BIK7" s="237"/>
      <c r="BIL7" s="237"/>
      <c r="BIM7" s="237"/>
      <c r="BIN7" s="237"/>
      <c r="BIO7" s="238" t="s">
        <v>2381</v>
      </c>
      <c r="BIP7" s="238"/>
      <c r="BIQ7" s="238"/>
      <c r="BIR7" s="238"/>
      <c r="BIS7" s="238"/>
      <c r="BIT7" s="237" t="s">
        <v>2382</v>
      </c>
      <c r="BIU7" s="237"/>
      <c r="BIV7" s="237"/>
      <c r="BIW7" s="237"/>
      <c r="BIX7" s="237"/>
      <c r="BIY7" s="238" t="s">
        <v>2383</v>
      </c>
      <c r="BIZ7" s="238"/>
      <c r="BJA7" s="238"/>
      <c r="BJB7" s="238"/>
      <c r="BJC7" s="238"/>
      <c r="BJD7" s="237" t="s">
        <v>2316</v>
      </c>
      <c r="BJE7" s="237"/>
      <c r="BJF7" s="237"/>
      <c r="BJG7" s="237"/>
      <c r="BJH7" s="237"/>
      <c r="BJI7" s="238" t="s">
        <v>2384</v>
      </c>
      <c r="BJJ7" s="238"/>
      <c r="BJK7" s="238"/>
      <c r="BJL7" s="238"/>
      <c r="BJM7" s="238"/>
      <c r="BJN7" s="237" t="s">
        <v>2385</v>
      </c>
      <c r="BJO7" s="237"/>
      <c r="BJP7" s="237"/>
      <c r="BJQ7" s="237"/>
      <c r="BJR7" s="237"/>
      <c r="BJS7" s="238" t="s">
        <v>2386</v>
      </c>
      <c r="BJT7" s="238"/>
      <c r="BJU7" s="238"/>
      <c r="BJV7" s="238"/>
      <c r="BJW7" s="238"/>
      <c r="BJX7" s="237" t="s">
        <v>2387</v>
      </c>
      <c r="BJY7" s="237"/>
      <c r="BJZ7" s="237"/>
      <c r="BKA7" s="237"/>
      <c r="BKB7" s="237"/>
      <c r="BKC7" s="238" t="s">
        <v>2388</v>
      </c>
      <c r="BKD7" s="238"/>
      <c r="BKE7" s="238"/>
      <c r="BKF7" s="238"/>
      <c r="BKG7" s="238"/>
      <c r="BKH7" s="237" t="s">
        <v>2389</v>
      </c>
      <c r="BKI7" s="237"/>
      <c r="BKJ7" s="237"/>
      <c r="BKK7" s="237"/>
      <c r="BKL7" s="237"/>
      <c r="BKM7" s="238" t="s">
        <v>2390</v>
      </c>
      <c r="BKN7" s="238"/>
      <c r="BKO7" s="238"/>
      <c r="BKP7" s="238"/>
      <c r="BKQ7" s="238"/>
      <c r="BKR7" s="237" t="s">
        <v>2405</v>
      </c>
      <c r="BKS7" s="237"/>
      <c r="BKT7" s="237"/>
      <c r="BKU7" s="237"/>
      <c r="BKV7" s="237"/>
      <c r="BKW7" s="234" t="s">
        <v>2406</v>
      </c>
      <c r="BKX7" s="234"/>
      <c r="BKY7" s="234"/>
      <c r="BKZ7" s="234"/>
      <c r="BLA7" s="235" t="s">
        <v>2407</v>
      </c>
      <c r="BLB7" s="235"/>
      <c r="BLC7" s="235"/>
      <c r="BLD7" s="235"/>
      <c r="BLE7" s="234" t="s">
        <v>2408</v>
      </c>
      <c r="BLF7" s="234"/>
      <c r="BLG7" s="234"/>
      <c r="BLH7" s="234"/>
      <c r="BLI7" s="235" t="s">
        <v>2409</v>
      </c>
      <c r="BLJ7" s="235"/>
      <c r="BLK7" s="235"/>
      <c r="BLL7" s="235"/>
      <c r="BLM7" s="238" t="s">
        <v>2410</v>
      </c>
      <c r="BLN7" s="238"/>
      <c r="BLO7" s="238"/>
      <c r="BLP7" s="238"/>
      <c r="BLQ7" s="217" t="s">
        <v>2411</v>
      </c>
      <c r="BLR7" s="217"/>
      <c r="BLS7" s="217"/>
      <c r="BLT7" s="217"/>
      <c r="BLU7" s="238" t="s">
        <v>2412</v>
      </c>
      <c r="BLV7" s="238"/>
      <c r="BLW7" s="238"/>
      <c r="BLX7" s="238"/>
      <c r="BLY7" s="238"/>
      <c r="BLZ7" s="237" t="s">
        <v>2413</v>
      </c>
      <c r="BMA7" s="237"/>
      <c r="BMB7" s="237"/>
      <c r="BMC7" s="237"/>
      <c r="BMD7" s="237"/>
      <c r="BME7" s="238" t="s">
        <v>2414</v>
      </c>
      <c r="BMF7" s="238"/>
      <c r="BMG7" s="238"/>
      <c r="BMH7" s="238"/>
      <c r="BMI7" s="238"/>
      <c r="BMJ7" s="237" t="s">
        <v>2415</v>
      </c>
      <c r="BMK7" s="237"/>
      <c r="BML7" s="237"/>
      <c r="BMM7" s="237"/>
      <c r="BMN7" s="237"/>
      <c r="BMO7" s="218" t="s">
        <v>2228</v>
      </c>
      <c r="BMP7" s="218"/>
      <c r="BMQ7" s="218"/>
      <c r="BMR7" s="218"/>
      <c r="BMS7" s="218"/>
    </row>
    <row r="8" spans="1:1713" s="82" customFormat="1" ht="43.5" x14ac:dyDescent="0.35">
      <c r="B8" s="81"/>
      <c r="C8" s="81"/>
      <c r="J8" s="83"/>
      <c r="L8" s="84"/>
      <c r="N8" s="84"/>
      <c r="X8" s="220" t="s">
        <v>2416</v>
      </c>
      <c r="Y8" s="220" t="s">
        <v>2417</v>
      </c>
      <c r="Z8" s="220" t="s">
        <v>2416</v>
      </c>
      <c r="AA8" s="220" t="s">
        <v>2417</v>
      </c>
      <c r="AB8" s="220" t="s">
        <v>2416</v>
      </c>
      <c r="AC8" s="220" t="s">
        <v>2417</v>
      </c>
      <c r="AD8" s="220" t="s">
        <v>2416</v>
      </c>
      <c r="AE8" s="220" t="s">
        <v>2417</v>
      </c>
      <c r="AF8" s="220" t="s">
        <v>2416</v>
      </c>
      <c r="AG8" s="220" t="s">
        <v>2417</v>
      </c>
      <c r="AH8" s="220" t="s">
        <v>2416</v>
      </c>
      <c r="AI8" s="220" t="s">
        <v>2417</v>
      </c>
      <c r="AJ8" s="220" t="s">
        <v>2416</v>
      </c>
      <c r="AK8" s="220" t="s">
        <v>2417</v>
      </c>
      <c r="AL8" s="220" t="s">
        <v>2416</v>
      </c>
      <c r="AM8" s="220" t="s">
        <v>2417</v>
      </c>
      <c r="AN8" s="220" t="s">
        <v>2416</v>
      </c>
      <c r="AO8" s="220" t="s">
        <v>2417</v>
      </c>
      <c r="AP8" s="220" t="s">
        <v>2416</v>
      </c>
      <c r="AQ8" s="220" t="s">
        <v>2417</v>
      </c>
      <c r="AR8" s="220" t="s">
        <v>2416</v>
      </c>
      <c r="AS8" s="220" t="s">
        <v>2417</v>
      </c>
      <c r="AT8" s="220" t="s">
        <v>2416</v>
      </c>
      <c r="AU8" s="220" t="s">
        <v>2417</v>
      </c>
      <c r="AV8" s="220" t="s">
        <v>2416</v>
      </c>
      <c r="AW8" s="220" t="s">
        <v>2417</v>
      </c>
      <c r="AX8" s="220" t="s">
        <v>2416</v>
      </c>
      <c r="AY8" s="220" t="s">
        <v>2417</v>
      </c>
      <c r="AZ8" s="221"/>
      <c r="BA8" s="222"/>
      <c r="BB8" s="222"/>
      <c r="BC8" s="222"/>
      <c r="BD8" s="222"/>
      <c r="BE8" s="222"/>
      <c r="BF8" s="222"/>
      <c r="BG8" s="222"/>
      <c r="BH8" s="222"/>
      <c r="BI8" s="222"/>
      <c r="BJ8" s="222"/>
      <c r="BK8" s="222"/>
      <c r="BL8" s="222"/>
      <c r="BM8" s="223"/>
      <c r="BN8" s="220" t="s">
        <v>2418</v>
      </c>
      <c r="BO8" s="220" t="s">
        <v>2419</v>
      </c>
      <c r="BP8" s="220" t="s">
        <v>2420</v>
      </c>
      <c r="BQ8" s="220" t="s">
        <v>2421</v>
      </c>
      <c r="BR8" s="220" t="s">
        <v>2422</v>
      </c>
      <c r="BS8" s="220" t="s">
        <v>2418</v>
      </c>
      <c r="BT8" s="220" t="s">
        <v>2419</v>
      </c>
      <c r="BU8" s="220" t="s">
        <v>2420</v>
      </c>
      <c r="BV8" s="220" t="s">
        <v>2421</v>
      </c>
      <c r="BW8" s="220" t="s">
        <v>2422</v>
      </c>
      <c r="BX8" s="220" t="s">
        <v>2418</v>
      </c>
      <c r="BY8" s="220" t="s">
        <v>2419</v>
      </c>
      <c r="BZ8" s="220" t="s">
        <v>2420</v>
      </c>
      <c r="CA8" s="220" t="s">
        <v>2421</v>
      </c>
      <c r="CB8" s="220" t="s">
        <v>2422</v>
      </c>
      <c r="CC8" s="220" t="s">
        <v>2418</v>
      </c>
      <c r="CD8" s="220" t="s">
        <v>2419</v>
      </c>
      <c r="CE8" s="220" t="s">
        <v>2420</v>
      </c>
      <c r="CF8" s="220" t="s">
        <v>2421</v>
      </c>
      <c r="CG8" s="220" t="s">
        <v>2422</v>
      </c>
      <c r="CH8" s="220" t="s">
        <v>2418</v>
      </c>
      <c r="CI8" s="220" t="s">
        <v>2419</v>
      </c>
      <c r="CJ8" s="220" t="s">
        <v>2420</v>
      </c>
      <c r="CK8" s="220" t="s">
        <v>2421</v>
      </c>
      <c r="CL8" s="220" t="s">
        <v>2422</v>
      </c>
      <c r="CM8" s="220" t="s">
        <v>2418</v>
      </c>
      <c r="CN8" s="220" t="s">
        <v>2419</v>
      </c>
      <c r="CO8" s="220" t="s">
        <v>2420</v>
      </c>
      <c r="CP8" s="220" t="s">
        <v>2421</v>
      </c>
      <c r="CQ8" s="220" t="s">
        <v>2422</v>
      </c>
      <c r="CR8" s="220" t="s">
        <v>2418</v>
      </c>
      <c r="CS8" s="220" t="s">
        <v>2419</v>
      </c>
      <c r="CT8" s="220" t="s">
        <v>2420</v>
      </c>
      <c r="CU8" s="220" t="s">
        <v>2421</v>
      </c>
      <c r="CV8" s="220" t="s">
        <v>2422</v>
      </c>
      <c r="CW8" s="220" t="s">
        <v>2418</v>
      </c>
      <c r="CX8" s="220" t="s">
        <v>2419</v>
      </c>
      <c r="CY8" s="220" t="s">
        <v>2420</v>
      </c>
      <c r="CZ8" s="220" t="s">
        <v>2421</v>
      </c>
      <c r="DA8" s="220" t="s">
        <v>2422</v>
      </c>
      <c r="DB8" s="220" t="s">
        <v>2418</v>
      </c>
      <c r="DC8" s="220" t="s">
        <v>2419</v>
      </c>
      <c r="DD8" s="220" t="s">
        <v>2420</v>
      </c>
      <c r="DE8" s="220" t="s">
        <v>2421</v>
      </c>
      <c r="DF8" s="220" t="s">
        <v>2422</v>
      </c>
      <c r="DG8" s="220" t="s">
        <v>2418</v>
      </c>
      <c r="DH8" s="220" t="s">
        <v>2419</v>
      </c>
      <c r="DI8" s="220" t="s">
        <v>2420</v>
      </c>
      <c r="DJ8" s="220" t="s">
        <v>2421</v>
      </c>
      <c r="DK8" s="220" t="s">
        <v>2422</v>
      </c>
      <c r="DL8" s="220" t="s">
        <v>2418</v>
      </c>
      <c r="DM8" s="220" t="s">
        <v>2423</v>
      </c>
      <c r="DN8" s="220" t="s">
        <v>2424</v>
      </c>
      <c r="DO8" s="220" t="s">
        <v>2425</v>
      </c>
      <c r="DP8" s="220" t="s">
        <v>2426</v>
      </c>
      <c r="DQ8" s="220" t="s">
        <v>2418</v>
      </c>
      <c r="DR8" s="220" t="s">
        <v>2423</v>
      </c>
      <c r="DS8" s="220" t="s">
        <v>2424</v>
      </c>
      <c r="DT8" s="220" t="s">
        <v>2425</v>
      </c>
      <c r="DU8" s="220" t="s">
        <v>2426</v>
      </c>
      <c r="DV8" s="220" t="s">
        <v>2418</v>
      </c>
      <c r="DW8" s="220" t="s">
        <v>2423</v>
      </c>
      <c r="DX8" s="220" t="s">
        <v>2424</v>
      </c>
      <c r="DY8" s="220" t="s">
        <v>2425</v>
      </c>
      <c r="DZ8" s="220" t="s">
        <v>2426</v>
      </c>
      <c r="EA8" s="220" t="s">
        <v>2418</v>
      </c>
      <c r="EB8" s="220" t="s">
        <v>2423</v>
      </c>
      <c r="EC8" s="220" t="s">
        <v>2424</v>
      </c>
      <c r="ED8" s="220" t="s">
        <v>2425</v>
      </c>
      <c r="EE8" s="220" t="s">
        <v>2426</v>
      </c>
      <c r="EF8" s="220" t="s">
        <v>2418</v>
      </c>
      <c r="EG8" s="220" t="s">
        <v>2423</v>
      </c>
      <c r="EH8" s="220" t="s">
        <v>2424</v>
      </c>
      <c r="EI8" s="220" t="s">
        <v>2425</v>
      </c>
      <c r="EJ8" s="220" t="s">
        <v>2426</v>
      </c>
      <c r="EK8" s="220" t="s">
        <v>2418</v>
      </c>
      <c r="EL8" s="220" t="s">
        <v>2423</v>
      </c>
      <c r="EM8" s="220" t="s">
        <v>2424</v>
      </c>
      <c r="EN8" s="220" t="s">
        <v>2425</v>
      </c>
      <c r="EO8" s="220" t="s">
        <v>2426</v>
      </c>
      <c r="EP8" s="220" t="s">
        <v>2418</v>
      </c>
      <c r="EQ8" s="220" t="s">
        <v>2423</v>
      </c>
      <c r="ER8" s="220" t="s">
        <v>2424</v>
      </c>
      <c r="ES8" s="220" t="s">
        <v>2425</v>
      </c>
      <c r="ET8" s="220" t="s">
        <v>2426</v>
      </c>
      <c r="EU8" s="220" t="s">
        <v>2418</v>
      </c>
      <c r="EV8" s="220" t="s">
        <v>2423</v>
      </c>
      <c r="EW8" s="220" t="s">
        <v>2424</v>
      </c>
      <c r="EX8" s="220" t="s">
        <v>2425</v>
      </c>
      <c r="EY8" s="220" t="s">
        <v>2426</v>
      </c>
      <c r="EZ8" s="220" t="s">
        <v>2418</v>
      </c>
      <c r="FA8" s="220" t="s">
        <v>2423</v>
      </c>
      <c r="FB8" s="220" t="s">
        <v>2424</v>
      </c>
      <c r="FC8" s="220" t="s">
        <v>2425</v>
      </c>
      <c r="FD8" s="220" t="s">
        <v>2426</v>
      </c>
      <c r="FE8" s="220" t="s">
        <v>2418</v>
      </c>
      <c r="FF8" s="220" t="s">
        <v>2423</v>
      </c>
      <c r="FG8" s="220" t="s">
        <v>2424</v>
      </c>
      <c r="FH8" s="220" t="s">
        <v>2425</v>
      </c>
      <c r="FI8" s="220" t="s">
        <v>2426</v>
      </c>
      <c r="FJ8" s="220" t="s">
        <v>2418</v>
      </c>
      <c r="FK8" s="220" t="s">
        <v>2423</v>
      </c>
      <c r="FL8" s="220" t="s">
        <v>2424</v>
      </c>
      <c r="FM8" s="220" t="s">
        <v>2425</v>
      </c>
      <c r="FN8" s="220" t="s">
        <v>2426</v>
      </c>
      <c r="FO8" s="220" t="s">
        <v>2418</v>
      </c>
      <c r="FP8" s="220" t="s">
        <v>2419</v>
      </c>
      <c r="FQ8" s="220" t="s">
        <v>2458</v>
      </c>
      <c r="FR8" s="220" t="s">
        <v>2459</v>
      </c>
      <c r="FS8" s="220" t="s">
        <v>2418</v>
      </c>
      <c r="FT8" s="220" t="s">
        <v>2419</v>
      </c>
      <c r="FU8" s="220" t="s">
        <v>2458</v>
      </c>
      <c r="FV8" s="220" t="s">
        <v>2459</v>
      </c>
      <c r="FW8" s="220" t="s">
        <v>2418</v>
      </c>
      <c r="FX8" s="220" t="s">
        <v>2419</v>
      </c>
      <c r="FY8" s="220" t="s">
        <v>2458</v>
      </c>
      <c r="FZ8" s="220" t="s">
        <v>2459</v>
      </c>
      <c r="GA8" s="220" t="s">
        <v>2418</v>
      </c>
      <c r="GB8" s="220" t="s">
        <v>2419</v>
      </c>
      <c r="GC8" s="220" t="s">
        <v>2458</v>
      </c>
      <c r="GD8" s="220" t="s">
        <v>2459</v>
      </c>
      <c r="GE8" s="220" t="s">
        <v>2418</v>
      </c>
      <c r="GF8" s="220" t="s">
        <v>2419</v>
      </c>
      <c r="GG8" s="220" t="s">
        <v>2458</v>
      </c>
      <c r="GH8" s="220" t="s">
        <v>2459</v>
      </c>
      <c r="GI8" s="220" t="s">
        <v>2418</v>
      </c>
      <c r="GJ8" s="220" t="s">
        <v>2419</v>
      </c>
      <c r="GK8" s="220" t="s">
        <v>2458</v>
      </c>
      <c r="GL8" s="220" t="s">
        <v>2459</v>
      </c>
      <c r="GM8" s="220" t="s">
        <v>2418</v>
      </c>
      <c r="GN8" s="220" t="s">
        <v>2419</v>
      </c>
      <c r="GO8" s="220" t="s">
        <v>2458</v>
      </c>
      <c r="GP8" s="220" t="s">
        <v>2459</v>
      </c>
      <c r="GQ8" s="220" t="s">
        <v>2418</v>
      </c>
      <c r="GR8" s="220" t="s">
        <v>2419</v>
      </c>
      <c r="GS8" s="220" t="s">
        <v>2458</v>
      </c>
      <c r="GT8" s="220" t="s">
        <v>2459</v>
      </c>
      <c r="GU8" s="220" t="s">
        <v>2418</v>
      </c>
      <c r="GV8" s="220" t="s">
        <v>2460</v>
      </c>
      <c r="GW8" s="220" t="s">
        <v>2461</v>
      </c>
      <c r="GX8" s="220" t="s">
        <v>2459</v>
      </c>
      <c r="GY8" s="220" t="s">
        <v>2418</v>
      </c>
      <c r="GZ8" s="220" t="s">
        <v>2460</v>
      </c>
      <c r="HA8" s="220" t="s">
        <v>2461</v>
      </c>
      <c r="HB8" s="220" t="s">
        <v>2459</v>
      </c>
      <c r="HC8" s="220" t="s">
        <v>2418</v>
      </c>
      <c r="HD8" s="220" t="s">
        <v>2460</v>
      </c>
      <c r="HE8" s="220" t="s">
        <v>2461</v>
      </c>
      <c r="HF8" s="220" t="s">
        <v>2459</v>
      </c>
      <c r="HG8" s="220" t="s">
        <v>2418</v>
      </c>
      <c r="HH8" s="220" t="s">
        <v>2460</v>
      </c>
      <c r="HI8" s="220" t="s">
        <v>2461</v>
      </c>
      <c r="HJ8" s="220" t="s">
        <v>2459</v>
      </c>
      <c r="HK8" s="220" t="s">
        <v>2418</v>
      </c>
      <c r="HL8" s="220" t="s">
        <v>2460</v>
      </c>
      <c r="HM8" s="220" t="s">
        <v>2461</v>
      </c>
      <c r="HN8" s="220" t="s">
        <v>2459</v>
      </c>
      <c r="HO8" s="220" t="s">
        <v>2418</v>
      </c>
      <c r="HP8" s="220" t="s">
        <v>2460</v>
      </c>
      <c r="HQ8" s="220" t="s">
        <v>2461</v>
      </c>
      <c r="HR8" s="220" t="s">
        <v>2459</v>
      </c>
      <c r="HS8" s="220" t="s">
        <v>2418</v>
      </c>
      <c r="HT8" s="220" t="s">
        <v>2460</v>
      </c>
      <c r="HU8" s="220" t="s">
        <v>2461</v>
      </c>
      <c r="HV8" s="220" t="s">
        <v>2459</v>
      </c>
      <c r="HW8" s="220" t="s">
        <v>2418</v>
      </c>
      <c r="HX8" s="220" t="s">
        <v>2460</v>
      </c>
      <c r="HY8" s="220" t="s">
        <v>2461</v>
      </c>
      <c r="HZ8" s="220" t="s">
        <v>2459</v>
      </c>
      <c r="IA8" s="220" t="s">
        <v>2418</v>
      </c>
      <c r="IB8" s="220" t="s">
        <v>2419</v>
      </c>
      <c r="IC8" s="220" t="s">
        <v>2458</v>
      </c>
      <c r="ID8" s="220" t="s">
        <v>2421</v>
      </c>
      <c r="IE8" s="220" t="s">
        <v>2462</v>
      </c>
      <c r="IF8" s="220" t="s">
        <v>2418</v>
      </c>
      <c r="IG8" s="220" t="s">
        <v>2419</v>
      </c>
      <c r="IH8" s="220" t="s">
        <v>2458</v>
      </c>
      <c r="II8" s="220" t="s">
        <v>2421</v>
      </c>
      <c r="IJ8" s="220" t="s">
        <v>2462</v>
      </c>
      <c r="IK8" s="220" t="s">
        <v>2418</v>
      </c>
      <c r="IL8" s="220" t="s">
        <v>2419</v>
      </c>
      <c r="IM8" s="220" t="s">
        <v>2458</v>
      </c>
      <c r="IN8" s="220" t="s">
        <v>2421</v>
      </c>
      <c r="IO8" s="220" t="s">
        <v>2462</v>
      </c>
      <c r="IP8" s="220" t="s">
        <v>2418</v>
      </c>
      <c r="IQ8" s="220" t="s">
        <v>2419</v>
      </c>
      <c r="IR8" s="220" t="s">
        <v>2458</v>
      </c>
      <c r="IS8" s="220" t="s">
        <v>2421</v>
      </c>
      <c r="IT8" s="220" t="s">
        <v>2462</v>
      </c>
      <c r="IU8" s="220" t="s">
        <v>2418</v>
      </c>
      <c r="IV8" s="220" t="s">
        <v>2419</v>
      </c>
      <c r="IW8" s="220" t="s">
        <v>2458</v>
      </c>
      <c r="IX8" s="220" t="s">
        <v>2421</v>
      </c>
      <c r="IY8" s="220" t="s">
        <v>2462</v>
      </c>
      <c r="IZ8" s="220" t="s">
        <v>2418</v>
      </c>
      <c r="JA8" s="220" t="s">
        <v>2419</v>
      </c>
      <c r="JB8" s="220" t="s">
        <v>2458</v>
      </c>
      <c r="JC8" s="220" t="s">
        <v>2421</v>
      </c>
      <c r="JD8" s="220" t="s">
        <v>2462</v>
      </c>
      <c r="JE8" s="220" t="s">
        <v>2418</v>
      </c>
      <c r="JF8" s="220" t="s">
        <v>2419</v>
      </c>
      <c r="JG8" s="220" t="s">
        <v>2458</v>
      </c>
      <c r="JH8" s="220" t="s">
        <v>2421</v>
      </c>
      <c r="JI8" s="220" t="s">
        <v>2462</v>
      </c>
      <c r="JJ8" s="220" t="s">
        <v>2418</v>
      </c>
      <c r="JK8" s="220" t="s">
        <v>2419</v>
      </c>
      <c r="JL8" s="220" t="s">
        <v>2458</v>
      </c>
      <c r="JM8" s="220" t="s">
        <v>2421</v>
      </c>
      <c r="JN8" s="220" t="s">
        <v>2462</v>
      </c>
      <c r="JO8" s="220" t="s">
        <v>2418</v>
      </c>
      <c r="JP8" s="220" t="s">
        <v>2427</v>
      </c>
      <c r="JQ8" s="220" t="s">
        <v>2428</v>
      </c>
      <c r="JR8" s="220" t="s">
        <v>2429</v>
      </c>
      <c r="JS8" s="220" t="s">
        <v>2430</v>
      </c>
      <c r="JT8" s="220" t="s">
        <v>2431</v>
      </c>
      <c r="JU8" s="220" t="s">
        <v>2432</v>
      </c>
      <c r="JV8" s="220" t="s">
        <v>2418</v>
      </c>
      <c r="JW8" s="220" t="s">
        <v>2427</v>
      </c>
      <c r="JX8" s="220" t="s">
        <v>2428</v>
      </c>
      <c r="JY8" s="220" t="s">
        <v>2429</v>
      </c>
      <c r="JZ8" s="220" t="s">
        <v>2430</v>
      </c>
      <c r="KA8" s="220" t="s">
        <v>2431</v>
      </c>
      <c r="KB8" s="220" t="s">
        <v>2432</v>
      </c>
      <c r="KC8" s="220" t="s">
        <v>2418</v>
      </c>
      <c r="KD8" s="220" t="s">
        <v>2427</v>
      </c>
      <c r="KE8" s="220" t="s">
        <v>2428</v>
      </c>
      <c r="KF8" s="220" t="s">
        <v>2429</v>
      </c>
      <c r="KG8" s="220" t="s">
        <v>2430</v>
      </c>
      <c r="KH8" s="220" t="s">
        <v>2431</v>
      </c>
      <c r="KI8" s="220" t="s">
        <v>2432</v>
      </c>
      <c r="KJ8" s="220" t="s">
        <v>2418</v>
      </c>
      <c r="KK8" s="220" t="s">
        <v>2427</v>
      </c>
      <c r="KL8" s="220" t="s">
        <v>2428</v>
      </c>
      <c r="KM8" s="220" t="s">
        <v>2429</v>
      </c>
      <c r="KN8" s="220" t="s">
        <v>2430</v>
      </c>
      <c r="KO8" s="220" t="s">
        <v>2431</v>
      </c>
      <c r="KP8" s="220" t="s">
        <v>2432</v>
      </c>
      <c r="KQ8" s="220" t="s">
        <v>2418</v>
      </c>
      <c r="KR8" s="220" t="s">
        <v>2427</v>
      </c>
      <c r="KS8" s="220" t="s">
        <v>2428</v>
      </c>
      <c r="KT8" s="220" t="s">
        <v>2429</v>
      </c>
      <c r="KU8" s="220" t="s">
        <v>2430</v>
      </c>
      <c r="KV8" s="220" t="s">
        <v>2431</v>
      </c>
      <c r="KW8" s="220" t="s">
        <v>2432</v>
      </c>
      <c r="KX8" s="220" t="s">
        <v>2418</v>
      </c>
      <c r="KY8" s="220" t="s">
        <v>2427</v>
      </c>
      <c r="KZ8" s="220" t="s">
        <v>2428</v>
      </c>
      <c r="LA8" s="220" t="s">
        <v>2429</v>
      </c>
      <c r="LB8" s="220" t="s">
        <v>2430</v>
      </c>
      <c r="LC8" s="220" t="s">
        <v>2431</v>
      </c>
      <c r="LD8" s="220" t="s">
        <v>2432</v>
      </c>
      <c r="LE8" s="220" t="s">
        <v>2418</v>
      </c>
      <c r="LF8" s="220" t="s">
        <v>2427</v>
      </c>
      <c r="LG8" s="220" t="s">
        <v>2428</v>
      </c>
      <c r="LH8" s="220" t="s">
        <v>2429</v>
      </c>
      <c r="LI8" s="220" t="s">
        <v>2430</v>
      </c>
      <c r="LJ8" s="220" t="s">
        <v>2431</v>
      </c>
      <c r="LK8" s="220" t="s">
        <v>2432</v>
      </c>
      <c r="LL8" s="220" t="s">
        <v>2418</v>
      </c>
      <c r="LM8" s="220" t="s">
        <v>2427</v>
      </c>
      <c r="LN8" s="220" t="s">
        <v>2428</v>
      </c>
      <c r="LO8" s="220" t="s">
        <v>2429</v>
      </c>
      <c r="LP8" s="220" t="s">
        <v>2430</v>
      </c>
      <c r="LQ8" s="220" t="s">
        <v>2431</v>
      </c>
      <c r="LR8" s="220" t="s">
        <v>2432</v>
      </c>
      <c r="LS8" s="220" t="s">
        <v>2418</v>
      </c>
      <c r="LT8" s="220" t="s">
        <v>2419</v>
      </c>
      <c r="LU8" s="220" t="s">
        <v>2458</v>
      </c>
      <c r="LV8" s="220" t="s">
        <v>2421</v>
      </c>
      <c r="LW8" s="220" t="s">
        <v>2462</v>
      </c>
      <c r="LX8" s="220" t="s">
        <v>2418</v>
      </c>
      <c r="LY8" s="220" t="s">
        <v>2419</v>
      </c>
      <c r="LZ8" s="220" t="s">
        <v>2458</v>
      </c>
      <c r="MA8" s="220" t="s">
        <v>2421</v>
      </c>
      <c r="MB8" s="220" t="s">
        <v>2462</v>
      </c>
      <c r="MC8" s="220" t="s">
        <v>2418</v>
      </c>
      <c r="MD8" s="220" t="s">
        <v>2419</v>
      </c>
      <c r="ME8" s="220" t="s">
        <v>2458</v>
      </c>
      <c r="MF8" s="220" t="s">
        <v>2421</v>
      </c>
      <c r="MG8" s="220" t="s">
        <v>2462</v>
      </c>
      <c r="MH8" s="220" t="s">
        <v>2418</v>
      </c>
      <c r="MI8" s="220" t="s">
        <v>2419</v>
      </c>
      <c r="MJ8" s="220" t="s">
        <v>2458</v>
      </c>
      <c r="MK8" s="220" t="s">
        <v>2421</v>
      </c>
      <c r="ML8" s="220" t="s">
        <v>2462</v>
      </c>
      <c r="MM8" s="220" t="s">
        <v>2418</v>
      </c>
      <c r="MN8" s="220" t="s">
        <v>2419</v>
      </c>
      <c r="MO8" s="220" t="s">
        <v>2458</v>
      </c>
      <c r="MP8" s="220" t="s">
        <v>2421</v>
      </c>
      <c r="MQ8" s="220" t="s">
        <v>2462</v>
      </c>
      <c r="MR8" s="220" t="s">
        <v>2418</v>
      </c>
      <c r="MS8" s="220" t="s">
        <v>2419</v>
      </c>
      <c r="MT8" s="220" t="s">
        <v>2458</v>
      </c>
      <c r="MU8" s="220" t="s">
        <v>2421</v>
      </c>
      <c r="MV8" s="220" t="s">
        <v>2462</v>
      </c>
      <c r="MW8" s="220" t="s">
        <v>2418</v>
      </c>
      <c r="MX8" s="220" t="s">
        <v>2419</v>
      </c>
      <c r="MY8" s="220" t="s">
        <v>2458</v>
      </c>
      <c r="MZ8" s="220" t="s">
        <v>2421</v>
      </c>
      <c r="NA8" s="220" t="s">
        <v>2462</v>
      </c>
      <c r="NB8" s="220" t="s">
        <v>2418</v>
      </c>
      <c r="NC8" s="220" t="s">
        <v>2419</v>
      </c>
      <c r="ND8" s="220" t="s">
        <v>2458</v>
      </c>
      <c r="NE8" s="220" t="s">
        <v>2421</v>
      </c>
      <c r="NF8" s="220" t="s">
        <v>2462</v>
      </c>
      <c r="NG8" s="220" t="s">
        <v>2418</v>
      </c>
      <c r="NH8" s="220" t="s">
        <v>2419</v>
      </c>
      <c r="NI8" s="220" t="s">
        <v>2458</v>
      </c>
      <c r="NJ8" s="220" t="s">
        <v>2421</v>
      </c>
      <c r="NK8" s="220" t="s">
        <v>2462</v>
      </c>
      <c r="NL8" s="220" t="s">
        <v>2418</v>
      </c>
      <c r="NM8" s="220" t="s">
        <v>2419</v>
      </c>
      <c r="NN8" s="220" t="s">
        <v>2458</v>
      </c>
      <c r="NO8" s="220" t="s">
        <v>2421</v>
      </c>
      <c r="NP8" s="220" t="s">
        <v>2462</v>
      </c>
      <c r="NQ8" s="220" t="s">
        <v>2418</v>
      </c>
      <c r="NR8" s="220" t="s">
        <v>2419</v>
      </c>
      <c r="NS8" s="220" t="s">
        <v>2458</v>
      </c>
      <c r="NT8" s="220" t="s">
        <v>2421</v>
      </c>
      <c r="NU8" s="220" t="s">
        <v>2462</v>
      </c>
      <c r="NV8" s="220" t="s">
        <v>2418</v>
      </c>
      <c r="NW8" s="220" t="s">
        <v>2419</v>
      </c>
      <c r="NX8" s="220" t="s">
        <v>2458</v>
      </c>
      <c r="NY8" s="220" t="s">
        <v>2421</v>
      </c>
      <c r="NZ8" s="220" t="s">
        <v>2462</v>
      </c>
      <c r="OA8" s="220" t="s">
        <v>2418</v>
      </c>
      <c r="OB8" s="220" t="s">
        <v>2419</v>
      </c>
      <c r="OC8" s="220" t="s">
        <v>2458</v>
      </c>
      <c r="OD8" s="220" t="s">
        <v>2421</v>
      </c>
      <c r="OE8" s="220" t="s">
        <v>2462</v>
      </c>
      <c r="OF8" s="220" t="s">
        <v>2418</v>
      </c>
      <c r="OG8" s="220" t="s">
        <v>2419</v>
      </c>
      <c r="OH8" s="220" t="s">
        <v>2458</v>
      </c>
      <c r="OI8" s="220" t="s">
        <v>2421</v>
      </c>
      <c r="OJ8" s="220" t="s">
        <v>2462</v>
      </c>
      <c r="OK8" s="220" t="s">
        <v>2418</v>
      </c>
      <c r="OL8" s="220" t="s">
        <v>2419</v>
      </c>
      <c r="OM8" s="220" t="s">
        <v>2458</v>
      </c>
      <c r="ON8" s="220" t="s">
        <v>2421</v>
      </c>
      <c r="OO8" s="220" t="s">
        <v>2462</v>
      </c>
      <c r="OP8" s="220" t="s">
        <v>2418</v>
      </c>
      <c r="OQ8" s="220" t="s">
        <v>2419</v>
      </c>
      <c r="OR8" s="220" t="s">
        <v>2458</v>
      </c>
      <c r="OS8" s="220" t="s">
        <v>2421</v>
      </c>
      <c r="OT8" s="220" t="s">
        <v>2462</v>
      </c>
      <c r="OU8" s="220" t="s">
        <v>2418</v>
      </c>
      <c r="OV8" s="220" t="s">
        <v>2419</v>
      </c>
      <c r="OW8" s="220" t="s">
        <v>2458</v>
      </c>
      <c r="OX8" s="220" t="s">
        <v>2421</v>
      </c>
      <c r="OY8" s="220" t="s">
        <v>2462</v>
      </c>
      <c r="OZ8" s="220" t="s">
        <v>2418</v>
      </c>
      <c r="PA8" s="220" t="s">
        <v>2419</v>
      </c>
      <c r="PB8" s="220" t="s">
        <v>2458</v>
      </c>
      <c r="PC8" s="220" t="s">
        <v>2421</v>
      </c>
      <c r="PD8" s="220" t="s">
        <v>2462</v>
      </c>
      <c r="PE8" s="220" t="s">
        <v>2418</v>
      </c>
      <c r="PF8" s="220" t="s">
        <v>2419</v>
      </c>
      <c r="PG8" s="220" t="s">
        <v>2458</v>
      </c>
      <c r="PH8" s="220" t="s">
        <v>2421</v>
      </c>
      <c r="PI8" s="220" t="s">
        <v>2462</v>
      </c>
      <c r="PJ8" s="220" t="s">
        <v>2418</v>
      </c>
      <c r="PK8" s="220" t="s">
        <v>2419</v>
      </c>
      <c r="PL8" s="220" t="s">
        <v>2458</v>
      </c>
      <c r="PM8" s="220" t="s">
        <v>2421</v>
      </c>
      <c r="PN8" s="220" t="s">
        <v>2462</v>
      </c>
      <c r="PO8" s="220" t="s">
        <v>2418</v>
      </c>
      <c r="PP8" s="220" t="s">
        <v>2419</v>
      </c>
      <c r="PQ8" s="220" t="s">
        <v>2458</v>
      </c>
      <c r="PR8" s="220" t="s">
        <v>2421</v>
      </c>
      <c r="PS8" s="220" t="s">
        <v>2462</v>
      </c>
      <c r="PT8" s="220" t="s">
        <v>2418</v>
      </c>
      <c r="PU8" s="220" t="s">
        <v>2419</v>
      </c>
      <c r="PV8" s="220" t="s">
        <v>2458</v>
      </c>
      <c r="PW8" s="220" t="s">
        <v>2421</v>
      </c>
      <c r="PX8" s="220" t="s">
        <v>2462</v>
      </c>
      <c r="PY8" s="220" t="s">
        <v>2418</v>
      </c>
      <c r="PZ8" s="220" t="s">
        <v>2419</v>
      </c>
      <c r="QA8" s="220" t="s">
        <v>2458</v>
      </c>
      <c r="QB8" s="220" t="s">
        <v>2421</v>
      </c>
      <c r="QC8" s="220" t="s">
        <v>2462</v>
      </c>
      <c r="QD8" s="220" t="s">
        <v>2418</v>
      </c>
      <c r="QE8" s="220" t="s">
        <v>2419</v>
      </c>
      <c r="QF8" s="220" t="s">
        <v>2458</v>
      </c>
      <c r="QG8" s="220" t="s">
        <v>2421</v>
      </c>
      <c r="QH8" s="220" t="s">
        <v>2462</v>
      </c>
      <c r="QI8" s="220" t="s">
        <v>2418</v>
      </c>
      <c r="QJ8" s="220" t="s">
        <v>2419</v>
      </c>
      <c r="QK8" s="220" t="s">
        <v>2458</v>
      </c>
      <c r="QL8" s="220" t="s">
        <v>2421</v>
      </c>
      <c r="QM8" s="220" t="s">
        <v>2462</v>
      </c>
      <c r="QN8" s="220" t="s">
        <v>2418</v>
      </c>
      <c r="QO8" s="220" t="s">
        <v>2419</v>
      </c>
      <c r="QP8" s="220" t="s">
        <v>2458</v>
      </c>
      <c r="QQ8" s="220" t="s">
        <v>2421</v>
      </c>
      <c r="QR8" s="220" t="s">
        <v>2462</v>
      </c>
      <c r="QS8" s="220" t="s">
        <v>2418</v>
      </c>
      <c r="QT8" s="220" t="s">
        <v>2419</v>
      </c>
      <c r="QU8" s="220" t="s">
        <v>2458</v>
      </c>
      <c r="QV8" s="220" t="s">
        <v>2421</v>
      </c>
      <c r="QW8" s="220" t="s">
        <v>2462</v>
      </c>
      <c r="QX8" s="220" t="s">
        <v>2418</v>
      </c>
      <c r="QY8" s="220" t="s">
        <v>2419</v>
      </c>
      <c r="QZ8" s="220" t="s">
        <v>2458</v>
      </c>
      <c r="RA8" s="220" t="s">
        <v>2421</v>
      </c>
      <c r="RB8" s="220" t="s">
        <v>2462</v>
      </c>
      <c r="RC8" s="220" t="s">
        <v>2418</v>
      </c>
      <c r="RD8" s="220" t="s">
        <v>2419</v>
      </c>
      <c r="RE8" s="220" t="s">
        <v>2458</v>
      </c>
      <c r="RF8" s="220" t="s">
        <v>2421</v>
      </c>
      <c r="RG8" s="220" t="s">
        <v>2462</v>
      </c>
      <c r="RH8" s="220" t="s">
        <v>2418</v>
      </c>
      <c r="RI8" s="220" t="s">
        <v>2419</v>
      </c>
      <c r="RJ8" s="220" t="s">
        <v>2458</v>
      </c>
      <c r="RK8" s="220" t="s">
        <v>2421</v>
      </c>
      <c r="RL8" s="220" t="s">
        <v>2462</v>
      </c>
      <c r="RM8" s="220" t="s">
        <v>2418</v>
      </c>
      <c r="RN8" s="220" t="s">
        <v>2419</v>
      </c>
      <c r="RO8" s="220" t="s">
        <v>2458</v>
      </c>
      <c r="RP8" s="220" t="s">
        <v>2421</v>
      </c>
      <c r="RQ8" s="220" t="s">
        <v>2462</v>
      </c>
      <c r="RR8" s="220" t="s">
        <v>2418</v>
      </c>
      <c r="RS8" s="220" t="s">
        <v>2419</v>
      </c>
      <c r="RT8" s="220" t="s">
        <v>2458</v>
      </c>
      <c r="RU8" s="220" t="s">
        <v>2421</v>
      </c>
      <c r="RV8" s="220" t="s">
        <v>2462</v>
      </c>
      <c r="RW8" s="220" t="s">
        <v>2418</v>
      </c>
      <c r="RX8" s="220" t="s">
        <v>2419</v>
      </c>
      <c r="RY8" s="220" t="s">
        <v>2458</v>
      </c>
      <c r="RZ8" s="220" t="s">
        <v>2421</v>
      </c>
      <c r="SA8" s="220" t="s">
        <v>2462</v>
      </c>
      <c r="SB8" s="220" t="s">
        <v>2418</v>
      </c>
      <c r="SC8" s="220" t="s">
        <v>2419</v>
      </c>
      <c r="SD8" s="220" t="s">
        <v>2458</v>
      </c>
      <c r="SE8" s="220" t="s">
        <v>2421</v>
      </c>
      <c r="SF8" s="220" t="s">
        <v>2462</v>
      </c>
      <c r="SG8" s="220" t="s">
        <v>2418</v>
      </c>
      <c r="SH8" s="220" t="s">
        <v>2419</v>
      </c>
      <c r="SI8" s="220" t="s">
        <v>2458</v>
      </c>
      <c r="SJ8" s="220" t="s">
        <v>2421</v>
      </c>
      <c r="SK8" s="220" t="s">
        <v>2462</v>
      </c>
      <c r="SL8" s="220" t="s">
        <v>2418</v>
      </c>
      <c r="SM8" s="220" t="s">
        <v>2419</v>
      </c>
      <c r="SN8" s="220" t="s">
        <v>2458</v>
      </c>
      <c r="SO8" s="220" t="s">
        <v>2421</v>
      </c>
      <c r="SP8" s="220" t="s">
        <v>2462</v>
      </c>
      <c r="SQ8" s="220" t="s">
        <v>2418</v>
      </c>
      <c r="SR8" s="220" t="s">
        <v>2419</v>
      </c>
      <c r="SS8" s="220" t="s">
        <v>2458</v>
      </c>
      <c r="ST8" s="220" t="s">
        <v>2421</v>
      </c>
      <c r="SU8" s="220" t="s">
        <v>2462</v>
      </c>
      <c r="SV8" s="220" t="s">
        <v>2418</v>
      </c>
      <c r="SW8" s="220" t="s">
        <v>2419</v>
      </c>
      <c r="SX8" s="220" t="s">
        <v>2458</v>
      </c>
      <c r="SY8" s="220" t="s">
        <v>2421</v>
      </c>
      <c r="SZ8" s="220" t="s">
        <v>2462</v>
      </c>
      <c r="TA8" s="220" t="s">
        <v>2418</v>
      </c>
      <c r="TB8" s="220" t="s">
        <v>2419</v>
      </c>
      <c r="TC8" s="220" t="s">
        <v>2458</v>
      </c>
      <c r="TD8" s="220" t="s">
        <v>2421</v>
      </c>
      <c r="TE8" s="220" t="s">
        <v>2462</v>
      </c>
      <c r="TF8" s="220" t="s">
        <v>2418</v>
      </c>
      <c r="TG8" s="220" t="s">
        <v>2419</v>
      </c>
      <c r="TH8" s="220" t="s">
        <v>2458</v>
      </c>
      <c r="TI8" s="220" t="s">
        <v>2421</v>
      </c>
      <c r="TJ8" s="220" t="s">
        <v>2462</v>
      </c>
      <c r="TK8" s="220" t="s">
        <v>2418</v>
      </c>
      <c r="TL8" s="220" t="s">
        <v>2419</v>
      </c>
      <c r="TM8" s="220" t="s">
        <v>2458</v>
      </c>
      <c r="TN8" s="220" t="s">
        <v>2421</v>
      </c>
      <c r="TO8" s="220" t="s">
        <v>2462</v>
      </c>
      <c r="TP8" s="220" t="s">
        <v>2418</v>
      </c>
      <c r="TQ8" s="220" t="s">
        <v>2419</v>
      </c>
      <c r="TR8" s="220" t="s">
        <v>2458</v>
      </c>
      <c r="TS8" s="220" t="s">
        <v>2421</v>
      </c>
      <c r="TT8" s="220" t="s">
        <v>2462</v>
      </c>
      <c r="TU8" s="220" t="s">
        <v>2418</v>
      </c>
      <c r="TV8" s="220" t="s">
        <v>2419</v>
      </c>
      <c r="TW8" s="220" t="s">
        <v>2458</v>
      </c>
      <c r="TX8" s="220" t="s">
        <v>2421</v>
      </c>
      <c r="TY8" s="220" t="s">
        <v>2462</v>
      </c>
      <c r="TZ8" s="220" t="s">
        <v>2418</v>
      </c>
      <c r="UA8" s="220" t="s">
        <v>2419</v>
      </c>
      <c r="UB8" s="220" t="s">
        <v>2458</v>
      </c>
      <c r="UC8" s="220" t="s">
        <v>2421</v>
      </c>
      <c r="UD8" s="220" t="s">
        <v>2462</v>
      </c>
      <c r="UE8" s="220" t="s">
        <v>2418</v>
      </c>
      <c r="UF8" s="220" t="s">
        <v>2419</v>
      </c>
      <c r="UG8" s="220" t="s">
        <v>2458</v>
      </c>
      <c r="UH8" s="220" t="s">
        <v>2421</v>
      </c>
      <c r="UI8" s="220" t="s">
        <v>2462</v>
      </c>
      <c r="UJ8" s="220" t="s">
        <v>2418</v>
      </c>
      <c r="UK8" s="220" t="s">
        <v>2419</v>
      </c>
      <c r="UL8" s="220" t="s">
        <v>2458</v>
      </c>
      <c r="UM8" s="220" t="s">
        <v>2421</v>
      </c>
      <c r="UN8" s="220" t="s">
        <v>2462</v>
      </c>
      <c r="UO8" s="220" t="s">
        <v>2418</v>
      </c>
      <c r="UP8" s="220" t="s">
        <v>2419</v>
      </c>
      <c r="UQ8" s="220" t="s">
        <v>2458</v>
      </c>
      <c r="UR8" s="220" t="s">
        <v>2421</v>
      </c>
      <c r="US8" s="220" t="s">
        <v>2462</v>
      </c>
      <c r="UT8" s="220" t="s">
        <v>2418</v>
      </c>
      <c r="UU8" s="220" t="s">
        <v>2419</v>
      </c>
      <c r="UV8" s="220" t="s">
        <v>2458</v>
      </c>
      <c r="UW8" s="220" t="s">
        <v>2421</v>
      </c>
      <c r="UX8" s="220" t="s">
        <v>2462</v>
      </c>
      <c r="UY8" s="220" t="s">
        <v>2418</v>
      </c>
      <c r="UZ8" s="220" t="s">
        <v>2419</v>
      </c>
      <c r="VA8" s="220" t="s">
        <v>2458</v>
      </c>
      <c r="VB8" s="220" t="s">
        <v>2421</v>
      </c>
      <c r="VC8" s="220" t="s">
        <v>2462</v>
      </c>
      <c r="VD8" s="220" t="s">
        <v>2418</v>
      </c>
      <c r="VE8" s="220" t="s">
        <v>2419</v>
      </c>
      <c r="VF8" s="220" t="s">
        <v>2458</v>
      </c>
      <c r="VG8" s="220" t="s">
        <v>2421</v>
      </c>
      <c r="VH8" s="220" t="s">
        <v>2462</v>
      </c>
      <c r="VI8" s="220" t="s">
        <v>2418</v>
      </c>
      <c r="VJ8" s="220" t="s">
        <v>2419</v>
      </c>
      <c r="VK8" s="220" t="s">
        <v>2458</v>
      </c>
      <c r="VL8" s="220" t="s">
        <v>2421</v>
      </c>
      <c r="VM8" s="220" t="s">
        <v>2462</v>
      </c>
      <c r="VN8" s="220" t="s">
        <v>2418</v>
      </c>
      <c r="VO8" s="220" t="s">
        <v>2419</v>
      </c>
      <c r="VP8" s="220" t="s">
        <v>2458</v>
      </c>
      <c r="VQ8" s="220" t="s">
        <v>2421</v>
      </c>
      <c r="VR8" s="220" t="s">
        <v>2462</v>
      </c>
      <c r="VS8" s="220" t="s">
        <v>2418</v>
      </c>
      <c r="VT8" s="220" t="s">
        <v>2419</v>
      </c>
      <c r="VU8" s="220" t="s">
        <v>2458</v>
      </c>
      <c r="VV8" s="220" t="s">
        <v>2421</v>
      </c>
      <c r="VW8" s="220" t="s">
        <v>2462</v>
      </c>
      <c r="VX8" s="220" t="s">
        <v>2418</v>
      </c>
      <c r="VY8" s="220" t="s">
        <v>2419</v>
      </c>
      <c r="VZ8" s="220" t="s">
        <v>2458</v>
      </c>
      <c r="WA8" s="220" t="s">
        <v>2421</v>
      </c>
      <c r="WB8" s="220" t="s">
        <v>2462</v>
      </c>
      <c r="WC8" s="220" t="s">
        <v>2418</v>
      </c>
      <c r="WD8" s="220" t="s">
        <v>2419</v>
      </c>
      <c r="WE8" s="220" t="s">
        <v>2458</v>
      </c>
      <c r="WF8" s="220" t="s">
        <v>2421</v>
      </c>
      <c r="WG8" s="220" t="s">
        <v>2462</v>
      </c>
      <c r="WH8" s="220" t="s">
        <v>2418</v>
      </c>
      <c r="WI8" s="220" t="s">
        <v>2419</v>
      </c>
      <c r="WJ8" s="220" t="s">
        <v>2458</v>
      </c>
      <c r="WK8" s="220" t="s">
        <v>2421</v>
      </c>
      <c r="WL8" s="220" t="s">
        <v>2462</v>
      </c>
      <c r="WM8" s="220" t="s">
        <v>2418</v>
      </c>
      <c r="WN8" s="220" t="s">
        <v>2419</v>
      </c>
      <c r="WO8" s="220" t="s">
        <v>2458</v>
      </c>
      <c r="WP8" s="220" t="s">
        <v>2421</v>
      </c>
      <c r="WQ8" s="220" t="s">
        <v>2462</v>
      </c>
      <c r="WR8" s="220" t="s">
        <v>2418</v>
      </c>
      <c r="WS8" s="220" t="s">
        <v>2419</v>
      </c>
      <c r="WT8" s="220" t="s">
        <v>2458</v>
      </c>
      <c r="WU8" s="220" t="s">
        <v>2421</v>
      </c>
      <c r="WV8" s="220" t="s">
        <v>2462</v>
      </c>
      <c r="WW8" s="220" t="s">
        <v>2418</v>
      </c>
      <c r="WX8" s="220" t="s">
        <v>2419</v>
      </c>
      <c r="WY8" s="220" t="s">
        <v>2458</v>
      </c>
      <c r="WZ8" s="220" t="s">
        <v>2421</v>
      </c>
      <c r="XA8" s="220" t="s">
        <v>2462</v>
      </c>
      <c r="XB8" s="220" t="s">
        <v>2418</v>
      </c>
      <c r="XC8" s="220" t="s">
        <v>2419</v>
      </c>
      <c r="XD8" s="220" t="s">
        <v>2458</v>
      </c>
      <c r="XE8" s="220" t="s">
        <v>2421</v>
      </c>
      <c r="XF8" s="220" t="s">
        <v>2462</v>
      </c>
      <c r="XG8" s="220" t="s">
        <v>2418</v>
      </c>
      <c r="XH8" s="220" t="s">
        <v>2419</v>
      </c>
      <c r="XI8" s="220" t="s">
        <v>2458</v>
      </c>
      <c r="XJ8" s="220" t="s">
        <v>2421</v>
      </c>
      <c r="XK8" s="220" t="s">
        <v>2462</v>
      </c>
      <c r="XL8" s="220" t="s">
        <v>2418</v>
      </c>
      <c r="XM8" s="220" t="s">
        <v>2419</v>
      </c>
      <c r="XN8" s="220" t="s">
        <v>2458</v>
      </c>
      <c r="XO8" s="220" t="s">
        <v>2421</v>
      </c>
      <c r="XP8" s="220" t="s">
        <v>2462</v>
      </c>
      <c r="XQ8" s="220" t="s">
        <v>2418</v>
      </c>
      <c r="XR8" s="220" t="s">
        <v>2419</v>
      </c>
      <c r="XS8" s="220" t="s">
        <v>2458</v>
      </c>
      <c r="XT8" s="220" t="s">
        <v>2421</v>
      </c>
      <c r="XU8" s="220" t="s">
        <v>2462</v>
      </c>
      <c r="XV8" s="220" t="s">
        <v>2418</v>
      </c>
      <c r="XW8" s="220" t="s">
        <v>2419</v>
      </c>
      <c r="XX8" s="220" t="s">
        <v>2458</v>
      </c>
      <c r="XY8" s="220" t="s">
        <v>2421</v>
      </c>
      <c r="XZ8" s="220" t="s">
        <v>2462</v>
      </c>
      <c r="YA8" s="220" t="s">
        <v>2418</v>
      </c>
      <c r="YB8" s="220" t="s">
        <v>2419</v>
      </c>
      <c r="YC8" s="220" t="s">
        <v>2458</v>
      </c>
      <c r="YD8" s="220" t="s">
        <v>2421</v>
      </c>
      <c r="YE8" s="220" t="s">
        <v>2462</v>
      </c>
      <c r="YF8" s="220" t="s">
        <v>2418</v>
      </c>
      <c r="YG8" s="220" t="s">
        <v>2419</v>
      </c>
      <c r="YH8" s="220" t="s">
        <v>2458</v>
      </c>
      <c r="YI8" s="220" t="s">
        <v>2421</v>
      </c>
      <c r="YJ8" s="220" t="s">
        <v>2462</v>
      </c>
      <c r="YK8" s="220" t="s">
        <v>2418</v>
      </c>
      <c r="YL8" s="220" t="s">
        <v>2419</v>
      </c>
      <c r="YM8" s="220" t="s">
        <v>2458</v>
      </c>
      <c r="YN8" s="220" t="s">
        <v>2421</v>
      </c>
      <c r="YO8" s="220" t="s">
        <v>2462</v>
      </c>
      <c r="YP8" s="220" t="s">
        <v>2418</v>
      </c>
      <c r="YQ8" s="220" t="s">
        <v>2419</v>
      </c>
      <c r="YR8" s="220" t="s">
        <v>2458</v>
      </c>
      <c r="YS8" s="220" t="s">
        <v>2421</v>
      </c>
      <c r="YT8" s="220" t="s">
        <v>2462</v>
      </c>
      <c r="YU8" s="220" t="s">
        <v>2418</v>
      </c>
      <c r="YV8" s="220" t="s">
        <v>2419</v>
      </c>
      <c r="YW8" s="220" t="s">
        <v>2458</v>
      </c>
      <c r="YX8" s="220" t="s">
        <v>2421</v>
      </c>
      <c r="YY8" s="220" t="s">
        <v>2462</v>
      </c>
      <c r="YZ8" s="220" t="s">
        <v>2418</v>
      </c>
      <c r="ZA8" s="220" t="s">
        <v>2419</v>
      </c>
      <c r="ZB8" s="220" t="s">
        <v>2458</v>
      </c>
      <c r="ZC8" s="220" t="s">
        <v>2421</v>
      </c>
      <c r="ZD8" s="220" t="s">
        <v>2462</v>
      </c>
      <c r="ZE8" s="220" t="s">
        <v>2418</v>
      </c>
      <c r="ZF8" s="220" t="s">
        <v>2419</v>
      </c>
      <c r="ZG8" s="220" t="s">
        <v>2458</v>
      </c>
      <c r="ZH8" s="220" t="s">
        <v>2421</v>
      </c>
      <c r="ZI8" s="220" t="s">
        <v>2462</v>
      </c>
      <c r="ZJ8" s="220" t="s">
        <v>2418</v>
      </c>
      <c r="ZK8" s="220" t="s">
        <v>2419</v>
      </c>
      <c r="ZL8" s="220" t="s">
        <v>2458</v>
      </c>
      <c r="ZM8" s="220" t="s">
        <v>2421</v>
      </c>
      <c r="ZN8" s="220" t="s">
        <v>2462</v>
      </c>
      <c r="ZO8" s="220" t="s">
        <v>2418</v>
      </c>
      <c r="ZP8" s="220" t="s">
        <v>2419</v>
      </c>
      <c r="ZQ8" s="220" t="s">
        <v>2458</v>
      </c>
      <c r="ZR8" s="220" t="s">
        <v>2421</v>
      </c>
      <c r="ZS8" s="220" t="s">
        <v>2462</v>
      </c>
      <c r="ZT8" s="220" t="s">
        <v>2418</v>
      </c>
      <c r="ZU8" s="220" t="s">
        <v>2419</v>
      </c>
      <c r="ZV8" s="220" t="s">
        <v>2458</v>
      </c>
      <c r="ZW8" s="220" t="s">
        <v>2421</v>
      </c>
      <c r="ZX8" s="220" t="s">
        <v>2462</v>
      </c>
      <c r="ZY8" s="220" t="s">
        <v>2418</v>
      </c>
      <c r="ZZ8" s="220" t="s">
        <v>2419</v>
      </c>
      <c r="AAA8" s="220" t="s">
        <v>2458</v>
      </c>
      <c r="AAB8" s="220" t="s">
        <v>2421</v>
      </c>
      <c r="AAC8" s="220" t="s">
        <v>2462</v>
      </c>
      <c r="AAD8" s="220" t="s">
        <v>2418</v>
      </c>
      <c r="AAE8" s="220" t="s">
        <v>2419</v>
      </c>
      <c r="AAF8" s="220" t="s">
        <v>2458</v>
      </c>
      <c r="AAG8" s="220" t="s">
        <v>2421</v>
      </c>
      <c r="AAH8" s="220" t="s">
        <v>2462</v>
      </c>
      <c r="AAI8" s="220" t="s">
        <v>2418</v>
      </c>
      <c r="AAJ8" s="220" t="s">
        <v>2419</v>
      </c>
      <c r="AAK8" s="220" t="s">
        <v>2458</v>
      </c>
      <c r="AAL8" s="220" t="s">
        <v>2421</v>
      </c>
      <c r="AAM8" s="220" t="s">
        <v>2462</v>
      </c>
      <c r="AAN8" s="220" t="s">
        <v>2418</v>
      </c>
      <c r="AAO8" s="220" t="s">
        <v>2419</v>
      </c>
      <c r="AAP8" s="220" t="s">
        <v>2458</v>
      </c>
      <c r="AAQ8" s="220" t="s">
        <v>2421</v>
      </c>
      <c r="AAR8" s="220" t="s">
        <v>2462</v>
      </c>
      <c r="AAS8" s="220" t="s">
        <v>2418</v>
      </c>
      <c r="AAT8" s="220" t="s">
        <v>2419</v>
      </c>
      <c r="AAU8" s="220" t="s">
        <v>2458</v>
      </c>
      <c r="AAV8" s="220" t="s">
        <v>2421</v>
      </c>
      <c r="AAW8" s="220" t="s">
        <v>2462</v>
      </c>
      <c r="AAX8" s="220" t="s">
        <v>2418</v>
      </c>
      <c r="AAY8" s="220" t="s">
        <v>2419</v>
      </c>
      <c r="AAZ8" s="220" t="s">
        <v>2458</v>
      </c>
      <c r="ABA8" s="220" t="s">
        <v>2421</v>
      </c>
      <c r="ABB8" s="220" t="s">
        <v>2462</v>
      </c>
      <c r="ABC8" s="220" t="s">
        <v>2418</v>
      </c>
      <c r="ABD8" s="220" t="s">
        <v>2419</v>
      </c>
      <c r="ABE8" s="220" t="s">
        <v>2458</v>
      </c>
      <c r="ABF8" s="220" t="s">
        <v>2421</v>
      </c>
      <c r="ABG8" s="220" t="s">
        <v>2462</v>
      </c>
      <c r="ABH8" s="220" t="s">
        <v>2418</v>
      </c>
      <c r="ABI8" s="220" t="s">
        <v>2419</v>
      </c>
      <c r="ABJ8" s="220" t="s">
        <v>2458</v>
      </c>
      <c r="ABK8" s="220" t="s">
        <v>2421</v>
      </c>
      <c r="ABL8" s="220" t="s">
        <v>2462</v>
      </c>
      <c r="ABM8" s="220" t="s">
        <v>2418</v>
      </c>
      <c r="ABN8" s="220" t="s">
        <v>2419</v>
      </c>
      <c r="ABO8" s="220" t="s">
        <v>2458</v>
      </c>
      <c r="ABP8" s="220" t="s">
        <v>2421</v>
      </c>
      <c r="ABQ8" s="220" t="s">
        <v>2462</v>
      </c>
      <c r="ABR8" s="220" t="s">
        <v>2418</v>
      </c>
      <c r="ABS8" s="220" t="s">
        <v>2419</v>
      </c>
      <c r="ABT8" s="220" t="s">
        <v>2458</v>
      </c>
      <c r="ABU8" s="220" t="s">
        <v>2421</v>
      </c>
      <c r="ABV8" s="220" t="s">
        <v>2462</v>
      </c>
      <c r="ABW8" s="220" t="s">
        <v>2418</v>
      </c>
      <c r="ABX8" s="220" t="s">
        <v>2419</v>
      </c>
      <c r="ABY8" s="220" t="s">
        <v>2458</v>
      </c>
      <c r="ABZ8" s="220" t="s">
        <v>2421</v>
      </c>
      <c r="ACA8" s="220" t="s">
        <v>2462</v>
      </c>
      <c r="ACB8" s="220" t="s">
        <v>2418</v>
      </c>
      <c r="ACC8" s="220" t="s">
        <v>2419</v>
      </c>
      <c r="ACD8" s="220" t="s">
        <v>2458</v>
      </c>
      <c r="ACE8" s="220" t="s">
        <v>2421</v>
      </c>
      <c r="ACF8" s="220" t="s">
        <v>2462</v>
      </c>
      <c r="ACG8" s="220" t="s">
        <v>2418</v>
      </c>
      <c r="ACH8" s="220" t="s">
        <v>2419</v>
      </c>
      <c r="ACI8" s="220" t="s">
        <v>2458</v>
      </c>
      <c r="ACJ8" s="220" t="s">
        <v>2421</v>
      </c>
      <c r="ACK8" s="220" t="s">
        <v>2462</v>
      </c>
      <c r="ACL8" s="220" t="s">
        <v>2418</v>
      </c>
      <c r="ACM8" s="220" t="s">
        <v>2419</v>
      </c>
      <c r="ACN8" s="220" t="s">
        <v>2458</v>
      </c>
      <c r="ACO8" s="220" t="s">
        <v>2421</v>
      </c>
      <c r="ACP8" s="220" t="s">
        <v>2462</v>
      </c>
      <c r="ACQ8" s="220" t="s">
        <v>2418</v>
      </c>
      <c r="ACR8" s="220" t="s">
        <v>2419</v>
      </c>
      <c r="ACS8" s="220" t="s">
        <v>2458</v>
      </c>
      <c r="ACT8" s="220" t="s">
        <v>2421</v>
      </c>
      <c r="ACU8" s="220" t="s">
        <v>2462</v>
      </c>
      <c r="ACV8" s="220" t="s">
        <v>2418</v>
      </c>
      <c r="ACW8" s="220" t="s">
        <v>2419</v>
      </c>
      <c r="ACX8" s="220" t="s">
        <v>2458</v>
      </c>
      <c r="ACY8" s="220" t="s">
        <v>2421</v>
      </c>
      <c r="ACZ8" s="220" t="s">
        <v>2462</v>
      </c>
      <c r="ADA8" s="220" t="s">
        <v>2418</v>
      </c>
      <c r="ADB8" s="220" t="s">
        <v>2419</v>
      </c>
      <c r="ADC8" s="220" t="s">
        <v>2458</v>
      </c>
      <c r="ADD8" s="220" t="s">
        <v>2421</v>
      </c>
      <c r="ADE8" s="220" t="s">
        <v>2462</v>
      </c>
      <c r="ADF8" s="220" t="s">
        <v>258</v>
      </c>
      <c r="ADG8" s="220" t="s">
        <v>2453</v>
      </c>
      <c r="ADH8" s="220" t="s">
        <v>69</v>
      </c>
      <c r="ADI8" s="220" t="s">
        <v>258</v>
      </c>
      <c r="ADJ8" s="220" t="s">
        <v>2453</v>
      </c>
      <c r="ADK8" s="220" t="s">
        <v>69</v>
      </c>
      <c r="ADL8" s="220" t="s">
        <v>258</v>
      </c>
      <c r="ADM8" s="220" t="s">
        <v>2453</v>
      </c>
      <c r="ADN8" s="220" t="s">
        <v>69</v>
      </c>
      <c r="ADO8" s="220" t="s">
        <v>258</v>
      </c>
      <c r="ADP8" s="220" t="s">
        <v>2453</v>
      </c>
      <c r="ADQ8" s="220" t="s">
        <v>69</v>
      </c>
      <c r="ADR8" s="220" t="s">
        <v>258</v>
      </c>
      <c r="ADS8" s="220" t="s">
        <v>2453</v>
      </c>
      <c r="ADT8" s="220" t="s">
        <v>69</v>
      </c>
      <c r="ADU8" s="220" t="s">
        <v>258</v>
      </c>
      <c r="ADV8" s="220" t="s">
        <v>2453</v>
      </c>
      <c r="ADW8" s="220" t="s">
        <v>69</v>
      </c>
      <c r="ADX8" s="220" t="s">
        <v>258</v>
      </c>
      <c r="ADY8" s="220" t="s">
        <v>2453</v>
      </c>
      <c r="ADZ8" s="220" t="s">
        <v>69</v>
      </c>
      <c r="AEA8" s="220" t="s">
        <v>258</v>
      </c>
      <c r="AEB8" s="220" t="s">
        <v>2453</v>
      </c>
      <c r="AEC8" s="220" t="s">
        <v>69</v>
      </c>
      <c r="AED8" s="220" t="s">
        <v>258</v>
      </c>
      <c r="AEE8" s="220" t="s">
        <v>2453</v>
      </c>
      <c r="AEF8" s="220" t="s">
        <v>69</v>
      </c>
      <c r="AEG8" s="220" t="s">
        <v>258</v>
      </c>
      <c r="AEH8" s="220" t="s">
        <v>2453</v>
      </c>
      <c r="AEI8" s="220" t="s">
        <v>69</v>
      </c>
      <c r="AEJ8" s="220" t="s">
        <v>258</v>
      </c>
      <c r="AEK8" s="220" t="s">
        <v>2453</v>
      </c>
      <c r="AEL8" s="220" t="s">
        <v>69</v>
      </c>
      <c r="AEM8" s="220" t="s">
        <v>258</v>
      </c>
      <c r="AEN8" s="220" t="s">
        <v>2453</v>
      </c>
      <c r="AEO8" s="220" t="s">
        <v>69</v>
      </c>
      <c r="AEP8" s="220" t="s">
        <v>258</v>
      </c>
      <c r="AEQ8" s="220" t="s">
        <v>2453</v>
      </c>
      <c r="AER8" s="220" t="s">
        <v>69</v>
      </c>
      <c r="AES8" s="220" t="s">
        <v>258</v>
      </c>
      <c r="AET8" s="220" t="s">
        <v>2453</v>
      </c>
      <c r="AEU8" s="220" t="s">
        <v>69</v>
      </c>
      <c r="AEV8" s="220" t="s">
        <v>258</v>
      </c>
      <c r="AEW8" s="220" t="s">
        <v>2453</v>
      </c>
      <c r="AEX8" s="220" t="s">
        <v>69</v>
      </c>
      <c r="AEY8" s="220" t="s">
        <v>258</v>
      </c>
      <c r="AEZ8" s="220" t="s">
        <v>2453</v>
      </c>
      <c r="AFA8" s="220" t="s">
        <v>69</v>
      </c>
      <c r="AFB8" s="220" t="s">
        <v>258</v>
      </c>
      <c r="AFC8" s="220" t="s">
        <v>2453</v>
      </c>
      <c r="AFD8" s="220" t="s">
        <v>69</v>
      </c>
      <c r="AFE8" s="220" t="s">
        <v>258</v>
      </c>
      <c r="AFF8" s="220" t="s">
        <v>2453</v>
      </c>
      <c r="AFG8" s="220" t="s">
        <v>69</v>
      </c>
      <c r="AFH8" s="220" t="s">
        <v>258</v>
      </c>
      <c r="AFI8" s="220" t="s">
        <v>2453</v>
      </c>
      <c r="AFJ8" s="220" t="s">
        <v>69</v>
      </c>
      <c r="AFK8" s="220" t="s">
        <v>258</v>
      </c>
      <c r="AFL8" s="220" t="s">
        <v>2453</v>
      </c>
      <c r="AFM8" s="220" t="s">
        <v>69</v>
      </c>
      <c r="AFN8" s="220" t="s">
        <v>2418</v>
      </c>
      <c r="AFO8" s="220" t="s">
        <v>2433</v>
      </c>
      <c r="AFP8" s="220" t="s">
        <v>2434</v>
      </c>
      <c r="AFQ8" s="220" t="s">
        <v>2418</v>
      </c>
      <c r="AFR8" s="220" t="s">
        <v>2433</v>
      </c>
      <c r="AFS8" s="220" t="s">
        <v>2434</v>
      </c>
      <c r="AFT8" s="220" t="s">
        <v>2418</v>
      </c>
      <c r="AFU8" s="220" t="s">
        <v>2433</v>
      </c>
      <c r="AFV8" s="220" t="s">
        <v>2434</v>
      </c>
      <c r="AFW8" s="220" t="s">
        <v>2418</v>
      </c>
      <c r="AFX8" s="220" t="s">
        <v>2433</v>
      </c>
      <c r="AFY8" s="220" t="s">
        <v>2434</v>
      </c>
      <c r="AFZ8" s="220" t="s">
        <v>2418</v>
      </c>
      <c r="AGA8" s="220" t="s">
        <v>2433</v>
      </c>
      <c r="AGB8" s="220" t="s">
        <v>2434</v>
      </c>
      <c r="AGC8" s="220" t="s">
        <v>2418</v>
      </c>
      <c r="AGD8" s="220" t="s">
        <v>2433</v>
      </c>
      <c r="AGE8" s="220" t="s">
        <v>2434</v>
      </c>
      <c r="AGF8" s="220" t="s">
        <v>2418</v>
      </c>
      <c r="AGG8" s="220" t="s">
        <v>2433</v>
      </c>
      <c r="AGH8" s="220" t="s">
        <v>2434</v>
      </c>
      <c r="AGI8" s="220" t="s">
        <v>2418</v>
      </c>
      <c r="AGJ8" s="220" t="s">
        <v>2433</v>
      </c>
      <c r="AGK8" s="220" t="s">
        <v>2434</v>
      </c>
      <c r="AGL8" s="220" t="s">
        <v>2418</v>
      </c>
      <c r="AGM8" s="220" t="s">
        <v>2433</v>
      </c>
      <c r="AGN8" s="220" t="s">
        <v>2434</v>
      </c>
      <c r="AGO8" s="220" t="s">
        <v>2418</v>
      </c>
      <c r="AGP8" s="220" t="s">
        <v>2433</v>
      </c>
      <c r="AGQ8" s="220" t="s">
        <v>2434</v>
      </c>
      <c r="AGR8" s="220" t="s">
        <v>2418</v>
      </c>
      <c r="AGS8" s="220" t="s">
        <v>2433</v>
      </c>
      <c r="AGT8" s="220" t="s">
        <v>2434</v>
      </c>
      <c r="AGU8" s="220" t="s">
        <v>2418</v>
      </c>
      <c r="AGV8" s="220" t="s">
        <v>2433</v>
      </c>
      <c r="AGW8" s="220" t="s">
        <v>2434</v>
      </c>
      <c r="AGX8" s="220" t="s">
        <v>2418</v>
      </c>
      <c r="AGY8" s="220" t="s">
        <v>2433</v>
      </c>
      <c r="AGZ8" s="220" t="s">
        <v>2434</v>
      </c>
      <c r="AHA8" s="220" t="s">
        <v>2418</v>
      </c>
      <c r="AHB8" s="220" t="s">
        <v>2433</v>
      </c>
      <c r="AHC8" s="220" t="s">
        <v>2434</v>
      </c>
      <c r="AHD8" s="220" t="s">
        <v>2418</v>
      </c>
      <c r="AHE8" s="220" t="s">
        <v>2433</v>
      </c>
      <c r="AHF8" s="220" t="s">
        <v>2434</v>
      </c>
      <c r="AHG8" s="220" t="s">
        <v>2418</v>
      </c>
      <c r="AHH8" s="220" t="s">
        <v>2419</v>
      </c>
      <c r="AHI8" s="220" t="s">
        <v>2458</v>
      </c>
      <c r="AHJ8" s="220" t="s">
        <v>2421</v>
      </c>
      <c r="AHK8" s="220" t="s">
        <v>2462</v>
      </c>
      <c r="AHL8" s="220" t="s">
        <v>2418</v>
      </c>
      <c r="AHM8" s="220" t="s">
        <v>2419</v>
      </c>
      <c r="AHN8" s="220" t="s">
        <v>2458</v>
      </c>
      <c r="AHO8" s="220" t="s">
        <v>2421</v>
      </c>
      <c r="AHP8" s="220" t="s">
        <v>2462</v>
      </c>
      <c r="AHQ8" s="220" t="s">
        <v>2418</v>
      </c>
      <c r="AHR8" s="220" t="s">
        <v>2419</v>
      </c>
      <c r="AHS8" s="220" t="s">
        <v>2458</v>
      </c>
      <c r="AHT8" s="220" t="s">
        <v>2421</v>
      </c>
      <c r="AHU8" s="220" t="s">
        <v>2462</v>
      </c>
      <c r="AHV8" s="220" t="s">
        <v>2418</v>
      </c>
      <c r="AHW8" s="220" t="s">
        <v>2419</v>
      </c>
      <c r="AHX8" s="220" t="s">
        <v>2458</v>
      </c>
      <c r="AHY8" s="220" t="s">
        <v>2421</v>
      </c>
      <c r="AHZ8" s="220" t="s">
        <v>2462</v>
      </c>
      <c r="AIA8" s="220" t="s">
        <v>2418</v>
      </c>
      <c r="AIB8" s="220" t="s">
        <v>2419</v>
      </c>
      <c r="AIC8" s="220" t="s">
        <v>2458</v>
      </c>
      <c r="AID8" s="220" t="s">
        <v>2421</v>
      </c>
      <c r="AIE8" s="220" t="s">
        <v>2462</v>
      </c>
      <c r="AIF8" s="220" t="s">
        <v>2418</v>
      </c>
      <c r="AIG8" s="220" t="s">
        <v>2419</v>
      </c>
      <c r="AIH8" s="220" t="s">
        <v>2458</v>
      </c>
      <c r="AII8" s="220" t="s">
        <v>2421</v>
      </c>
      <c r="AIJ8" s="220" t="s">
        <v>2462</v>
      </c>
      <c r="AIK8" s="220" t="s">
        <v>2418</v>
      </c>
      <c r="AIL8" s="220" t="s">
        <v>2419</v>
      </c>
      <c r="AIM8" s="220" t="s">
        <v>2458</v>
      </c>
      <c r="AIN8" s="220" t="s">
        <v>2421</v>
      </c>
      <c r="AIO8" s="220" t="s">
        <v>2462</v>
      </c>
      <c r="AIP8" s="220" t="s">
        <v>2418</v>
      </c>
      <c r="AIQ8" s="220" t="s">
        <v>2419</v>
      </c>
      <c r="AIR8" s="220" t="s">
        <v>2458</v>
      </c>
      <c r="AIS8" s="220" t="s">
        <v>2421</v>
      </c>
      <c r="AIT8" s="220" t="s">
        <v>2462</v>
      </c>
      <c r="AIU8" s="220" t="s">
        <v>2418</v>
      </c>
      <c r="AIV8" s="220" t="s">
        <v>2419</v>
      </c>
      <c r="AIW8" s="220" t="s">
        <v>2458</v>
      </c>
      <c r="AIX8" s="220" t="s">
        <v>2421</v>
      </c>
      <c r="AIY8" s="220" t="s">
        <v>2462</v>
      </c>
      <c r="AIZ8" s="220" t="s">
        <v>2418</v>
      </c>
      <c r="AJA8" s="220" t="s">
        <v>2419</v>
      </c>
      <c r="AJB8" s="220" t="s">
        <v>2458</v>
      </c>
      <c r="AJC8" s="220" t="s">
        <v>2421</v>
      </c>
      <c r="AJD8" s="220" t="s">
        <v>2462</v>
      </c>
      <c r="AJE8" s="220" t="s">
        <v>2418</v>
      </c>
      <c r="AJF8" s="220" t="s">
        <v>2419</v>
      </c>
      <c r="AJG8" s="220" t="s">
        <v>2458</v>
      </c>
      <c r="AJH8" s="220" t="s">
        <v>2421</v>
      </c>
      <c r="AJI8" s="220" t="s">
        <v>2462</v>
      </c>
      <c r="AJJ8" s="220" t="s">
        <v>2418</v>
      </c>
      <c r="AJK8" s="220" t="s">
        <v>2419</v>
      </c>
      <c r="AJL8" s="220" t="s">
        <v>2458</v>
      </c>
      <c r="AJM8" s="220" t="s">
        <v>2421</v>
      </c>
      <c r="AJN8" s="220" t="s">
        <v>2462</v>
      </c>
      <c r="AJO8" s="220" t="s">
        <v>2418</v>
      </c>
      <c r="AJP8" s="220" t="s">
        <v>2419</v>
      </c>
      <c r="AJQ8" s="220" t="s">
        <v>2458</v>
      </c>
      <c r="AJR8" s="220" t="s">
        <v>2421</v>
      </c>
      <c r="AJS8" s="220" t="s">
        <v>2462</v>
      </c>
      <c r="AJT8" s="220" t="s">
        <v>2418</v>
      </c>
      <c r="AJU8" s="220" t="s">
        <v>2419</v>
      </c>
      <c r="AJV8" s="220" t="s">
        <v>2458</v>
      </c>
      <c r="AJW8" s="220" t="s">
        <v>2421</v>
      </c>
      <c r="AJX8" s="220" t="s">
        <v>2462</v>
      </c>
      <c r="AJY8" s="220" t="s">
        <v>2418</v>
      </c>
      <c r="AJZ8" s="220" t="s">
        <v>2419</v>
      </c>
      <c r="AKA8" s="220" t="s">
        <v>2458</v>
      </c>
      <c r="AKB8" s="220" t="s">
        <v>2421</v>
      </c>
      <c r="AKC8" s="220" t="s">
        <v>2462</v>
      </c>
      <c r="AKD8" s="220" t="s">
        <v>2418</v>
      </c>
      <c r="AKE8" s="220" t="s">
        <v>2419</v>
      </c>
      <c r="AKF8" s="220" t="s">
        <v>2458</v>
      </c>
      <c r="AKG8" s="220" t="s">
        <v>2421</v>
      </c>
      <c r="AKH8" s="220" t="s">
        <v>2462</v>
      </c>
      <c r="AKI8" s="220" t="s">
        <v>2418</v>
      </c>
      <c r="AKJ8" s="220" t="s">
        <v>2419</v>
      </c>
      <c r="AKK8" s="220" t="s">
        <v>2458</v>
      </c>
      <c r="AKL8" s="220" t="s">
        <v>2421</v>
      </c>
      <c r="AKM8" s="220" t="s">
        <v>2462</v>
      </c>
      <c r="AKN8" s="220" t="s">
        <v>2418</v>
      </c>
      <c r="AKO8" s="220" t="s">
        <v>2419</v>
      </c>
      <c r="AKP8" s="220" t="s">
        <v>2458</v>
      </c>
      <c r="AKQ8" s="220" t="s">
        <v>2421</v>
      </c>
      <c r="AKR8" s="220" t="s">
        <v>2462</v>
      </c>
      <c r="AKS8" s="220" t="s">
        <v>2418</v>
      </c>
      <c r="AKT8" s="220" t="s">
        <v>2419</v>
      </c>
      <c r="AKU8" s="220" t="s">
        <v>2458</v>
      </c>
      <c r="AKV8" s="220" t="s">
        <v>2421</v>
      </c>
      <c r="AKW8" s="220" t="s">
        <v>2462</v>
      </c>
      <c r="AKX8" s="220" t="s">
        <v>2418</v>
      </c>
      <c r="AKY8" s="220" t="s">
        <v>2419</v>
      </c>
      <c r="AKZ8" s="220" t="s">
        <v>2458</v>
      </c>
      <c r="ALA8" s="220" t="s">
        <v>2421</v>
      </c>
      <c r="ALB8" s="220" t="s">
        <v>2462</v>
      </c>
      <c r="ALC8" s="220" t="s">
        <v>2418</v>
      </c>
      <c r="ALD8" s="220" t="s">
        <v>2419</v>
      </c>
      <c r="ALE8" s="220" t="s">
        <v>2458</v>
      </c>
      <c r="ALF8" s="220" t="s">
        <v>2421</v>
      </c>
      <c r="ALG8" s="220" t="s">
        <v>2462</v>
      </c>
      <c r="ALH8" s="220" t="s">
        <v>2418</v>
      </c>
      <c r="ALI8" s="220" t="s">
        <v>2419</v>
      </c>
      <c r="ALJ8" s="220" t="s">
        <v>2458</v>
      </c>
      <c r="ALK8" s="220" t="s">
        <v>2421</v>
      </c>
      <c r="ALL8" s="220" t="s">
        <v>2462</v>
      </c>
      <c r="ALM8" s="220" t="s">
        <v>2418</v>
      </c>
      <c r="ALN8" s="220" t="s">
        <v>2419</v>
      </c>
      <c r="ALO8" s="220" t="s">
        <v>2458</v>
      </c>
      <c r="ALP8" s="220" t="s">
        <v>2421</v>
      </c>
      <c r="ALQ8" s="220" t="s">
        <v>2462</v>
      </c>
      <c r="ALR8" s="220" t="s">
        <v>2418</v>
      </c>
      <c r="ALS8" s="220" t="s">
        <v>2419</v>
      </c>
      <c r="ALT8" s="220" t="s">
        <v>2458</v>
      </c>
      <c r="ALU8" s="220" t="s">
        <v>2421</v>
      </c>
      <c r="ALV8" s="220" t="s">
        <v>2462</v>
      </c>
      <c r="ALW8" s="220" t="s">
        <v>2418</v>
      </c>
      <c r="ALX8" s="220" t="s">
        <v>2419</v>
      </c>
      <c r="ALY8" s="220" t="s">
        <v>2458</v>
      </c>
      <c r="ALZ8" s="220" t="s">
        <v>2421</v>
      </c>
      <c r="AMA8" s="220" t="s">
        <v>2462</v>
      </c>
      <c r="AMB8" s="220" t="s">
        <v>2418</v>
      </c>
      <c r="AMC8" s="220" t="s">
        <v>2419</v>
      </c>
      <c r="AMD8" s="220" t="s">
        <v>2458</v>
      </c>
      <c r="AME8" s="220" t="s">
        <v>2421</v>
      </c>
      <c r="AMF8" s="220" t="s">
        <v>2462</v>
      </c>
      <c r="AMG8" s="220" t="s">
        <v>2418</v>
      </c>
      <c r="AMH8" s="220" t="s">
        <v>2419</v>
      </c>
      <c r="AMI8" s="220" t="s">
        <v>2458</v>
      </c>
      <c r="AMJ8" s="220" t="s">
        <v>2421</v>
      </c>
      <c r="AMK8" s="220" t="s">
        <v>2462</v>
      </c>
      <c r="AML8" s="220" t="s">
        <v>2418</v>
      </c>
      <c r="AMM8" s="220" t="s">
        <v>2419</v>
      </c>
      <c r="AMN8" s="220" t="s">
        <v>2458</v>
      </c>
      <c r="AMO8" s="220" t="s">
        <v>2421</v>
      </c>
      <c r="AMP8" s="220" t="s">
        <v>2462</v>
      </c>
      <c r="AMQ8" s="220" t="s">
        <v>2418</v>
      </c>
      <c r="AMR8" s="220" t="s">
        <v>2419</v>
      </c>
      <c r="AMS8" s="220" t="s">
        <v>2458</v>
      </c>
      <c r="AMT8" s="220" t="s">
        <v>2421</v>
      </c>
      <c r="AMU8" s="220" t="s">
        <v>2462</v>
      </c>
      <c r="AMV8" s="220" t="s">
        <v>2418</v>
      </c>
      <c r="AMW8" s="220" t="s">
        <v>2419</v>
      </c>
      <c r="AMX8" s="220" t="s">
        <v>2458</v>
      </c>
      <c r="AMY8" s="220" t="s">
        <v>2421</v>
      </c>
      <c r="AMZ8" s="220" t="s">
        <v>2462</v>
      </c>
      <c r="ANA8" s="220" t="s">
        <v>2418</v>
      </c>
      <c r="ANB8" s="220" t="s">
        <v>2419</v>
      </c>
      <c r="ANC8" s="220" t="s">
        <v>2458</v>
      </c>
      <c r="AND8" s="220" t="s">
        <v>2421</v>
      </c>
      <c r="ANE8" s="220" t="s">
        <v>2462</v>
      </c>
      <c r="ANF8" s="220" t="s">
        <v>2418</v>
      </c>
      <c r="ANG8" s="220" t="s">
        <v>2419</v>
      </c>
      <c r="ANH8" s="220" t="s">
        <v>2458</v>
      </c>
      <c r="ANI8" s="220" t="s">
        <v>2421</v>
      </c>
      <c r="ANJ8" s="220" t="s">
        <v>2462</v>
      </c>
      <c r="ANK8" s="220" t="s">
        <v>2418</v>
      </c>
      <c r="ANL8" s="220" t="s">
        <v>2419</v>
      </c>
      <c r="ANM8" s="220" t="s">
        <v>2458</v>
      </c>
      <c r="ANN8" s="220" t="s">
        <v>2421</v>
      </c>
      <c r="ANO8" s="220" t="s">
        <v>2462</v>
      </c>
      <c r="ANP8" s="220" t="s">
        <v>2418</v>
      </c>
      <c r="ANQ8" s="220" t="s">
        <v>2419</v>
      </c>
      <c r="ANR8" s="220" t="s">
        <v>2458</v>
      </c>
      <c r="ANS8" s="220" t="s">
        <v>2421</v>
      </c>
      <c r="ANT8" s="220" t="s">
        <v>2462</v>
      </c>
      <c r="ANU8" s="220" t="s">
        <v>2418</v>
      </c>
      <c r="ANV8" s="220" t="s">
        <v>2419</v>
      </c>
      <c r="ANW8" s="220" t="s">
        <v>2458</v>
      </c>
      <c r="ANX8" s="220" t="s">
        <v>2421</v>
      </c>
      <c r="ANY8" s="220" t="s">
        <v>2462</v>
      </c>
      <c r="ANZ8" s="220" t="s">
        <v>2418</v>
      </c>
      <c r="AOA8" s="220" t="s">
        <v>2419</v>
      </c>
      <c r="AOB8" s="220" t="s">
        <v>2458</v>
      </c>
      <c r="AOC8" s="220" t="s">
        <v>2421</v>
      </c>
      <c r="AOD8" s="220" t="s">
        <v>2462</v>
      </c>
      <c r="AOE8" s="220" t="s">
        <v>2418</v>
      </c>
      <c r="AOF8" s="220" t="s">
        <v>2419</v>
      </c>
      <c r="AOG8" s="220" t="s">
        <v>2458</v>
      </c>
      <c r="AOH8" s="220" t="s">
        <v>2421</v>
      </c>
      <c r="AOI8" s="220" t="s">
        <v>2462</v>
      </c>
      <c r="AOJ8" s="220" t="s">
        <v>2418</v>
      </c>
      <c r="AOK8" s="220" t="s">
        <v>2419</v>
      </c>
      <c r="AOL8" s="220" t="s">
        <v>2458</v>
      </c>
      <c r="AOM8" s="220" t="s">
        <v>2421</v>
      </c>
      <c r="AON8" s="220" t="s">
        <v>2462</v>
      </c>
      <c r="AOO8" s="220" t="s">
        <v>2418</v>
      </c>
      <c r="AOP8" s="220" t="s">
        <v>2419</v>
      </c>
      <c r="AOQ8" s="220" t="s">
        <v>2458</v>
      </c>
      <c r="AOR8" s="220" t="s">
        <v>2421</v>
      </c>
      <c r="AOS8" s="220" t="s">
        <v>2462</v>
      </c>
      <c r="AOT8" s="220" t="s">
        <v>2418</v>
      </c>
      <c r="AOU8" s="220" t="s">
        <v>2419</v>
      </c>
      <c r="AOV8" s="220" t="s">
        <v>2458</v>
      </c>
      <c r="AOW8" s="220" t="s">
        <v>2421</v>
      </c>
      <c r="AOX8" s="220" t="s">
        <v>2462</v>
      </c>
      <c r="AOY8" s="220" t="s">
        <v>2418</v>
      </c>
      <c r="AOZ8" s="220" t="s">
        <v>2419</v>
      </c>
      <c r="APA8" s="220" t="s">
        <v>2458</v>
      </c>
      <c r="APB8" s="220" t="s">
        <v>2421</v>
      </c>
      <c r="APC8" s="220" t="s">
        <v>2462</v>
      </c>
      <c r="APD8" s="220" t="s">
        <v>2418</v>
      </c>
      <c r="APE8" s="220" t="s">
        <v>2419</v>
      </c>
      <c r="APF8" s="220" t="s">
        <v>2458</v>
      </c>
      <c r="APG8" s="220" t="s">
        <v>2421</v>
      </c>
      <c r="APH8" s="220" t="s">
        <v>2462</v>
      </c>
      <c r="API8" s="220" t="s">
        <v>2418</v>
      </c>
      <c r="APJ8" s="220" t="s">
        <v>2419</v>
      </c>
      <c r="APK8" s="220" t="s">
        <v>2458</v>
      </c>
      <c r="APL8" s="220" t="s">
        <v>2421</v>
      </c>
      <c r="APM8" s="220" t="s">
        <v>2462</v>
      </c>
      <c r="APN8" s="220" t="s">
        <v>2418</v>
      </c>
      <c r="APO8" s="220" t="s">
        <v>2419</v>
      </c>
      <c r="APP8" s="220" t="s">
        <v>2458</v>
      </c>
      <c r="APQ8" s="220" t="s">
        <v>2421</v>
      </c>
      <c r="APR8" s="220" t="s">
        <v>2462</v>
      </c>
      <c r="APS8" s="220" t="s">
        <v>2418</v>
      </c>
      <c r="APT8" s="220" t="s">
        <v>2419</v>
      </c>
      <c r="APU8" s="220" t="s">
        <v>2458</v>
      </c>
      <c r="APV8" s="220" t="s">
        <v>2421</v>
      </c>
      <c r="APW8" s="220" t="s">
        <v>2462</v>
      </c>
      <c r="APX8" s="220" t="s">
        <v>2418</v>
      </c>
      <c r="APY8" s="220" t="s">
        <v>2419</v>
      </c>
      <c r="APZ8" s="220" t="s">
        <v>2458</v>
      </c>
      <c r="AQA8" s="220" t="s">
        <v>2421</v>
      </c>
      <c r="AQB8" s="220" t="s">
        <v>2462</v>
      </c>
      <c r="AQC8" s="220" t="s">
        <v>2418</v>
      </c>
      <c r="AQD8" s="220" t="s">
        <v>2419</v>
      </c>
      <c r="AQE8" s="220" t="s">
        <v>2458</v>
      </c>
      <c r="AQF8" s="220" t="s">
        <v>2421</v>
      </c>
      <c r="AQG8" s="220" t="s">
        <v>2462</v>
      </c>
      <c r="AQH8" s="220" t="s">
        <v>2418</v>
      </c>
      <c r="AQI8" s="220" t="s">
        <v>2419</v>
      </c>
      <c r="AQJ8" s="220" t="s">
        <v>2458</v>
      </c>
      <c r="AQK8" s="220" t="s">
        <v>2421</v>
      </c>
      <c r="AQL8" s="220" t="s">
        <v>2462</v>
      </c>
      <c r="AQM8" s="220" t="s">
        <v>2418</v>
      </c>
      <c r="AQN8" s="220" t="s">
        <v>2419</v>
      </c>
      <c r="AQO8" s="220" t="s">
        <v>2458</v>
      </c>
      <c r="AQP8" s="220" t="s">
        <v>2421</v>
      </c>
      <c r="AQQ8" s="220" t="s">
        <v>2462</v>
      </c>
      <c r="AQR8" s="220" t="s">
        <v>2418</v>
      </c>
      <c r="AQS8" s="220" t="s">
        <v>2419</v>
      </c>
      <c r="AQT8" s="220" t="s">
        <v>2458</v>
      </c>
      <c r="AQU8" s="220" t="s">
        <v>2421</v>
      </c>
      <c r="AQV8" s="220" t="s">
        <v>2462</v>
      </c>
      <c r="AQW8" s="220" t="s">
        <v>2418</v>
      </c>
      <c r="AQX8" s="220" t="s">
        <v>2419</v>
      </c>
      <c r="AQY8" s="220" t="s">
        <v>2458</v>
      </c>
      <c r="AQZ8" s="220" t="s">
        <v>2421</v>
      </c>
      <c r="ARA8" s="220" t="s">
        <v>2462</v>
      </c>
      <c r="ARB8" s="220" t="s">
        <v>2418</v>
      </c>
      <c r="ARC8" s="220" t="s">
        <v>2419</v>
      </c>
      <c r="ARD8" s="220" t="s">
        <v>2458</v>
      </c>
      <c r="ARE8" s="220" t="s">
        <v>2421</v>
      </c>
      <c r="ARF8" s="220" t="s">
        <v>2462</v>
      </c>
      <c r="ARG8" s="220" t="s">
        <v>2418</v>
      </c>
      <c r="ARH8" s="220" t="s">
        <v>2419</v>
      </c>
      <c r="ARI8" s="220" t="s">
        <v>2458</v>
      </c>
      <c r="ARJ8" s="220" t="s">
        <v>2421</v>
      </c>
      <c r="ARK8" s="220" t="s">
        <v>2462</v>
      </c>
      <c r="ARL8" s="220" t="s">
        <v>2418</v>
      </c>
      <c r="ARM8" s="220" t="s">
        <v>2419</v>
      </c>
      <c r="ARN8" s="220" t="s">
        <v>2458</v>
      </c>
      <c r="ARO8" s="220" t="s">
        <v>2421</v>
      </c>
      <c r="ARP8" s="220" t="s">
        <v>2462</v>
      </c>
      <c r="ARQ8" s="220" t="s">
        <v>2418</v>
      </c>
      <c r="ARR8" s="220" t="s">
        <v>2419</v>
      </c>
      <c r="ARS8" s="220" t="s">
        <v>2458</v>
      </c>
      <c r="ART8" s="220" t="s">
        <v>2421</v>
      </c>
      <c r="ARU8" s="220" t="s">
        <v>2462</v>
      </c>
      <c r="ARV8" s="220" t="s">
        <v>2418</v>
      </c>
      <c r="ARW8" s="220" t="s">
        <v>2419</v>
      </c>
      <c r="ARX8" s="220" t="s">
        <v>2458</v>
      </c>
      <c r="ARY8" s="220" t="s">
        <v>2421</v>
      </c>
      <c r="ARZ8" s="220" t="s">
        <v>2462</v>
      </c>
      <c r="ASA8" s="220" t="s">
        <v>2418</v>
      </c>
      <c r="ASB8" s="220" t="s">
        <v>2419</v>
      </c>
      <c r="ASC8" s="220" t="s">
        <v>2458</v>
      </c>
      <c r="ASD8" s="220" t="s">
        <v>2421</v>
      </c>
      <c r="ASE8" s="220" t="s">
        <v>2462</v>
      </c>
      <c r="ASF8" s="220" t="s">
        <v>2418</v>
      </c>
      <c r="ASG8" s="220" t="s">
        <v>2419</v>
      </c>
      <c r="ASH8" s="220" t="s">
        <v>2458</v>
      </c>
      <c r="ASI8" s="220" t="s">
        <v>2421</v>
      </c>
      <c r="ASJ8" s="220" t="s">
        <v>2462</v>
      </c>
      <c r="ASK8" s="220" t="s">
        <v>2418</v>
      </c>
      <c r="ASL8" s="220" t="s">
        <v>2419</v>
      </c>
      <c r="ASM8" s="220" t="s">
        <v>2458</v>
      </c>
      <c r="ASN8" s="220" t="s">
        <v>2421</v>
      </c>
      <c r="ASO8" s="220" t="s">
        <v>2462</v>
      </c>
      <c r="ASP8" s="220" t="s">
        <v>2418</v>
      </c>
      <c r="ASQ8" s="220" t="s">
        <v>2419</v>
      </c>
      <c r="ASR8" s="220" t="s">
        <v>2458</v>
      </c>
      <c r="ASS8" s="220" t="s">
        <v>2421</v>
      </c>
      <c r="AST8" s="220" t="s">
        <v>2462</v>
      </c>
      <c r="ASU8" s="220" t="s">
        <v>2418</v>
      </c>
      <c r="ASV8" s="220" t="s">
        <v>2419</v>
      </c>
      <c r="ASW8" s="220" t="s">
        <v>2458</v>
      </c>
      <c r="ASX8" s="220" t="s">
        <v>2421</v>
      </c>
      <c r="ASY8" s="220" t="s">
        <v>2462</v>
      </c>
      <c r="ASZ8" s="220" t="s">
        <v>2418</v>
      </c>
      <c r="ATA8" s="220" t="s">
        <v>2419</v>
      </c>
      <c r="ATB8" s="220" t="s">
        <v>2458</v>
      </c>
      <c r="ATC8" s="220" t="s">
        <v>2421</v>
      </c>
      <c r="ATD8" s="220" t="s">
        <v>2462</v>
      </c>
      <c r="ATE8" s="220" t="s">
        <v>2418</v>
      </c>
      <c r="ATF8" s="220" t="s">
        <v>2419</v>
      </c>
      <c r="ATG8" s="220" t="s">
        <v>2458</v>
      </c>
      <c r="ATH8" s="220" t="s">
        <v>2421</v>
      </c>
      <c r="ATI8" s="220" t="s">
        <v>2462</v>
      </c>
      <c r="ATJ8" s="220" t="s">
        <v>2418</v>
      </c>
      <c r="ATK8" s="220" t="s">
        <v>2419</v>
      </c>
      <c r="ATL8" s="220" t="s">
        <v>2458</v>
      </c>
      <c r="ATM8" s="220" t="s">
        <v>2421</v>
      </c>
      <c r="ATN8" s="220" t="s">
        <v>2462</v>
      </c>
      <c r="ATO8" s="220" t="s">
        <v>2418</v>
      </c>
      <c r="ATP8" s="220" t="s">
        <v>2419</v>
      </c>
      <c r="ATQ8" s="220" t="s">
        <v>2458</v>
      </c>
      <c r="ATR8" s="220" t="s">
        <v>2421</v>
      </c>
      <c r="ATS8" s="220" t="s">
        <v>2462</v>
      </c>
      <c r="ATT8" s="220" t="s">
        <v>2418</v>
      </c>
      <c r="ATU8" s="220" t="s">
        <v>2419</v>
      </c>
      <c r="ATV8" s="220" t="s">
        <v>2458</v>
      </c>
      <c r="ATW8" s="220" t="s">
        <v>2421</v>
      </c>
      <c r="ATX8" s="220" t="s">
        <v>2462</v>
      </c>
      <c r="ATY8" s="220" t="s">
        <v>2418</v>
      </c>
      <c r="ATZ8" s="220" t="s">
        <v>2419</v>
      </c>
      <c r="AUA8" s="220" t="s">
        <v>2458</v>
      </c>
      <c r="AUB8" s="220" t="s">
        <v>2421</v>
      </c>
      <c r="AUC8" s="220" t="s">
        <v>2462</v>
      </c>
      <c r="AUD8" s="220" t="s">
        <v>2418</v>
      </c>
      <c r="AUE8" s="220" t="s">
        <v>2419</v>
      </c>
      <c r="AUF8" s="220" t="s">
        <v>2458</v>
      </c>
      <c r="AUG8" s="220" t="s">
        <v>2421</v>
      </c>
      <c r="AUH8" s="220" t="s">
        <v>2462</v>
      </c>
      <c r="AUI8" s="220" t="s">
        <v>2418</v>
      </c>
      <c r="AUJ8" s="220" t="s">
        <v>2419</v>
      </c>
      <c r="AUK8" s="220" t="s">
        <v>2458</v>
      </c>
      <c r="AUL8" s="220" t="s">
        <v>2421</v>
      </c>
      <c r="AUM8" s="220" t="s">
        <v>2462</v>
      </c>
      <c r="AUN8" s="220" t="s">
        <v>2418</v>
      </c>
      <c r="AUO8" s="220" t="s">
        <v>2419</v>
      </c>
      <c r="AUP8" s="220" t="s">
        <v>2458</v>
      </c>
      <c r="AUQ8" s="220" t="s">
        <v>2421</v>
      </c>
      <c r="AUR8" s="220" t="s">
        <v>2462</v>
      </c>
      <c r="AUS8" s="220" t="s">
        <v>2418</v>
      </c>
      <c r="AUT8" s="220" t="s">
        <v>2419</v>
      </c>
      <c r="AUU8" s="220" t="s">
        <v>2458</v>
      </c>
      <c r="AUV8" s="220" t="s">
        <v>2421</v>
      </c>
      <c r="AUW8" s="220" t="s">
        <v>2462</v>
      </c>
      <c r="AUX8" s="220" t="s">
        <v>2418</v>
      </c>
      <c r="AUY8" s="220" t="s">
        <v>2419</v>
      </c>
      <c r="AUZ8" s="220" t="s">
        <v>2458</v>
      </c>
      <c r="AVA8" s="220" t="s">
        <v>2421</v>
      </c>
      <c r="AVB8" s="220" t="s">
        <v>2462</v>
      </c>
      <c r="AVC8" s="220" t="s">
        <v>2418</v>
      </c>
      <c r="AVD8" s="220" t="s">
        <v>2419</v>
      </c>
      <c r="AVE8" s="220" t="s">
        <v>2458</v>
      </c>
      <c r="AVF8" s="220" t="s">
        <v>2421</v>
      </c>
      <c r="AVG8" s="220" t="s">
        <v>2462</v>
      </c>
      <c r="AVH8" s="220" t="s">
        <v>2418</v>
      </c>
      <c r="AVI8" s="220" t="s">
        <v>2419</v>
      </c>
      <c r="AVJ8" s="220" t="s">
        <v>2458</v>
      </c>
      <c r="AVK8" s="220" t="s">
        <v>2421</v>
      </c>
      <c r="AVL8" s="220" t="s">
        <v>2462</v>
      </c>
      <c r="AVM8" s="220" t="s">
        <v>2418</v>
      </c>
      <c r="AVN8" s="220" t="s">
        <v>2419</v>
      </c>
      <c r="AVO8" s="220" t="s">
        <v>2458</v>
      </c>
      <c r="AVP8" s="220" t="s">
        <v>2421</v>
      </c>
      <c r="AVQ8" s="220" t="s">
        <v>2462</v>
      </c>
      <c r="AVR8" s="220" t="s">
        <v>2418</v>
      </c>
      <c r="AVS8" s="220" t="s">
        <v>2419</v>
      </c>
      <c r="AVT8" s="220" t="s">
        <v>2458</v>
      </c>
      <c r="AVU8" s="220" t="s">
        <v>2421</v>
      </c>
      <c r="AVV8" s="220" t="s">
        <v>2462</v>
      </c>
      <c r="AVW8" s="220" t="s">
        <v>2418</v>
      </c>
      <c r="AVX8" s="220" t="s">
        <v>2419</v>
      </c>
      <c r="AVY8" s="220" t="s">
        <v>2458</v>
      </c>
      <c r="AVZ8" s="220" t="s">
        <v>2421</v>
      </c>
      <c r="AWA8" s="220" t="s">
        <v>2462</v>
      </c>
      <c r="AWB8" s="220" t="s">
        <v>2418</v>
      </c>
      <c r="AWC8" s="220" t="s">
        <v>2419</v>
      </c>
      <c r="AWD8" s="220" t="s">
        <v>2458</v>
      </c>
      <c r="AWE8" s="220" t="s">
        <v>2421</v>
      </c>
      <c r="AWF8" s="220" t="s">
        <v>2462</v>
      </c>
      <c r="AWG8" s="220" t="s">
        <v>2418</v>
      </c>
      <c r="AWH8" s="220" t="s">
        <v>2419</v>
      </c>
      <c r="AWI8" s="220" t="s">
        <v>2458</v>
      </c>
      <c r="AWJ8" s="220" t="s">
        <v>2421</v>
      </c>
      <c r="AWK8" s="220" t="s">
        <v>2462</v>
      </c>
      <c r="AWL8" s="220" t="s">
        <v>2418</v>
      </c>
      <c r="AWM8" s="220" t="s">
        <v>2419</v>
      </c>
      <c r="AWN8" s="220" t="s">
        <v>2458</v>
      </c>
      <c r="AWO8" s="220" t="s">
        <v>2421</v>
      </c>
      <c r="AWP8" s="220" t="s">
        <v>2462</v>
      </c>
      <c r="AWQ8" s="220" t="s">
        <v>2418</v>
      </c>
      <c r="AWR8" s="220" t="s">
        <v>2419</v>
      </c>
      <c r="AWS8" s="220" t="s">
        <v>2458</v>
      </c>
      <c r="AWT8" s="220" t="s">
        <v>2421</v>
      </c>
      <c r="AWU8" s="220" t="s">
        <v>2462</v>
      </c>
      <c r="AWV8" s="220" t="s">
        <v>2418</v>
      </c>
      <c r="AWW8" s="220" t="s">
        <v>2419</v>
      </c>
      <c r="AWX8" s="220" t="s">
        <v>2458</v>
      </c>
      <c r="AWY8" s="220" t="s">
        <v>2421</v>
      </c>
      <c r="AWZ8" s="220" t="s">
        <v>2462</v>
      </c>
      <c r="AXA8" s="220" t="s">
        <v>2418</v>
      </c>
      <c r="AXB8" s="220" t="s">
        <v>2419</v>
      </c>
      <c r="AXC8" s="220" t="s">
        <v>2458</v>
      </c>
      <c r="AXD8" s="220" t="s">
        <v>2421</v>
      </c>
      <c r="AXE8" s="220" t="s">
        <v>2462</v>
      </c>
      <c r="AXF8" s="220" t="s">
        <v>2418</v>
      </c>
      <c r="AXG8" s="220" t="s">
        <v>2419</v>
      </c>
      <c r="AXH8" s="220" t="s">
        <v>2458</v>
      </c>
      <c r="AXI8" s="220" t="s">
        <v>2421</v>
      </c>
      <c r="AXJ8" s="220" t="s">
        <v>2462</v>
      </c>
      <c r="AXK8" s="220" t="s">
        <v>2418</v>
      </c>
      <c r="AXL8" s="220" t="s">
        <v>2419</v>
      </c>
      <c r="AXM8" s="220" t="s">
        <v>2458</v>
      </c>
      <c r="AXN8" s="220" t="s">
        <v>2421</v>
      </c>
      <c r="AXO8" s="220" t="s">
        <v>2462</v>
      </c>
      <c r="AXP8" s="220" t="s">
        <v>2418</v>
      </c>
      <c r="AXQ8" s="220" t="s">
        <v>2419</v>
      </c>
      <c r="AXR8" s="220" t="s">
        <v>2458</v>
      </c>
      <c r="AXS8" s="220" t="s">
        <v>2421</v>
      </c>
      <c r="AXT8" s="220" t="s">
        <v>2462</v>
      </c>
      <c r="AXU8" s="220" t="s">
        <v>2418</v>
      </c>
      <c r="AXV8" s="220" t="s">
        <v>2419</v>
      </c>
      <c r="AXW8" s="220" t="s">
        <v>2458</v>
      </c>
      <c r="AXX8" s="220" t="s">
        <v>2421</v>
      </c>
      <c r="AXY8" s="220" t="s">
        <v>2462</v>
      </c>
      <c r="AXZ8" s="220" t="s">
        <v>2418</v>
      </c>
      <c r="AYA8" s="220" t="s">
        <v>2419</v>
      </c>
      <c r="AYB8" s="220" t="s">
        <v>2458</v>
      </c>
      <c r="AYC8" s="220" t="s">
        <v>2421</v>
      </c>
      <c r="AYD8" s="220" t="s">
        <v>2462</v>
      </c>
      <c r="AYE8" s="220" t="s">
        <v>2418</v>
      </c>
      <c r="AYF8" s="220" t="s">
        <v>2419</v>
      </c>
      <c r="AYG8" s="220" t="s">
        <v>2458</v>
      </c>
      <c r="AYH8" s="220" t="s">
        <v>2421</v>
      </c>
      <c r="AYI8" s="220" t="s">
        <v>2462</v>
      </c>
      <c r="AYJ8" s="220" t="s">
        <v>2418</v>
      </c>
      <c r="AYK8" s="220" t="s">
        <v>2419</v>
      </c>
      <c r="AYL8" s="220" t="s">
        <v>2458</v>
      </c>
      <c r="AYM8" s="220" t="s">
        <v>2421</v>
      </c>
      <c r="AYN8" s="220" t="s">
        <v>2462</v>
      </c>
      <c r="AYO8" s="220" t="s">
        <v>2418</v>
      </c>
      <c r="AYP8" s="220" t="s">
        <v>2419</v>
      </c>
      <c r="AYQ8" s="220" t="s">
        <v>2458</v>
      </c>
      <c r="AYR8" s="220" t="s">
        <v>2421</v>
      </c>
      <c r="AYS8" s="220" t="s">
        <v>2462</v>
      </c>
      <c r="AYT8" s="220" t="s">
        <v>2418</v>
      </c>
      <c r="AYU8" s="220" t="s">
        <v>2419</v>
      </c>
      <c r="AYV8" s="220" t="s">
        <v>2458</v>
      </c>
      <c r="AYW8" s="220" t="s">
        <v>2421</v>
      </c>
      <c r="AYX8" s="220" t="s">
        <v>2462</v>
      </c>
      <c r="AYY8" s="220" t="s">
        <v>2418</v>
      </c>
      <c r="AYZ8" s="220" t="s">
        <v>2419</v>
      </c>
      <c r="AZA8" s="220" t="s">
        <v>2458</v>
      </c>
      <c r="AZB8" s="220" t="s">
        <v>2421</v>
      </c>
      <c r="AZC8" s="220" t="s">
        <v>2462</v>
      </c>
      <c r="AZD8" s="220" t="s">
        <v>2418</v>
      </c>
      <c r="AZE8" s="220" t="s">
        <v>2419</v>
      </c>
      <c r="AZF8" s="220" t="s">
        <v>2458</v>
      </c>
      <c r="AZG8" s="220" t="s">
        <v>2421</v>
      </c>
      <c r="AZH8" s="220" t="s">
        <v>2462</v>
      </c>
      <c r="AZI8" s="220" t="s">
        <v>2418</v>
      </c>
      <c r="AZJ8" s="220" t="s">
        <v>2419</v>
      </c>
      <c r="AZK8" s="220" t="s">
        <v>2458</v>
      </c>
      <c r="AZL8" s="220" t="s">
        <v>2421</v>
      </c>
      <c r="AZM8" s="220" t="s">
        <v>2462</v>
      </c>
      <c r="AZN8" s="220" t="s">
        <v>2418</v>
      </c>
      <c r="AZO8" s="220" t="s">
        <v>2419</v>
      </c>
      <c r="AZP8" s="220" t="s">
        <v>2458</v>
      </c>
      <c r="AZQ8" s="220" t="s">
        <v>2421</v>
      </c>
      <c r="AZR8" s="220" t="s">
        <v>2462</v>
      </c>
      <c r="AZS8" s="220" t="s">
        <v>2418</v>
      </c>
      <c r="AZT8" s="220" t="s">
        <v>2419</v>
      </c>
      <c r="AZU8" s="220" t="s">
        <v>2458</v>
      </c>
      <c r="AZV8" s="220" t="s">
        <v>2421</v>
      </c>
      <c r="AZW8" s="220" t="s">
        <v>2462</v>
      </c>
      <c r="AZX8" s="220" t="s">
        <v>2418</v>
      </c>
      <c r="AZY8" s="220" t="s">
        <v>2419</v>
      </c>
      <c r="AZZ8" s="220" t="s">
        <v>2458</v>
      </c>
      <c r="BAA8" s="220" t="s">
        <v>2421</v>
      </c>
      <c r="BAB8" s="220" t="s">
        <v>2462</v>
      </c>
      <c r="BAC8" s="220" t="s">
        <v>2418</v>
      </c>
      <c r="BAD8" s="220" t="s">
        <v>2419</v>
      </c>
      <c r="BAE8" s="220" t="s">
        <v>2458</v>
      </c>
      <c r="BAF8" s="220" t="s">
        <v>2421</v>
      </c>
      <c r="BAG8" s="220" t="s">
        <v>2462</v>
      </c>
      <c r="BAH8" s="220" t="s">
        <v>2418</v>
      </c>
      <c r="BAI8" s="220" t="s">
        <v>2419</v>
      </c>
      <c r="BAJ8" s="220" t="s">
        <v>2458</v>
      </c>
      <c r="BAK8" s="220" t="s">
        <v>2421</v>
      </c>
      <c r="BAL8" s="220" t="s">
        <v>2462</v>
      </c>
      <c r="BAM8" s="220" t="s">
        <v>2418</v>
      </c>
      <c r="BAN8" s="220" t="s">
        <v>2419</v>
      </c>
      <c r="BAO8" s="220" t="s">
        <v>2458</v>
      </c>
      <c r="BAP8" s="220" t="s">
        <v>2421</v>
      </c>
      <c r="BAQ8" s="220" t="s">
        <v>2462</v>
      </c>
      <c r="BAR8" s="220" t="s">
        <v>2418</v>
      </c>
      <c r="BAS8" s="220" t="s">
        <v>2419</v>
      </c>
      <c r="BAT8" s="220" t="s">
        <v>2458</v>
      </c>
      <c r="BAU8" s="220" t="s">
        <v>2421</v>
      </c>
      <c r="BAV8" s="220" t="s">
        <v>2462</v>
      </c>
      <c r="BAW8" s="220" t="s">
        <v>2418</v>
      </c>
      <c r="BAX8" s="220" t="s">
        <v>2419</v>
      </c>
      <c r="BAY8" s="220" t="s">
        <v>2458</v>
      </c>
      <c r="BAZ8" s="220" t="s">
        <v>2421</v>
      </c>
      <c r="BBA8" s="220" t="s">
        <v>2462</v>
      </c>
      <c r="BBB8" s="220" t="s">
        <v>2418</v>
      </c>
      <c r="BBC8" s="220" t="s">
        <v>2419</v>
      </c>
      <c r="BBD8" s="220" t="s">
        <v>2458</v>
      </c>
      <c r="BBE8" s="220" t="s">
        <v>2421</v>
      </c>
      <c r="BBF8" s="220" t="s">
        <v>2462</v>
      </c>
      <c r="BBG8" s="220" t="s">
        <v>2418</v>
      </c>
      <c r="BBH8" s="220" t="s">
        <v>2419</v>
      </c>
      <c r="BBI8" s="220" t="s">
        <v>2458</v>
      </c>
      <c r="BBJ8" s="220" t="s">
        <v>2421</v>
      </c>
      <c r="BBK8" s="220" t="s">
        <v>2462</v>
      </c>
      <c r="BBL8" s="220" t="s">
        <v>2418</v>
      </c>
      <c r="BBM8" s="220" t="s">
        <v>2419</v>
      </c>
      <c r="BBN8" s="220" t="s">
        <v>2458</v>
      </c>
      <c r="BBO8" s="220" t="s">
        <v>2421</v>
      </c>
      <c r="BBP8" s="220" t="s">
        <v>2462</v>
      </c>
      <c r="BBQ8" s="220" t="s">
        <v>2418</v>
      </c>
      <c r="BBR8" s="220" t="s">
        <v>2419</v>
      </c>
      <c r="BBS8" s="220" t="s">
        <v>2458</v>
      </c>
      <c r="BBT8" s="220" t="s">
        <v>2421</v>
      </c>
      <c r="BBU8" s="220" t="s">
        <v>2462</v>
      </c>
      <c r="BBV8" s="220" t="s">
        <v>2418</v>
      </c>
      <c r="BBW8" s="220" t="s">
        <v>2419</v>
      </c>
      <c r="BBX8" s="220" t="s">
        <v>2458</v>
      </c>
      <c r="BBY8" s="220" t="s">
        <v>2421</v>
      </c>
      <c r="BBZ8" s="220" t="s">
        <v>2462</v>
      </c>
      <c r="BCA8" s="220" t="s">
        <v>2418</v>
      </c>
      <c r="BCB8" s="220" t="s">
        <v>2419</v>
      </c>
      <c r="BCC8" s="220" t="s">
        <v>2458</v>
      </c>
      <c r="BCD8" s="220" t="s">
        <v>2421</v>
      </c>
      <c r="BCE8" s="220" t="s">
        <v>2462</v>
      </c>
      <c r="BCF8" s="220" t="s">
        <v>2418</v>
      </c>
      <c r="BCG8" s="220" t="s">
        <v>2419</v>
      </c>
      <c r="BCH8" s="220" t="s">
        <v>2458</v>
      </c>
      <c r="BCI8" s="220" t="s">
        <v>2421</v>
      </c>
      <c r="BCJ8" s="220" t="s">
        <v>2462</v>
      </c>
      <c r="BCK8" s="220" t="s">
        <v>2418</v>
      </c>
      <c r="BCL8" s="220" t="s">
        <v>2419</v>
      </c>
      <c r="BCM8" s="220" t="s">
        <v>2458</v>
      </c>
      <c r="BCN8" s="220" t="s">
        <v>2421</v>
      </c>
      <c r="BCO8" s="220" t="s">
        <v>2462</v>
      </c>
      <c r="BCP8" s="220" t="s">
        <v>2418</v>
      </c>
      <c r="BCQ8" s="220" t="s">
        <v>2419</v>
      </c>
      <c r="BCR8" s="220" t="s">
        <v>2458</v>
      </c>
      <c r="BCS8" s="220" t="s">
        <v>2421</v>
      </c>
      <c r="BCT8" s="220" t="s">
        <v>2462</v>
      </c>
      <c r="BCU8" s="220" t="s">
        <v>2418</v>
      </c>
      <c r="BCV8" s="220" t="s">
        <v>2419</v>
      </c>
      <c r="BCW8" s="220" t="s">
        <v>2458</v>
      </c>
      <c r="BCX8" s="220" t="s">
        <v>2421</v>
      </c>
      <c r="BCY8" s="220" t="s">
        <v>2462</v>
      </c>
      <c r="BCZ8" s="220" t="s">
        <v>2418</v>
      </c>
      <c r="BDA8" s="220" t="s">
        <v>2419</v>
      </c>
      <c r="BDB8" s="220" t="s">
        <v>2458</v>
      </c>
      <c r="BDC8" s="220" t="s">
        <v>2421</v>
      </c>
      <c r="BDD8" s="220" t="s">
        <v>2462</v>
      </c>
      <c r="BDE8" s="220" t="s">
        <v>2418</v>
      </c>
      <c r="BDF8" s="220" t="s">
        <v>2419</v>
      </c>
      <c r="BDG8" s="220" t="s">
        <v>2458</v>
      </c>
      <c r="BDH8" s="220" t="s">
        <v>2421</v>
      </c>
      <c r="BDI8" s="220" t="s">
        <v>2462</v>
      </c>
      <c r="BDJ8" s="220" t="s">
        <v>2418</v>
      </c>
      <c r="BDK8" s="220" t="s">
        <v>2419</v>
      </c>
      <c r="BDL8" s="220" t="s">
        <v>2458</v>
      </c>
      <c r="BDM8" s="220" t="s">
        <v>2421</v>
      </c>
      <c r="BDN8" s="220" t="s">
        <v>2462</v>
      </c>
      <c r="BDO8" s="220" t="s">
        <v>2418</v>
      </c>
      <c r="BDP8" s="220" t="s">
        <v>2419</v>
      </c>
      <c r="BDQ8" s="220" t="s">
        <v>2458</v>
      </c>
      <c r="BDR8" s="220" t="s">
        <v>2421</v>
      </c>
      <c r="BDS8" s="220" t="s">
        <v>2462</v>
      </c>
      <c r="BDT8" s="220" t="s">
        <v>2418</v>
      </c>
      <c r="BDU8" s="220" t="s">
        <v>2419</v>
      </c>
      <c r="BDV8" s="220" t="s">
        <v>2458</v>
      </c>
      <c r="BDW8" s="220" t="s">
        <v>2421</v>
      </c>
      <c r="BDX8" s="220" t="s">
        <v>2462</v>
      </c>
      <c r="BDY8" s="220" t="s">
        <v>2418</v>
      </c>
      <c r="BDZ8" s="220" t="s">
        <v>2419</v>
      </c>
      <c r="BEA8" s="220" t="s">
        <v>2458</v>
      </c>
      <c r="BEB8" s="220" t="s">
        <v>2421</v>
      </c>
      <c r="BEC8" s="220" t="s">
        <v>2462</v>
      </c>
      <c r="BED8" s="220" t="s">
        <v>2418</v>
      </c>
      <c r="BEE8" s="220" t="s">
        <v>2419</v>
      </c>
      <c r="BEF8" s="220" t="s">
        <v>2458</v>
      </c>
      <c r="BEG8" s="220" t="s">
        <v>2421</v>
      </c>
      <c r="BEH8" s="220" t="s">
        <v>2462</v>
      </c>
      <c r="BEI8" s="220" t="s">
        <v>2418</v>
      </c>
      <c r="BEJ8" s="220" t="s">
        <v>2419</v>
      </c>
      <c r="BEK8" s="220" t="s">
        <v>2458</v>
      </c>
      <c r="BEL8" s="220" t="s">
        <v>2421</v>
      </c>
      <c r="BEM8" s="220" t="s">
        <v>2462</v>
      </c>
      <c r="BEN8" s="220" t="s">
        <v>2418</v>
      </c>
      <c r="BEO8" s="220" t="s">
        <v>2419</v>
      </c>
      <c r="BEP8" s="220" t="s">
        <v>2458</v>
      </c>
      <c r="BEQ8" s="220" t="s">
        <v>2421</v>
      </c>
      <c r="BER8" s="220" t="s">
        <v>2462</v>
      </c>
      <c r="BES8" s="220" t="s">
        <v>2418</v>
      </c>
      <c r="BET8" s="220" t="s">
        <v>2419</v>
      </c>
      <c r="BEU8" s="220" t="s">
        <v>2458</v>
      </c>
      <c r="BEV8" s="220" t="s">
        <v>2421</v>
      </c>
      <c r="BEW8" s="220" t="s">
        <v>2462</v>
      </c>
      <c r="BEX8" s="220" t="s">
        <v>2418</v>
      </c>
      <c r="BEY8" s="220" t="s">
        <v>2419</v>
      </c>
      <c r="BEZ8" s="220" t="s">
        <v>2458</v>
      </c>
      <c r="BFA8" s="220" t="s">
        <v>2421</v>
      </c>
      <c r="BFB8" s="220" t="s">
        <v>2462</v>
      </c>
      <c r="BFC8" s="220" t="s">
        <v>2418</v>
      </c>
      <c r="BFD8" s="220" t="s">
        <v>2419</v>
      </c>
      <c r="BFE8" s="220" t="s">
        <v>2458</v>
      </c>
      <c r="BFF8" s="220" t="s">
        <v>2421</v>
      </c>
      <c r="BFG8" s="220" t="s">
        <v>2462</v>
      </c>
      <c r="BFH8" s="220" t="s">
        <v>2418</v>
      </c>
      <c r="BFI8" s="220" t="s">
        <v>2419</v>
      </c>
      <c r="BFJ8" s="220" t="s">
        <v>2458</v>
      </c>
      <c r="BFK8" s="220" t="s">
        <v>2421</v>
      </c>
      <c r="BFL8" s="220" t="s">
        <v>2462</v>
      </c>
      <c r="BFM8" s="220" t="s">
        <v>2418</v>
      </c>
      <c r="BFN8" s="220" t="s">
        <v>2419</v>
      </c>
      <c r="BFO8" s="220" t="s">
        <v>2458</v>
      </c>
      <c r="BFP8" s="220" t="s">
        <v>2421</v>
      </c>
      <c r="BFQ8" s="220" t="s">
        <v>2462</v>
      </c>
      <c r="BFR8" s="220" t="s">
        <v>2418</v>
      </c>
      <c r="BFS8" s="220" t="s">
        <v>2419</v>
      </c>
      <c r="BFT8" s="220" t="s">
        <v>2458</v>
      </c>
      <c r="BFU8" s="220" t="s">
        <v>2421</v>
      </c>
      <c r="BFV8" s="220" t="s">
        <v>2462</v>
      </c>
      <c r="BFW8" s="220" t="s">
        <v>2418</v>
      </c>
      <c r="BFX8" s="220" t="s">
        <v>2419</v>
      </c>
      <c r="BFY8" s="220" t="s">
        <v>2458</v>
      </c>
      <c r="BFZ8" s="220" t="s">
        <v>2421</v>
      </c>
      <c r="BGA8" s="220" t="s">
        <v>2462</v>
      </c>
      <c r="BGB8" s="220" t="s">
        <v>2418</v>
      </c>
      <c r="BGC8" s="220" t="s">
        <v>2419</v>
      </c>
      <c r="BGD8" s="220" t="s">
        <v>2458</v>
      </c>
      <c r="BGE8" s="220" t="s">
        <v>2421</v>
      </c>
      <c r="BGF8" s="220" t="s">
        <v>2462</v>
      </c>
      <c r="BGG8" s="220" t="s">
        <v>2418</v>
      </c>
      <c r="BGH8" s="220" t="s">
        <v>2419</v>
      </c>
      <c r="BGI8" s="220" t="s">
        <v>2458</v>
      </c>
      <c r="BGJ8" s="220" t="s">
        <v>2421</v>
      </c>
      <c r="BGK8" s="220" t="s">
        <v>2462</v>
      </c>
      <c r="BGL8" s="220" t="s">
        <v>2418</v>
      </c>
      <c r="BGM8" s="220" t="s">
        <v>2419</v>
      </c>
      <c r="BGN8" s="220" t="s">
        <v>2458</v>
      </c>
      <c r="BGO8" s="220" t="s">
        <v>2421</v>
      </c>
      <c r="BGP8" s="220" t="s">
        <v>2462</v>
      </c>
      <c r="BGQ8" s="220" t="s">
        <v>2418</v>
      </c>
      <c r="BGR8" s="220" t="s">
        <v>2419</v>
      </c>
      <c r="BGS8" s="220" t="s">
        <v>2458</v>
      </c>
      <c r="BGT8" s="220" t="s">
        <v>2421</v>
      </c>
      <c r="BGU8" s="220" t="s">
        <v>2462</v>
      </c>
      <c r="BGV8" s="220" t="s">
        <v>2418</v>
      </c>
      <c r="BGW8" s="220" t="s">
        <v>2419</v>
      </c>
      <c r="BGX8" s="220" t="s">
        <v>2458</v>
      </c>
      <c r="BGY8" s="220" t="s">
        <v>2421</v>
      </c>
      <c r="BGZ8" s="220" t="s">
        <v>2462</v>
      </c>
      <c r="BHA8" s="220" t="s">
        <v>2418</v>
      </c>
      <c r="BHB8" s="220" t="s">
        <v>2419</v>
      </c>
      <c r="BHC8" s="220" t="s">
        <v>2458</v>
      </c>
      <c r="BHD8" s="220" t="s">
        <v>2421</v>
      </c>
      <c r="BHE8" s="220" t="s">
        <v>2462</v>
      </c>
      <c r="BHF8" s="220" t="s">
        <v>2418</v>
      </c>
      <c r="BHG8" s="220" t="s">
        <v>2419</v>
      </c>
      <c r="BHH8" s="220" t="s">
        <v>2458</v>
      </c>
      <c r="BHI8" s="220" t="s">
        <v>2421</v>
      </c>
      <c r="BHJ8" s="220" t="s">
        <v>2462</v>
      </c>
      <c r="BHK8" s="220" t="s">
        <v>2418</v>
      </c>
      <c r="BHL8" s="220" t="s">
        <v>2419</v>
      </c>
      <c r="BHM8" s="220" t="s">
        <v>2458</v>
      </c>
      <c r="BHN8" s="220" t="s">
        <v>2421</v>
      </c>
      <c r="BHO8" s="220" t="s">
        <v>2462</v>
      </c>
      <c r="BHP8" s="220" t="s">
        <v>2418</v>
      </c>
      <c r="BHQ8" s="220" t="s">
        <v>2419</v>
      </c>
      <c r="BHR8" s="220" t="s">
        <v>2458</v>
      </c>
      <c r="BHS8" s="220" t="s">
        <v>2421</v>
      </c>
      <c r="BHT8" s="220" t="s">
        <v>2462</v>
      </c>
      <c r="BHU8" s="220" t="s">
        <v>2418</v>
      </c>
      <c r="BHV8" s="220" t="s">
        <v>2419</v>
      </c>
      <c r="BHW8" s="220" t="s">
        <v>2458</v>
      </c>
      <c r="BHX8" s="220" t="s">
        <v>2421</v>
      </c>
      <c r="BHY8" s="220" t="s">
        <v>2462</v>
      </c>
      <c r="BHZ8" s="220" t="s">
        <v>2418</v>
      </c>
      <c r="BIA8" s="220" t="s">
        <v>2419</v>
      </c>
      <c r="BIB8" s="220" t="s">
        <v>2458</v>
      </c>
      <c r="BIC8" s="220" t="s">
        <v>2421</v>
      </c>
      <c r="BID8" s="220" t="s">
        <v>2462</v>
      </c>
      <c r="BIE8" s="220" t="s">
        <v>2418</v>
      </c>
      <c r="BIF8" s="220" t="s">
        <v>2419</v>
      </c>
      <c r="BIG8" s="220" t="s">
        <v>2458</v>
      </c>
      <c r="BIH8" s="220" t="s">
        <v>2421</v>
      </c>
      <c r="BII8" s="220" t="s">
        <v>2462</v>
      </c>
      <c r="BIJ8" s="220" t="s">
        <v>2418</v>
      </c>
      <c r="BIK8" s="220" t="s">
        <v>2419</v>
      </c>
      <c r="BIL8" s="220" t="s">
        <v>2458</v>
      </c>
      <c r="BIM8" s="220" t="s">
        <v>2421</v>
      </c>
      <c r="BIN8" s="220" t="s">
        <v>2462</v>
      </c>
      <c r="BIO8" s="220" t="s">
        <v>2418</v>
      </c>
      <c r="BIP8" s="220" t="s">
        <v>2419</v>
      </c>
      <c r="BIQ8" s="220" t="s">
        <v>2458</v>
      </c>
      <c r="BIR8" s="220" t="s">
        <v>2421</v>
      </c>
      <c r="BIS8" s="220" t="s">
        <v>2462</v>
      </c>
      <c r="BIT8" s="220" t="s">
        <v>2418</v>
      </c>
      <c r="BIU8" s="220" t="s">
        <v>2419</v>
      </c>
      <c r="BIV8" s="220" t="s">
        <v>2458</v>
      </c>
      <c r="BIW8" s="220" t="s">
        <v>2421</v>
      </c>
      <c r="BIX8" s="220" t="s">
        <v>2462</v>
      </c>
      <c r="BIY8" s="220" t="s">
        <v>2418</v>
      </c>
      <c r="BIZ8" s="220" t="s">
        <v>2419</v>
      </c>
      <c r="BJA8" s="220" t="s">
        <v>2458</v>
      </c>
      <c r="BJB8" s="220" t="s">
        <v>2421</v>
      </c>
      <c r="BJC8" s="220" t="s">
        <v>2462</v>
      </c>
      <c r="BJD8" s="220" t="s">
        <v>2418</v>
      </c>
      <c r="BJE8" s="220" t="s">
        <v>2419</v>
      </c>
      <c r="BJF8" s="220" t="s">
        <v>2458</v>
      </c>
      <c r="BJG8" s="220" t="s">
        <v>2421</v>
      </c>
      <c r="BJH8" s="220" t="s">
        <v>2462</v>
      </c>
      <c r="BJI8" s="220" t="s">
        <v>2418</v>
      </c>
      <c r="BJJ8" s="220" t="s">
        <v>2419</v>
      </c>
      <c r="BJK8" s="220" t="s">
        <v>2458</v>
      </c>
      <c r="BJL8" s="220" t="s">
        <v>2421</v>
      </c>
      <c r="BJM8" s="220" t="s">
        <v>2462</v>
      </c>
      <c r="BJN8" s="220" t="s">
        <v>2418</v>
      </c>
      <c r="BJO8" s="220" t="s">
        <v>2419</v>
      </c>
      <c r="BJP8" s="220" t="s">
        <v>2458</v>
      </c>
      <c r="BJQ8" s="220" t="s">
        <v>2421</v>
      </c>
      <c r="BJR8" s="220" t="s">
        <v>2462</v>
      </c>
      <c r="BJS8" s="220" t="s">
        <v>2418</v>
      </c>
      <c r="BJT8" s="220" t="s">
        <v>2419</v>
      </c>
      <c r="BJU8" s="220" t="s">
        <v>2458</v>
      </c>
      <c r="BJV8" s="220" t="s">
        <v>2421</v>
      </c>
      <c r="BJW8" s="220" t="s">
        <v>2462</v>
      </c>
      <c r="BJX8" s="220" t="s">
        <v>2418</v>
      </c>
      <c r="BJY8" s="220" t="s">
        <v>2419</v>
      </c>
      <c r="BJZ8" s="220" t="s">
        <v>2458</v>
      </c>
      <c r="BKA8" s="220" t="s">
        <v>2421</v>
      </c>
      <c r="BKB8" s="220" t="s">
        <v>2462</v>
      </c>
      <c r="BKC8" s="220" t="s">
        <v>2418</v>
      </c>
      <c r="BKD8" s="220" t="s">
        <v>2419</v>
      </c>
      <c r="BKE8" s="220" t="s">
        <v>2458</v>
      </c>
      <c r="BKF8" s="220" t="s">
        <v>2421</v>
      </c>
      <c r="BKG8" s="220" t="s">
        <v>2462</v>
      </c>
      <c r="BKH8" s="220" t="s">
        <v>2418</v>
      </c>
      <c r="BKI8" s="220" t="s">
        <v>2419</v>
      </c>
      <c r="BKJ8" s="220" t="s">
        <v>2458</v>
      </c>
      <c r="BKK8" s="220" t="s">
        <v>2421</v>
      </c>
      <c r="BKL8" s="220" t="s">
        <v>2462</v>
      </c>
      <c r="BKM8" s="220" t="s">
        <v>2418</v>
      </c>
      <c r="BKN8" s="220" t="s">
        <v>2419</v>
      </c>
      <c r="BKO8" s="220" t="s">
        <v>2458</v>
      </c>
      <c r="BKP8" s="220" t="s">
        <v>2421</v>
      </c>
      <c r="BKQ8" s="220" t="s">
        <v>2462</v>
      </c>
      <c r="BKR8" s="220" t="s">
        <v>2418</v>
      </c>
      <c r="BKS8" s="220" t="s">
        <v>2419</v>
      </c>
      <c r="BKT8" s="220" t="s">
        <v>2458</v>
      </c>
      <c r="BKU8" s="220" t="s">
        <v>2421</v>
      </c>
      <c r="BKV8" s="220" t="s">
        <v>2462</v>
      </c>
      <c r="BKW8" s="220" t="s">
        <v>2418</v>
      </c>
      <c r="BKX8" s="220" t="s">
        <v>2419</v>
      </c>
      <c r="BKY8" s="220" t="s">
        <v>2458</v>
      </c>
      <c r="BKZ8" s="220" t="s">
        <v>2459</v>
      </c>
      <c r="BLA8" s="220" t="s">
        <v>2418</v>
      </c>
      <c r="BLB8" s="220" t="s">
        <v>2419</v>
      </c>
      <c r="BLC8" s="220" t="s">
        <v>2458</v>
      </c>
      <c r="BLD8" s="220" t="s">
        <v>2459</v>
      </c>
      <c r="BLE8" s="220" t="s">
        <v>2418</v>
      </c>
      <c r="BLF8" s="220" t="s">
        <v>2419</v>
      </c>
      <c r="BLG8" s="220" t="s">
        <v>2458</v>
      </c>
      <c r="BLH8" s="220" t="s">
        <v>2459</v>
      </c>
      <c r="BLI8" s="220" t="s">
        <v>2418</v>
      </c>
      <c r="BLJ8" s="220" t="s">
        <v>2419</v>
      </c>
      <c r="BLK8" s="220" t="s">
        <v>2458</v>
      </c>
      <c r="BLL8" s="220" t="s">
        <v>2459</v>
      </c>
      <c r="BLM8" s="220" t="s">
        <v>2418</v>
      </c>
      <c r="BLN8" s="220" t="s">
        <v>2419</v>
      </c>
      <c r="BLO8" s="220" t="s">
        <v>2458</v>
      </c>
      <c r="BLP8" s="220" t="s">
        <v>2459</v>
      </c>
      <c r="BLQ8" s="220" t="s">
        <v>2418</v>
      </c>
      <c r="BLR8" s="220" t="s">
        <v>2419</v>
      </c>
      <c r="BLS8" s="220" t="s">
        <v>2458</v>
      </c>
      <c r="BLT8" s="220" t="s">
        <v>2459</v>
      </c>
      <c r="BLU8" s="220" t="s">
        <v>2418</v>
      </c>
      <c r="BLV8" s="220" t="s">
        <v>2419</v>
      </c>
      <c r="BLW8" s="220" t="s">
        <v>2458</v>
      </c>
      <c r="BLX8" s="220" t="s">
        <v>2421</v>
      </c>
      <c r="BLY8" s="220" t="s">
        <v>2462</v>
      </c>
      <c r="BLZ8" s="220" t="s">
        <v>2418</v>
      </c>
      <c r="BMA8" s="220" t="s">
        <v>2419</v>
      </c>
      <c r="BMB8" s="220" t="s">
        <v>2458</v>
      </c>
      <c r="BMC8" s="220" t="s">
        <v>2421</v>
      </c>
      <c r="BMD8" s="220" t="s">
        <v>2462</v>
      </c>
      <c r="BME8" s="220" t="s">
        <v>2418</v>
      </c>
      <c r="BMF8" s="220" t="s">
        <v>2419</v>
      </c>
      <c r="BMG8" s="220" t="s">
        <v>2458</v>
      </c>
      <c r="BMH8" s="220" t="s">
        <v>2421</v>
      </c>
      <c r="BMI8" s="220" t="s">
        <v>2462</v>
      </c>
      <c r="BMJ8" s="220" t="s">
        <v>2418</v>
      </c>
      <c r="BMK8" s="220" t="s">
        <v>2419</v>
      </c>
      <c r="BML8" s="220" t="s">
        <v>2458</v>
      </c>
      <c r="BMM8" s="220" t="s">
        <v>2421</v>
      </c>
      <c r="BMN8" s="220" t="s">
        <v>2462</v>
      </c>
      <c r="BMO8" s="220" t="s">
        <v>2418</v>
      </c>
      <c r="BMP8" s="220" t="s">
        <v>2419</v>
      </c>
      <c r="BMQ8" s="220" t="s">
        <v>2458</v>
      </c>
      <c r="BMR8" s="220" t="s">
        <v>2421</v>
      </c>
      <c r="BMS8" s="220" t="s">
        <v>2462</v>
      </c>
    </row>
    <row r="9" spans="1:1713" s="150" customFormat="1" x14ac:dyDescent="0.35">
      <c r="A9" s="144" t="s">
        <v>2131</v>
      </c>
      <c r="B9" s="145"/>
      <c r="C9" s="145"/>
      <c r="D9" s="146"/>
      <c r="E9" s="146"/>
      <c r="F9" s="146"/>
      <c r="G9" s="146"/>
      <c r="H9" s="146"/>
      <c r="I9" s="146"/>
      <c r="J9" s="147"/>
      <c r="K9" s="146"/>
      <c r="L9" s="148"/>
      <c r="M9" s="146"/>
      <c r="N9" s="148"/>
      <c r="O9" s="146"/>
      <c r="P9" s="146"/>
      <c r="Q9" s="146"/>
      <c r="R9" s="146"/>
      <c r="S9" s="146"/>
      <c r="T9" s="146"/>
      <c r="U9" s="146"/>
      <c r="V9" s="146"/>
      <c r="W9" s="146"/>
      <c r="X9" s="146">
        <f t="shared" ref="X9:BC9" si="26">SUBTOTAL(9, X12:X9880)</f>
        <v>0</v>
      </c>
      <c r="Y9" s="146">
        <f t="shared" si="26"/>
        <v>0</v>
      </c>
      <c r="Z9" s="146">
        <f t="shared" si="26"/>
        <v>0</v>
      </c>
      <c r="AA9" s="146">
        <f t="shared" si="26"/>
        <v>0</v>
      </c>
      <c r="AB9" s="146">
        <f t="shared" si="26"/>
        <v>0</v>
      </c>
      <c r="AC9" s="146">
        <f t="shared" si="26"/>
        <v>0</v>
      </c>
      <c r="AD9" s="146">
        <f t="shared" si="26"/>
        <v>0</v>
      </c>
      <c r="AE9" s="146">
        <f t="shared" si="26"/>
        <v>0</v>
      </c>
      <c r="AF9" s="146">
        <f t="shared" si="26"/>
        <v>0</v>
      </c>
      <c r="AG9" s="146">
        <f t="shared" si="26"/>
        <v>0</v>
      </c>
      <c r="AH9" s="146">
        <f t="shared" si="26"/>
        <v>0</v>
      </c>
      <c r="AI9" s="146">
        <f t="shared" si="26"/>
        <v>0</v>
      </c>
      <c r="AJ9" s="146">
        <f t="shared" si="26"/>
        <v>0</v>
      </c>
      <c r="AK9" s="146">
        <f t="shared" si="26"/>
        <v>0</v>
      </c>
      <c r="AL9" s="146">
        <f t="shared" si="26"/>
        <v>0</v>
      </c>
      <c r="AM9" s="146">
        <f t="shared" si="26"/>
        <v>0</v>
      </c>
      <c r="AN9" s="146">
        <f t="shared" si="26"/>
        <v>0</v>
      </c>
      <c r="AO9" s="146">
        <f t="shared" si="26"/>
        <v>0</v>
      </c>
      <c r="AP9" s="146">
        <f t="shared" si="26"/>
        <v>0</v>
      </c>
      <c r="AQ9" s="146">
        <f t="shared" si="26"/>
        <v>0</v>
      </c>
      <c r="AR9" s="146">
        <f t="shared" si="26"/>
        <v>0</v>
      </c>
      <c r="AS9" s="146">
        <f t="shared" si="26"/>
        <v>0</v>
      </c>
      <c r="AT9" s="146">
        <f t="shared" si="26"/>
        <v>0</v>
      </c>
      <c r="AU9" s="146">
        <f t="shared" si="26"/>
        <v>0</v>
      </c>
      <c r="AV9" s="146">
        <f t="shared" si="26"/>
        <v>0</v>
      </c>
      <c r="AW9" s="146">
        <f t="shared" si="26"/>
        <v>0</v>
      </c>
      <c r="AX9" s="146">
        <f t="shared" si="26"/>
        <v>0</v>
      </c>
      <c r="AY9" s="146">
        <f t="shared" si="26"/>
        <v>0</v>
      </c>
      <c r="AZ9" s="146">
        <f t="shared" si="26"/>
        <v>0</v>
      </c>
      <c r="BA9" s="146">
        <f t="shared" si="26"/>
        <v>0</v>
      </c>
      <c r="BB9" s="146">
        <f t="shared" si="26"/>
        <v>0</v>
      </c>
      <c r="BC9" s="146">
        <f t="shared" si="26"/>
        <v>0</v>
      </c>
      <c r="BD9" s="146">
        <f t="shared" ref="BD9:CI9" si="27">SUBTOTAL(9, BD12:BD9880)</f>
        <v>0</v>
      </c>
      <c r="BE9" s="146">
        <f t="shared" si="27"/>
        <v>0</v>
      </c>
      <c r="BF9" s="146">
        <f t="shared" si="27"/>
        <v>0</v>
      </c>
      <c r="BG9" s="146">
        <f t="shared" si="27"/>
        <v>0</v>
      </c>
      <c r="BH9" s="146">
        <f t="shared" si="27"/>
        <v>0</v>
      </c>
      <c r="BI9" s="146">
        <f t="shared" si="27"/>
        <v>0</v>
      </c>
      <c r="BJ9" s="146">
        <f t="shared" si="27"/>
        <v>0</v>
      </c>
      <c r="BK9" s="146">
        <f t="shared" si="27"/>
        <v>0</v>
      </c>
      <c r="BL9" s="146">
        <f t="shared" si="27"/>
        <v>0</v>
      </c>
      <c r="BM9" s="146">
        <f t="shared" si="27"/>
        <v>0</v>
      </c>
      <c r="BN9" s="146">
        <f t="shared" si="27"/>
        <v>0</v>
      </c>
      <c r="BO9" s="146">
        <f t="shared" si="27"/>
        <v>0</v>
      </c>
      <c r="BP9" s="146">
        <f t="shared" si="27"/>
        <v>0</v>
      </c>
      <c r="BQ9" s="146">
        <f t="shared" si="27"/>
        <v>0</v>
      </c>
      <c r="BR9" s="146">
        <f t="shared" si="27"/>
        <v>0</v>
      </c>
      <c r="BS9" s="146">
        <f t="shared" si="27"/>
        <v>0</v>
      </c>
      <c r="BT9" s="146">
        <f t="shared" si="27"/>
        <v>0</v>
      </c>
      <c r="BU9" s="146">
        <f t="shared" si="27"/>
        <v>0</v>
      </c>
      <c r="BV9" s="146">
        <f t="shared" si="27"/>
        <v>0</v>
      </c>
      <c r="BW9" s="146">
        <f t="shared" si="27"/>
        <v>0</v>
      </c>
      <c r="BX9" s="146">
        <f t="shared" si="27"/>
        <v>0</v>
      </c>
      <c r="BY9" s="146">
        <f t="shared" si="27"/>
        <v>0</v>
      </c>
      <c r="BZ9" s="146">
        <f t="shared" si="27"/>
        <v>0</v>
      </c>
      <c r="CA9" s="146">
        <f t="shared" si="27"/>
        <v>0</v>
      </c>
      <c r="CB9" s="146">
        <f t="shared" si="27"/>
        <v>0</v>
      </c>
      <c r="CC9" s="146">
        <f t="shared" si="27"/>
        <v>0</v>
      </c>
      <c r="CD9" s="146">
        <f t="shared" si="27"/>
        <v>0</v>
      </c>
      <c r="CE9" s="146">
        <f t="shared" si="27"/>
        <v>0</v>
      </c>
      <c r="CF9" s="146">
        <f t="shared" si="27"/>
        <v>0</v>
      </c>
      <c r="CG9" s="146">
        <f t="shared" si="27"/>
        <v>0</v>
      </c>
      <c r="CH9" s="146">
        <f t="shared" si="27"/>
        <v>0</v>
      </c>
      <c r="CI9" s="146">
        <f t="shared" si="27"/>
        <v>0</v>
      </c>
      <c r="CJ9" s="146">
        <f t="shared" ref="CJ9:DO9" si="28">SUBTOTAL(9, CJ12:CJ9880)</f>
        <v>0</v>
      </c>
      <c r="CK9" s="146">
        <f t="shared" si="28"/>
        <v>0</v>
      </c>
      <c r="CL9" s="146">
        <f t="shared" si="28"/>
        <v>0</v>
      </c>
      <c r="CM9" s="146">
        <f t="shared" si="28"/>
        <v>0</v>
      </c>
      <c r="CN9" s="146">
        <f t="shared" si="28"/>
        <v>0</v>
      </c>
      <c r="CO9" s="146">
        <f t="shared" si="28"/>
        <v>0</v>
      </c>
      <c r="CP9" s="146">
        <f t="shared" si="28"/>
        <v>0</v>
      </c>
      <c r="CQ9" s="146">
        <f t="shared" si="28"/>
        <v>0</v>
      </c>
      <c r="CR9" s="146">
        <f t="shared" si="28"/>
        <v>0</v>
      </c>
      <c r="CS9" s="146">
        <f t="shared" si="28"/>
        <v>0</v>
      </c>
      <c r="CT9" s="146">
        <f t="shared" si="28"/>
        <v>0</v>
      </c>
      <c r="CU9" s="146">
        <f t="shared" si="28"/>
        <v>0</v>
      </c>
      <c r="CV9" s="146">
        <f t="shared" si="28"/>
        <v>0</v>
      </c>
      <c r="CW9" s="146">
        <f t="shared" si="28"/>
        <v>0</v>
      </c>
      <c r="CX9" s="146">
        <f t="shared" si="28"/>
        <v>0</v>
      </c>
      <c r="CY9" s="146">
        <f t="shared" si="28"/>
        <v>0</v>
      </c>
      <c r="CZ9" s="146">
        <f t="shared" si="28"/>
        <v>0</v>
      </c>
      <c r="DA9" s="146">
        <f t="shared" si="28"/>
        <v>0</v>
      </c>
      <c r="DB9" s="146">
        <f t="shared" si="28"/>
        <v>0</v>
      </c>
      <c r="DC9" s="146">
        <f t="shared" si="28"/>
        <v>0</v>
      </c>
      <c r="DD9" s="146">
        <f t="shared" si="28"/>
        <v>0</v>
      </c>
      <c r="DE9" s="146">
        <f t="shared" si="28"/>
        <v>0</v>
      </c>
      <c r="DF9" s="146">
        <f t="shared" si="28"/>
        <v>0</v>
      </c>
      <c r="DG9" s="146">
        <f t="shared" si="28"/>
        <v>0</v>
      </c>
      <c r="DH9" s="146">
        <f t="shared" si="28"/>
        <v>0</v>
      </c>
      <c r="DI9" s="146">
        <f t="shared" si="28"/>
        <v>0</v>
      </c>
      <c r="DJ9" s="146">
        <f t="shared" si="28"/>
        <v>0</v>
      </c>
      <c r="DK9" s="146">
        <f t="shared" si="28"/>
        <v>0</v>
      </c>
      <c r="DL9" s="146">
        <f t="shared" si="28"/>
        <v>0</v>
      </c>
      <c r="DM9" s="146">
        <f t="shared" si="28"/>
        <v>0</v>
      </c>
      <c r="DN9" s="146">
        <f t="shared" si="28"/>
        <v>0</v>
      </c>
      <c r="DO9" s="146">
        <f t="shared" si="28"/>
        <v>0</v>
      </c>
      <c r="DP9" s="146">
        <f t="shared" ref="DP9:EU9" si="29">SUBTOTAL(9, DP12:DP9880)</f>
        <v>0</v>
      </c>
      <c r="DQ9" s="146">
        <f t="shared" si="29"/>
        <v>0</v>
      </c>
      <c r="DR9" s="146">
        <f t="shared" si="29"/>
        <v>0</v>
      </c>
      <c r="DS9" s="146">
        <f t="shared" si="29"/>
        <v>0</v>
      </c>
      <c r="DT9" s="146">
        <f t="shared" si="29"/>
        <v>0</v>
      </c>
      <c r="DU9" s="146">
        <f t="shared" si="29"/>
        <v>0</v>
      </c>
      <c r="DV9" s="146">
        <f t="shared" si="29"/>
        <v>0</v>
      </c>
      <c r="DW9" s="146">
        <f t="shared" si="29"/>
        <v>0</v>
      </c>
      <c r="DX9" s="146">
        <f t="shared" si="29"/>
        <v>0</v>
      </c>
      <c r="DY9" s="146">
        <f t="shared" si="29"/>
        <v>0</v>
      </c>
      <c r="DZ9" s="146">
        <f t="shared" si="29"/>
        <v>0</v>
      </c>
      <c r="EA9" s="146">
        <f t="shared" si="29"/>
        <v>0</v>
      </c>
      <c r="EB9" s="146">
        <f t="shared" si="29"/>
        <v>0</v>
      </c>
      <c r="EC9" s="146">
        <f t="shared" si="29"/>
        <v>0</v>
      </c>
      <c r="ED9" s="146">
        <f t="shared" si="29"/>
        <v>0</v>
      </c>
      <c r="EE9" s="146">
        <f t="shared" si="29"/>
        <v>0</v>
      </c>
      <c r="EF9" s="146">
        <f t="shared" si="29"/>
        <v>0</v>
      </c>
      <c r="EG9" s="146">
        <f t="shared" si="29"/>
        <v>0</v>
      </c>
      <c r="EH9" s="146">
        <f t="shared" si="29"/>
        <v>0</v>
      </c>
      <c r="EI9" s="146">
        <f t="shared" si="29"/>
        <v>0</v>
      </c>
      <c r="EJ9" s="146">
        <f t="shared" si="29"/>
        <v>0</v>
      </c>
      <c r="EK9" s="146">
        <f t="shared" si="29"/>
        <v>0</v>
      </c>
      <c r="EL9" s="146">
        <f t="shared" si="29"/>
        <v>0</v>
      </c>
      <c r="EM9" s="146">
        <f t="shared" si="29"/>
        <v>0</v>
      </c>
      <c r="EN9" s="146">
        <f t="shared" si="29"/>
        <v>0</v>
      </c>
      <c r="EO9" s="146">
        <f t="shared" si="29"/>
        <v>0</v>
      </c>
      <c r="EP9" s="146">
        <f t="shared" si="29"/>
        <v>0</v>
      </c>
      <c r="EQ9" s="146">
        <f t="shared" si="29"/>
        <v>0</v>
      </c>
      <c r="ER9" s="146">
        <f t="shared" si="29"/>
        <v>0</v>
      </c>
      <c r="ES9" s="146">
        <f t="shared" si="29"/>
        <v>0</v>
      </c>
      <c r="ET9" s="146">
        <f t="shared" si="29"/>
        <v>0</v>
      </c>
      <c r="EU9" s="146">
        <f t="shared" si="29"/>
        <v>0</v>
      </c>
      <c r="EV9" s="146">
        <f t="shared" ref="EV9:FI9" si="30">SUBTOTAL(9, EV12:EV9880)</f>
        <v>0</v>
      </c>
      <c r="EW9" s="146">
        <f t="shared" si="30"/>
        <v>0</v>
      </c>
      <c r="EX9" s="146">
        <f t="shared" si="30"/>
        <v>0</v>
      </c>
      <c r="EY9" s="146">
        <f t="shared" si="30"/>
        <v>0</v>
      </c>
      <c r="EZ9" s="146">
        <f t="shared" si="30"/>
        <v>0</v>
      </c>
      <c r="FA9" s="146">
        <f t="shared" si="30"/>
        <v>0</v>
      </c>
      <c r="FB9" s="146">
        <f t="shared" si="30"/>
        <v>0</v>
      </c>
      <c r="FC9" s="146">
        <f t="shared" si="30"/>
        <v>0</v>
      </c>
      <c r="FD9" s="146">
        <f t="shared" si="30"/>
        <v>0</v>
      </c>
      <c r="FE9" s="146">
        <f t="shared" si="30"/>
        <v>0</v>
      </c>
      <c r="FF9" s="146">
        <f t="shared" si="30"/>
        <v>0</v>
      </c>
      <c r="FG9" s="146">
        <f t="shared" si="30"/>
        <v>0</v>
      </c>
      <c r="FH9" s="146">
        <f t="shared" si="30"/>
        <v>0</v>
      </c>
      <c r="FI9" s="146">
        <f t="shared" si="30"/>
        <v>0</v>
      </c>
      <c r="FJ9" s="228" t="str">
        <f>IF(EF9&gt;0,FE9/EF9,"N/A")</f>
        <v>N/A</v>
      </c>
      <c r="FK9" s="228" t="str">
        <f t="shared" ref="FK9:FN9" si="31">IF(EG9&gt;0,FF9/EG9,"N/A")</f>
        <v>N/A</v>
      </c>
      <c r="FL9" s="228" t="str">
        <f t="shared" si="31"/>
        <v>N/A</v>
      </c>
      <c r="FM9" s="228" t="str">
        <f t="shared" si="31"/>
        <v>N/A</v>
      </c>
      <c r="FN9" s="228" t="str">
        <f t="shared" si="31"/>
        <v>N/A</v>
      </c>
      <c r="FO9" s="146">
        <f t="shared" ref="FO9:HZ9" si="32">SUBTOTAL(9, FO12:FO9880)</f>
        <v>0</v>
      </c>
      <c r="FP9" s="146">
        <f t="shared" si="32"/>
        <v>0</v>
      </c>
      <c r="FQ9" s="146">
        <f t="shared" si="32"/>
        <v>0</v>
      </c>
      <c r="FR9" s="146">
        <f t="shared" si="32"/>
        <v>0</v>
      </c>
      <c r="FS9" s="146">
        <f t="shared" si="32"/>
        <v>0</v>
      </c>
      <c r="FT9" s="146">
        <f t="shared" si="32"/>
        <v>0</v>
      </c>
      <c r="FU9" s="146">
        <f t="shared" si="32"/>
        <v>0</v>
      </c>
      <c r="FV9" s="146">
        <f t="shared" si="32"/>
        <v>0</v>
      </c>
      <c r="FW9" s="146">
        <f t="shared" si="32"/>
        <v>0</v>
      </c>
      <c r="FX9" s="146">
        <f t="shared" si="32"/>
        <v>0</v>
      </c>
      <c r="FY9" s="146">
        <f t="shared" si="32"/>
        <v>0</v>
      </c>
      <c r="FZ9" s="146">
        <f t="shared" si="32"/>
        <v>0</v>
      </c>
      <c r="GA9" s="146">
        <f t="shared" si="32"/>
        <v>0</v>
      </c>
      <c r="GB9" s="146">
        <f t="shared" si="32"/>
        <v>0</v>
      </c>
      <c r="GC9" s="146">
        <f t="shared" si="32"/>
        <v>0</v>
      </c>
      <c r="GD9" s="146">
        <f t="shared" si="32"/>
        <v>0</v>
      </c>
      <c r="GE9" s="146">
        <f t="shared" si="32"/>
        <v>0</v>
      </c>
      <c r="GF9" s="146">
        <f t="shared" si="32"/>
        <v>0</v>
      </c>
      <c r="GG9" s="146">
        <f t="shared" si="32"/>
        <v>0</v>
      </c>
      <c r="GH9" s="146">
        <f t="shared" si="32"/>
        <v>0</v>
      </c>
      <c r="GI9" s="146">
        <f t="shared" si="32"/>
        <v>0</v>
      </c>
      <c r="GJ9" s="146">
        <f t="shared" si="32"/>
        <v>0</v>
      </c>
      <c r="GK9" s="146">
        <f t="shared" si="32"/>
        <v>0</v>
      </c>
      <c r="GL9" s="146">
        <f t="shared" si="32"/>
        <v>0</v>
      </c>
      <c r="GM9" s="146">
        <f t="shared" si="32"/>
        <v>0</v>
      </c>
      <c r="GN9" s="146">
        <f t="shared" si="32"/>
        <v>0</v>
      </c>
      <c r="GO9" s="146">
        <f t="shared" si="32"/>
        <v>0</v>
      </c>
      <c r="GP9" s="146">
        <f t="shared" si="32"/>
        <v>0</v>
      </c>
      <c r="GQ9" s="146">
        <f t="shared" si="32"/>
        <v>0</v>
      </c>
      <c r="GR9" s="146">
        <f t="shared" si="32"/>
        <v>0</v>
      </c>
      <c r="GS9" s="146">
        <f t="shared" si="32"/>
        <v>0</v>
      </c>
      <c r="GT9" s="146">
        <f t="shared" si="32"/>
        <v>0</v>
      </c>
      <c r="GU9" s="146">
        <f t="shared" si="32"/>
        <v>0</v>
      </c>
      <c r="GV9" s="146">
        <f t="shared" si="32"/>
        <v>0</v>
      </c>
      <c r="GW9" s="146">
        <f t="shared" si="32"/>
        <v>0</v>
      </c>
      <c r="GX9" s="146">
        <f t="shared" si="32"/>
        <v>0</v>
      </c>
      <c r="GY9" s="146">
        <f t="shared" si="32"/>
        <v>0</v>
      </c>
      <c r="GZ9" s="146">
        <f t="shared" si="32"/>
        <v>0</v>
      </c>
      <c r="HA9" s="146">
        <f t="shared" si="32"/>
        <v>0</v>
      </c>
      <c r="HB9" s="146">
        <f t="shared" si="32"/>
        <v>0</v>
      </c>
      <c r="HC9" s="146">
        <f t="shared" si="32"/>
        <v>0</v>
      </c>
      <c r="HD9" s="146">
        <f t="shared" si="32"/>
        <v>0</v>
      </c>
      <c r="HE9" s="146">
        <f t="shared" si="32"/>
        <v>0</v>
      </c>
      <c r="HF9" s="146">
        <f t="shared" si="32"/>
        <v>0</v>
      </c>
      <c r="HG9" s="146">
        <f t="shared" si="32"/>
        <v>0</v>
      </c>
      <c r="HH9" s="146">
        <f t="shared" si="32"/>
        <v>0</v>
      </c>
      <c r="HI9" s="146">
        <f t="shared" si="32"/>
        <v>0</v>
      </c>
      <c r="HJ9" s="146">
        <f t="shared" si="32"/>
        <v>0</v>
      </c>
      <c r="HK9" s="146">
        <f t="shared" si="32"/>
        <v>0</v>
      </c>
      <c r="HL9" s="146">
        <f t="shared" si="32"/>
        <v>0</v>
      </c>
      <c r="HM9" s="146">
        <f t="shared" si="32"/>
        <v>0</v>
      </c>
      <c r="HN9" s="146">
        <f t="shared" si="32"/>
        <v>0</v>
      </c>
      <c r="HO9" s="146">
        <f t="shared" si="32"/>
        <v>0</v>
      </c>
      <c r="HP9" s="146">
        <f t="shared" si="32"/>
        <v>0</v>
      </c>
      <c r="HQ9" s="146">
        <f t="shared" si="32"/>
        <v>0</v>
      </c>
      <c r="HR9" s="146">
        <f t="shared" si="32"/>
        <v>0</v>
      </c>
      <c r="HS9" s="146">
        <f t="shared" si="32"/>
        <v>0</v>
      </c>
      <c r="HT9" s="146">
        <f t="shared" si="32"/>
        <v>0</v>
      </c>
      <c r="HU9" s="146">
        <f t="shared" si="32"/>
        <v>0</v>
      </c>
      <c r="HV9" s="146">
        <f t="shared" si="32"/>
        <v>0</v>
      </c>
      <c r="HW9" s="146">
        <f t="shared" si="32"/>
        <v>0</v>
      </c>
      <c r="HX9" s="146">
        <f t="shared" si="32"/>
        <v>0</v>
      </c>
      <c r="HY9" s="146">
        <f t="shared" si="32"/>
        <v>0</v>
      </c>
      <c r="HZ9" s="146">
        <f t="shared" si="32"/>
        <v>0</v>
      </c>
      <c r="IA9" s="146">
        <f t="shared" ref="IA9:KL9" si="33">SUBTOTAL(9, IA12:IA9880)</f>
        <v>0</v>
      </c>
      <c r="IB9" s="146">
        <f t="shared" si="33"/>
        <v>0</v>
      </c>
      <c r="IC9" s="146">
        <f t="shared" si="33"/>
        <v>0</v>
      </c>
      <c r="ID9" s="146">
        <f t="shared" si="33"/>
        <v>0</v>
      </c>
      <c r="IE9" s="146">
        <f t="shared" si="33"/>
        <v>0</v>
      </c>
      <c r="IF9" s="146">
        <f t="shared" si="33"/>
        <v>0</v>
      </c>
      <c r="IG9" s="146">
        <f t="shared" si="33"/>
        <v>0</v>
      </c>
      <c r="IH9" s="146">
        <f t="shared" si="33"/>
        <v>0</v>
      </c>
      <c r="II9" s="146">
        <f t="shared" si="33"/>
        <v>0</v>
      </c>
      <c r="IJ9" s="146">
        <f t="shared" si="33"/>
        <v>0</v>
      </c>
      <c r="IK9" s="146">
        <f t="shared" si="33"/>
        <v>0</v>
      </c>
      <c r="IL9" s="146">
        <f t="shared" si="33"/>
        <v>0</v>
      </c>
      <c r="IM9" s="146">
        <f t="shared" si="33"/>
        <v>0</v>
      </c>
      <c r="IN9" s="146">
        <f t="shared" si="33"/>
        <v>0</v>
      </c>
      <c r="IO9" s="146">
        <f t="shared" si="33"/>
        <v>0</v>
      </c>
      <c r="IP9" s="146">
        <f t="shared" si="33"/>
        <v>0</v>
      </c>
      <c r="IQ9" s="146">
        <f t="shared" si="33"/>
        <v>0</v>
      </c>
      <c r="IR9" s="146">
        <f t="shared" si="33"/>
        <v>0</v>
      </c>
      <c r="IS9" s="146">
        <f t="shared" si="33"/>
        <v>0</v>
      </c>
      <c r="IT9" s="146">
        <f t="shared" si="33"/>
        <v>0</v>
      </c>
      <c r="IU9" s="146">
        <f t="shared" si="33"/>
        <v>0</v>
      </c>
      <c r="IV9" s="146">
        <f t="shared" si="33"/>
        <v>0</v>
      </c>
      <c r="IW9" s="146">
        <f t="shared" si="33"/>
        <v>0</v>
      </c>
      <c r="IX9" s="146">
        <f t="shared" si="33"/>
        <v>0</v>
      </c>
      <c r="IY9" s="146">
        <f t="shared" si="33"/>
        <v>0</v>
      </c>
      <c r="IZ9" s="146">
        <f t="shared" si="33"/>
        <v>0</v>
      </c>
      <c r="JA9" s="146">
        <f t="shared" si="33"/>
        <v>0</v>
      </c>
      <c r="JB9" s="146">
        <f t="shared" si="33"/>
        <v>0</v>
      </c>
      <c r="JC9" s="146">
        <f t="shared" si="33"/>
        <v>0</v>
      </c>
      <c r="JD9" s="146">
        <f t="shared" si="33"/>
        <v>0</v>
      </c>
      <c r="JE9" s="146">
        <f t="shared" si="33"/>
        <v>0</v>
      </c>
      <c r="JF9" s="146">
        <f t="shared" si="33"/>
        <v>0</v>
      </c>
      <c r="JG9" s="146">
        <f t="shared" si="33"/>
        <v>0</v>
      </c>
      <c r="JH9" s="146">
        <f t="shared" si="33"/>
        <v>0</v>
      </c>
      <c r="JI9" s="146">
        <f t="shared" si="33"/>
        <v>0</v>
      </c>
      <c r="JJ9" s="146">
        <f t="shared" si="33"/>
        <v>0</v>
      </c>
      <c r="JK9" s="146">
        <f t="shared" si="33"/>
        <v>0</v>
      </c>
      <c r="JL9" s="146">
        <f t="shared" si="33"/>
        <v>0</v>
      </c>
      <c r="JM9" s="146">
        <f t="shared" si="33"/>
        <v>0</v>
      </c>
      <c r="JN9" s="146">
        <f t="shared" si="33"/>
        <v>0</v>
      </c>
      <c r="JO9" s="146">
        <f t="shared" si="33"/>
        <v>0</v>
      </c>
      <c r="JP9" s="146">
        <f t="shared" si="33"/>
        <v>0</v>
      </c>
      <c r="JQ9" s="146">
        <f t="shared" si="33"/>
        <v>0</v>
      </c>
      <c r="JR9" s="146">
        <f t="shared" si="33"/>
        <v>0</v>
      </c>
      <c r="JS9" s="146">
        <f t="shared" si="33"/>
        <v>0</v>
      </c>
      <c r="JT9" s="146">
        <f t="shared" si="33"/>
        <v>0</v>
      </c>
      <c r="JU9" s="146">
        <f t="shared" si="33"/>
        <v>0</v>
      </c>
      <c r="JV9" s="146">
        <f t="shared" si="33"/>
        <v>0</v>
      </c>
      <c r="JW9" s="146">
        <f t="shared" si="33"/>
        <v>0</v>
      </c>
      <c r="JX9" s="146">
        <f t="shared" si="33"/>
        <v>0</v>
      </c>
      <c r="JY9" s="146">
        <f t="shared" si="33"/>
        <v>0</v>
      </c>
      <c r="JZ9" s="146">
        <f t="shared" si="33"/>
        <v>0</v>
      </c>
      <c r="KA9" s="146">
        <f t="shared" si="33"/>
        <v>0</v>
      </c>
      <c r="KB9" s="146">
        <f t="shared" si="33"/>
        <v>0</v>
      </c>
      <c r="KC9" s="146">
        <f t="shared" si="33"/>
        <v>0</v>
      </c>
      <c r="KD9" s="146">
        <f t="shared" si="33"/>
        <v>0</v>
      </c>
      <c r="KE9" s="146">
        <f t="shared" si="33"/>
        <v>0</v>
      </c>
      <c r="KF9" s="146">
        <f t="shared" si="33"/>
        <v>0</v>
      </c>
      <c r="KG9" s="146">
        <f t="shared" si="33"/>
        <v>0</v>
      </c>
      <c r="KH9" s="146">
        <f t="shared" si="33"/>
        <v>0</v>
      </c>
      <c r="KI9" s="146">
        <f t="shared" si="33"/>
        <v>0</v>
      </c>
      <c r="KJ9" s="146">
        <f t="shared" si="33"/>
        <v>0</v>
      </c>
      <c r="KK9" s="146">
        <f t="shared" si="33"/>
        <v>0</v>
      </c>
      <c r="KL9" s="146">
        <f t="shared" si="33"/>
        <v>0</v>
      </c>
      <c r="KM9" s="146">
        <f t="shared" ref="KM9:MX9" si="34">SUBTOTAL(9, KM12:KM9880)</f>
        <v>0</v>
      </c>
      <c r="KN9" s="146">
        <f t="shared" si="34"/>
        <v>0</v>
      </c>
      <c r="KO9" s="146">
        <f t="shared" si="34"/>
        <v>0</v>
      </c>
      <c r="KP9" s="146">
        <f t="shared" si="34"/>
        <v>0</v>
      </c>
      <c r="KQ9" s="146">
        <f t="shared" si="34"/>
        <v>0</v>
      </c>
      <c r="KR9" s="146">
        <f t="shared" si="34"/>
        <v>0</v>
      </c>
      <c r="KS9" s="146">
        <f t="shared" si="34"/>
        <v>0</v>
      </c>
      <c r="KT9" s="146">
        <f t="shared" si="34"/>
        <v>0</v>
      </c>
      <c r="KU9" s="146">
        <f t="shared" si="34"/>
        <v>0</v>
      </c>
      <c r="KV9" s="146">
        <f t="shared" si="34"/>
        <v>0</v>
      </c>
      <c r="KW9" s="146">
        <f t="shared" si="34"/>
        <v>0</v>
      </c>
      <c r="KX9" s="146">
        <f t="shared" si="34"/>
        <v>0</v>
      </c>
      <c r="KY9" s="146">
        <f t="shared" si="34"/>
        <v>0</v>
      </c>
      <c r="KZ9" s="146">
        <f t="shared" si="34"/>
        <v>0</v>
      </c>
      <c r="LA9" s="146">
        <f t="shared" si="34"/>
        <v>0</v>
      </c>
      <c r="LB9" s="146">
        <f t="shared" si="34"/>
        <v>0</v>
      </c>
      <c r="LC9" s="146">
        <f t="shared" si="34"/>
        <v>0</v>
      </c>
      <c r="LD9" s="146">
        <f t="shared" si="34"/>
        <v>0</v>
      </c>
      <c r="LE9" s="146">
        <f t="shared" si="34"/>
        <v>0</v>
      </c>
      <c r="LF9" s="146">
        <f t="shared" si="34"/>
        <v>0</v>
      </c>
      <c r="LG9" s="146">
        <f t="shared" si="34"/>
        <v>0</v>
      </c>
      <c r="LH9" s="146">
        <f t="shared" si="34"/>
        <v>0</v>
      </c>
      <c r="LI9" s="146">
        <f t="shared" si="34"/>
        <v>0</v>
      </c>
      <c r="LJ9" s="146">
        <f t="shared" si="34"/>
        <v>0</v>
      </c>
      <c r="LK9" s="146">
        <f t="shared" si="34"/>
        <v>0</v>
      </c>
      <c r="LL9" s="146">
        <f t="shared" si="34"/>
        <v>0</v>
      </c>
      <c r="LM9" s="146">
        <f t="shared" si="34"/>
        <v>0</v>
      </c>
      <c r="LN9" s="146">
        <f t="shared" si="34"/>
        <v>0</v>
      </c>
      <c r="LO9" s="146">
        <f t="shared" si="34"/>
        <v>0</v>
      </c>
      <c r="LP9" s="146">
        <f t="shared" si="34"/>
        <v>0</v>
      </c>
      <c r="LQ9" s="146">
        <f t="shared" si="34"/>
        <v>0</v>
      </c>
      <c r="LR9" s="146">
        <f t="shared" si="34"/>
        <v>0</v>
      </c>
      <c r="LS9" s="146">
        <f t="shared" si="34"/>
        <v>0</v>
      </c>
      <c r="LT9" s="146">
        <f t="shared" si="34"/>
        <v>0</v>
      </c>
      <c r="LU9" s="146">
        <f t="shared" si="34"/>
        <v>0</v>
      </c>
      <c r="LV9" s="146">
        <f t="shared" si="34"/>
        <v>0</v>
      </c>
      <c r="LW9" s="146">
        <f t="shared" si="34"/>
        <v>0</v>
      </c>
      <c r="LX9" s="146">
        <f t="shared" si="34"/>
        <v>0</v>
      </c>
      <c r="LY9" s="146">
        <f t="shared" si="34"/>
        <v>0</v>
      </c>
      <c r="LZ9" s="146">
        <f t="shared" si="34"/>
        <v>0</v>
      </c>
      <c r="MA9" s="146">
        <f t="shared" si="34"/>
        <v>0</v>
      </c>
      <c r="MB9" s="146">
        <f t="shared" si="34"/>
        <v>0</v>
      </c>
      <c r="MC9" s="146">
        <f t="shared" si="34"/>
        <v>0</v>
      </c>
      <c r="MD9" s="146">
        <f t="shared" si="34"/>
        <v>0</v>
      </c>
      <c r="ME9" s="146">
        <f t="shared" si="34"/>
        <v>0</v>
      </c>
      <c r="MF9" s="146">
        <f t="shared" si="34"/>
        <v>0</v>
      </c>
      <c r="MG9" s="146">
        <f t="shared" si="34"/>
        <v>0</v>
      </c>
      <c r="MH9" s="146">
        <f t="shared" si="34"/>
        <v>0</v>
      </c>
      <c r="MI9" s="146">
        <f t="shared" si="34"/>
        <v>0</v>
      </c>
      <c r="MJ9" s="146">
        <f t="shared" si="34"/>
        <v>0</v>
      </c>
      <c r="MK9" s="146">
        <f t="shared" si="34"/>
        <v>0</v>
      </c>
      <c r="ML9" s="146">
        <f t="shared" si="34"/>
        <v>0</v>
      </c>
      <c r="MM9" s="146">
        <f t="shared" si="34"/>
        <v>0</v>
      </c>
      <c r="MN9" s="146">
        <f t="shared" si="34"/>
        <v>0</v>
      </c>
      <c r="MO9" s="146">
        <f t="shared" si="34"/>
        <v>0</v>
      </c>
      <c r="MP9" s="146">
        <f t="shared" si="34"/>
        <v>0</v>
      </c>
      <c r="MQ9" s="146">
        <f t="shared" si="34"/>
        <v>0</v>
      </c>
      <c r="MR9" s="146">
        <f t="shared" si="34"/>
        <v>0</v>
      </c>
      <c r="MS9" s="146">
        <f t="shared" si="34"/>
        <v>0</v>
      </c>
      <c r="MT9" s="146">
        <f t="shared" si="34"/>
        <v>0</v>
      </c>
      <c r="MU9" s="146">
        <f t="shared" si="34"/>
        <v>0</v>
      </c>
      <c r="MV9" s="146">
        <f t="shared" si="34"/>
        <v>0</v>
      </c>
      <c r="MW9" s="146">
        <f t="shared" si="34"/>
        <v>0</v>
      </c>
      <c r="MX9" s="146">
        <f t="shared" si="34"/>
        <v>0</v>
      </c>
      <c r="MY9" s="146">
        <f t="shared" ref="MY9:PJ9" si="35">SUBTOTAL(9, MY12:MY9880)</f>
        <v>0</v>
      </c>
      <c r="MZ9" s="146">
        <f t="shared" si="35"/>
        <v>0</v>
      </c>
      <c r="NA9" s="146">
        <f t="shared" si="35"/>
        <v>0</v>
      </c>
      <c r="NB9" s="146">
        <f t="shared" si="35"/>
        <v>0</v>
      </c>
      <c r="NC9" s="146">
        <f t="shared" si="35"/>
        <v>0</v>
      </c>
      <c r="ND9" s="146">
        <f t="shared" si="35"/>
        <v>0</v>
      </c>
      <c r="NE9" s="146">
        <f t="shared" si="35"/>
        <v>0</v>
      </c>
      <c r="NF9" s="146">
        <f t="shared" si="35"/>
        <v>0</v>
      </c>
      <c r="NG9" s="146">
        <f t="shared" si="35"/>
        <v>0</v>
      </c>
      <c r="NH9" s="146">
        <f t="shared" si="35"/>
        <v>0</v>
      </c>
      <c r="NI9" s="146">
        <f t="shared" si="35"/>
        <v>0</v>
      </c>
      <c r="NJ9" s="146">
        <f t="shared" si="35"/>
        <v>0</v>
      </c>
      <c r="NK9" s="146">
        <f t="shared" si="35"/>
        <v>0</v>
      </c>
      <c r="NL9" s="146">
        <f t="shared" si="35"/>
        <v>0</v>
      </c>
      <c r="NM9" s="146">
        <f t="shared" si="35"/>
        <v>0</v>
      </c>
      <c r="NN9" s="146">
        <f t="shared" si="35"/>
        <v>0</v>
      </c>
      <c r="NO9" s="146">
        <f t="shared" si="35"/>
        <v>0</v>
      </c>
      <c r="NP9" s="146">
        <f t="shared" si="35"/>
        <v>0</v>
      </c>
      <c r="NQ9" s="146">
        <f t="shared" si="35"/>
        <v>0</v>
      </c>
      <c r="NR9" s="146">
        <f t="shared" si="35"/>
        <v>0</v>
      </c>
      <c r="NS9" s="146">
        <f t="shared" si="35"/>
        <v>0</v>
      </c>
      <c r="NT9" s="146">
        <f t="shared" si="35"/>
        <v>0</v>
      </c>
      <c r="NU9" s="146">
        <f t="shared" si="35"/>
        <v>0</v>
      </c>
      <c r="NV9" s="146">
        <f t="shared" si="35"/>
        <v>0</v>
      </c>
      <c r="NW9" s="146">
        <f t="shared" si="35"/>
        <v>0</v>
      </c>
      <c r="NX9" s="146">
        <f t="shared" si="35"/>
        <v>0</v>
      </c>
      <c r="NY9" s="146">
        <f t="shared" si="35"/>
        <v>0</v>
      </c>
      <c r="NZ9" s="146">
        <f t="shared" si="35"/>
        <v>0</v>
      </c>
      <c r="OA9" s="146">
        <f t="shared" si="35"/>
        <v>0</v>
      </c>
      <c r="OB9" s="146">
        <f t="shared" si="35"/>
        <v>0</v>
      </c>
      <c r="OC9" s="146">
        <f t="shared" si="35"/>
        <v>0</v>
      </c>
      <c r="OD9" s="146">
        <f t="shared" si="35"/>
        <v>0</v>
      </c>
      <c r="OE9" s="146">
        <f t="shared" si="35"/>
        <v>0</v>
      </c>
      <c r="OF9" s="146">
        <f t="shared" si="35"/>
        <v>0</v>
      </c>
      <c r="OG9" s="146">
        <f t="shared" si="35"/>
        <v>0</v>
      </c>
      <c r="OH9" s="146">
        <f t="shared" si="35"/>
        <v>0</v>
      </c>
      <c r="OI9" s="146">
        <f t="shared" si="35"/>
        <v>0</v>
      </c>
      <c r="OJ9" s="146">
        <f t="shared" si="35"/>
        <v>0</v>
      </c>
      <c r="OK9" s="146">
        <f t="shared" si="35"/>
        <v>0</v>
      </c>
      <c r="OL9" s="146">
        <f t="shared" si="35"/>
        <v>0</v>
      </c>
      <c r="OM9" s="146">
        <f t="shared" si="35"/>
        <v>0</v>
      </c>
      <c r="ON9" s="146">
        <f t="shared" si="35"/>
        <v>0</v>
      </c>
      <c r="OO9" s="146">
        <f t="shared" si="35"/>
        <v>0</v>
      </c>
      <c r="OP9" s="146">
        <f t="shared" si="35"/>
        <v>0</v>
      </c>
      <c r="OQ9" s="146">
        <f t="shared" si="35"/>
        <v>0</v>
      </c>
      <c r="OR9" s="146">
        <f t="shared" si="35"/>
        <v>0</v>
      </c>
      <c r="OS9" s="146">
        <f t="shared" si="35"/>
        <v>0</v>
      </c>
      <c r="OT9" s="146">
        <f t="shared" si="35"/>
        <v>0</v>
      </c>
      <c r="OU9" s="146">
        <f t="shared" si="35"/>
        <v>0</v>
      </c>
      <c r="OV9" s="146">
        <f t="shared" si="35"/>
        <v>0</v>
      </c>
      <c r="OW9" s="146">
        <f t="shared" si="35"/>
        <v>0</v>
      </c>
      <c r="OX9" s="146">
        <f t="shared" si="35"/>
        <v>0</v>
      </c>
      <c r="OY9" s="146">
        <f t="shared" si="35"/>
        <v>0</v>
      </c>
      <c r="OZ9" s="146">
        <f t="shared" si="35"/>
        <v>0</v>
      </c>
      <c r="PA9" s="146">
        <f t="shared" si="35"/>
        <v>0</v>
      </c>
      <c r="PB9" s="146">
        <f t="shared" si="35"/>
        <v>0</v>
      </c>
      <c r="PC9" s="146">
        <f t="shared" si="35"/>
        <v>0</v>
      </c>
      <c r="PD9" s="146">
        <f t="shared" si="35"/>
        <v>0</v>
      </c>
      <c r="PE9" s="146">
        <f t="shared" si="35"/>
        <v>0</v>
      </c>
      <c r="PF9" s="146">
        <f t="shared" si="35"/>
        <v>0</v>
      </c>
      <c r="PG9" s="146">
        <f t="shared" si="35"/>
        <v>0</v>
      </c>
      <c r="PH9" s="146">
        <f t="shared" si="35"/>
        <v>0</v>
      </c>
      <c r="PI9" s="146">
        <f t="shared" si="35"/>
        <v>0</v>
      </c>
      <c r="PJ9" s="146">
        <f t="shared" si="35"/>
        <v>0</v>
      </c>
      <c r="PK9" s="146">
        <f t="shared" ref="PK9:RV9" si="36">SUBTOTAL(9, PK12:PK9880)</f>
        <v>0</v>
      </c>
      <c r="PL9" s="146">
        <f t="shared" si="36"/>
        <v>0</v>
      </c>
      <c r="PM9" s="146">
        <f t="shared" si="36"/>
        <v>0</v>
      </c>
      <c r="PN9" s="146">
        <f t="shared" si="36"/>
        <v>0</v>
      </c>
      <c r="PO9" s="146">
        <f t="shared" si="36"/>
        <v>0</v>
      </c>
      <c r="PP9" s="146">
        <f t="shared" si="36"/>
        <v>0</v>
      </c>
      <c r="PQ9" s="146">
        <f t="shared" si="36"/>
        <v>0</v>
      </c>
      <c r="PR9" s="146">
        <f t="shared" si="36"/>
        <v>0</v>
      </c>
      <c r="PS9" s="146">
        <f t="shared" si="36"/>
        <v>0</v>
      </c>
      <c r="PT9" s="146">
        <f t="shared" si="36"/>
        <v>0</v>
      </c>
      <c r="PU9" s="146">
        <f t="shared" si="36"/>
        <v>0</v>
      </c>
      <c r="PV9" s="146">
        <f t="shared" si="36"/>
        <v>0</v>
      </c>
      <c r="PW9" s="146">
        <f t="shared" si="36"/>
        <v>0</v>
      </c>
      <c r="PX9" s="146">
        <f t="shared" si="36"/>
        <v>0</v>
      </c>
      <c r="PY9" s="146">
        <f t="shared" si="36"/>
        <v>0</v>
      </c>
      <c r="PZ9" s="146">
        <f t="shared" si="36"/>
        <v>0</v>
      </c>
      <c r="QA9" s="146">
        <f t="shared" si="36"/>
        <v>0</v>
      </c>
      <c r="QB9" s="146">
        <f t="shared" si="36"/>
        <v>0</v>
      </c>
      <c r="QC9" s="146">
        <f t="shared" si="36"/>
        <v>0</v>
      </c>
      <c r="QD9" s="146">
        <f t="shared" si="36"/>
        <v>0</v>
      </c>
      <c r="QE9" s="146">
        <f t="shared" si="36"/>
        <v>0</v>
      </c>
      <c r="QF9" s="146">
        <f t="shared" si="36"/>
        <v>0</v>
      </c>
      <c r="QG9" s="146">
        <f t="shared" si="36"/>
        <v>0</v>
      </c>
      <c r="QH9" s="146">
        <f t="shared" si="36"/>
        <v>0</v>
      </c>
      <c r="QI9" s="146">
        <f t="shared" si="36"/>
        <v>0</v>
      </c>
      <c r="QJ9" s="146">
        <f t="shared" si="36"/>
        <v>0</v>
      </c>
      <c r="QK9" s="146">
        <f t="shared" si="36"/>
        <v>0</v>
      </c>
      <c r="QL9" s="146">
        <f t="shared" si="36"/>
        <v>0</v>
      </c>
      <c r="QM9" s="146">
        <f t="shared" si="36"/>
        <v>0</v>
      </c>
      <c r="QN9" s="146">
        <f t="shared" si="36"/>
        <v>0</v>
      </c>
      <c r="QO9" s="146">
        <f t="shared" si="36"/>
        <v>0</v>
      </c>
      <c r="QP9" s="146">
        <f t="shared" si="36"/>
        <v>0</v>
      </c>
      <c r="QQ9" s="146">
        <f t="shared" si="36"/>
        <v>0</v>
      </c>
      <c r="QR9" s="146">
        <f t="shared" si="36"/>
        <v>0</v>
      </c>
      <c r="QS9" s="146">
        <f t="shared" si="36"/>
        <v>0</v>
      </c>
      <c r="QT9" s="146">
        <f t="shared" si="36"/>
        <v>0</v>
      </c>
      <c r="QU9" s="146">
        <f t="shared" si="36"/>
        <v>0</v>
      </c>
      <c r="QV9" s="146">
        <f t="shared" si="36"/>
        <v>0</v>
      </c>
      <c r="QW9" s="146">
        <f t="shared" si="36"/>
        <v>0</v>
      </c>
      <c r="QX9" s="146">
        <f t="shared" si="36"/>
        <v>0</v>
      </c>
      <c r="QY9" s="146">
        <f t="shared" si="36"/>
        <v>0</v>
      </c>
      <c r="QZ9" s="146">
        <f t="shared" si="36"/>
        <v>0</v>
      </c>
      <c r="RA9" s="146">
        <f t="shared" si="36"/>
        <v>0</v>
      </c>
      <c r="RB9" s="146">
        <f t="shared" si="36"/>
        <v>0</v>
      </c>
      <c r="RC9" s="146">
        <f t="shared" si="36"/>
        <v>0</v>
      </c>
      <c r="RD9" s="146">
        <f t="shared" si="36"/>
        <v>0</v>
      </c>
      <c r="RE9" s="146">
        <f t="shared" si="36"/>
        <v>0</v>
      </c>
      <c r="RF9" s="146">
        <f t="shared" si="36"/>
        <v>0</v>
      </c>
      <c r="RG9" s="146">
        <f t="shared" si="36"/>
        <v>0</v>
      </c>
      <c r="RH9" s="146">
        <f t="shared" si="36"/>
        <v>0</v>
      </c>
      <c r="RI9" s="146">
        <f t="shared" si="36"/>
        <v>0</v>
      </c>
      <c r="RJ9" s="146">
        <f t="shared" si="36"/>
        <v>0</v>
      </c>
      <c r="RK9" s="146">
        <f t="shared" si="36"/>
        <v>0</v>
      </c>
      <c r="RL9" s="146">
        <f t="shared" si="36"/>
        <v>0</v>
      </c>
      <c r="RM9" s="146">
        <f t="shared" si="36"/>
        <v>0</v>
      </c>
      <c r="RN9" s="146">
        <f t="shared" si="36"/>
        <v>0</v>
      </c>
      <c r="RO9" s="146">
        <f t="shared" si="36"/>
        <v>0</v>
      </c>
      <c r="RP9" s="146">
        <f t="shared" si="36"/>
        <v>0</v>
      </c>
      <c r="RQ9" s="146">
        <f t="shared" si="36"/>
        <v>0</v>
      </c>
      <c r="RR9" s="146">
        <f t="shared" si="36"/>
        <v>0</v>
      </c>
      <c r="RS9" s="146">
        <f t="shared" si="36"/>
        <v>0</v>
      </c>
      <c r="RT9" s="146">
        <f t="shared" si="36"/>
        <v>0</v>
      </c>
      <c r="RU9" s="146">
        <f t="shared" si="36"/>
        <v>0</v>
      </c>
      <c r="RV9" s="146">
        <f t="shared" si="36"/>
        <v>0</v>
      </c>
      <c r="RW9" s="146">
        <f t="shared" ref="RW9:UH9" si="37">SUBTOTAL(9, RW12:RW9880)</f>
        <v>0</v>
      </c>
      <c r="RX9" s="146">
        <f t="shared" si="37"/>
        <v>0</v>
      </c>
      <c r="RY9" s="146">
        <f t="shared" si="37"/>
        <v>0</v>
      </c>
      <c r="RZ9" s="146">
        <f t="shared" si="37"/>
        <v>0</v>
      </c>
      <c r="SA9" s="146">
        <f t="shared" si="37"/>
        <v>0</v>
      </c>
      <c r="SB9" s="146">
        <f t="shared" si="37"/>
        <v>0</v>
      </c>
      <c r="SC9" s="146">
        <f t="shared" si="37"/>
        <v>0</v>
      </c>
      <c r="SD9" s="146">
        <f t="shared" si="37"/>
        <v>0</v>
      </c>
      <c r="SE9" s="146">
        <f t="shared" si="37"/>
        <v>0</v>
      </c>
      <c r="SF9" s="146">
        <f t="shared" si="37"/>
        <v>0</v>
      </c>
      <c r="SG9" s="146">
        <f t="shared" si="37"/>
        <v>0</v>
      </c>
      <c r="SH9" s="146">
        <f t="shared" si="37"/>
        <v>0</v>
      </c>
      <c r="SI9" s="146">
        <f t="shared" si="37"/>
        <v>0</v>
      </c>
      <c r="SJ9" s="146">
        <f t="shared" si="37"/>
        <v>0</v>
      </c>
      <c r="SK9" s="146">
        <f t="shared" si="37"/>
        <v>0</v>
      </c>
      <c r="SL9" s="146">
        <f t="shared" si="37"/>
        <v>0</v>
      </c>
      <c r="SM9" s="146">
        <f t="shared" si="37"/>
        <v>0</v>
      </c>
      <c r="SN9" s="146">
        <f t="shared" si="37"/>
        <v>0</v>
      </c>
      <c r="SO9" s="146">
        <f t="shared" si="37"/>
        <v>0</v>
      </c>
      <c r="SP9" s="146">
        <f t="shared" si="37"/>
        <v>0</v>
      </c>
      <c r="SQ9" s="146">
        <f t="shared" si="37"/>
        <v>0</v>
      </c>
      <c r="SR9" s="146">
        <f t="shared" si="37"/>
        <v>0</v>
      </c>
      <c r="SS9" s="146">
        <f t="shared" si="37"/>
        <v>0</v>
      </c>
      <c r="ST9" s="146">
        <f t="shared" si="37"/>
        <v>0</v>
      </c>
      <c r="SU9" s="146">
        <f t="shared" si="37"/>
        <v>0</v>
      </c>
      <c r="SV9" s="146">
        <f t="shared" si="37"/>
        <v>0</v>
      </c>
      <c r="SW9" s="146">
        <f t="shared" si="37"/>
        <v>0</v>
      </c>
      <c r="SX9" s="146">
        <f t="shared" si="37"/>
        <v>0</v>
      </c>
      <c r="SY9" s="146">
        <f t="shared" si="37"/>
        <v>0</v>
      </c>
      <c r="SZ9" s="146">
        <f t="shared" si="37"/>
        <v>0</v>
      </c>
      <c r="TA9" s="146">
        <f t="shared" si="37"/>
        <v>0</v>
      </c>
      <c r="TB9" s="146">
        <f t="shared" si="37"/>
        <v>0</v>
      </c>
      <c r="TC9" s="146">
        <f t="shared" si="37"/>
        <v>0</v>
      </c>
      <c r="TD9" s="146">
        <f t="shared" si="37"/>
        <v>0</v>
      </c>
      <c r="TE9" s="146">
        <f t="shared" si="37"/>
        <v>0</v>
      </c>
      <c r="TF9" s="146">
        <f t="shared" si="37"/>
        <v>0</v>
      </c>
      <c r="TG9" s="146">
        <f t="shared" si="37"/>
        <v>0</v>
      </c>
      <c r="TH9" s="146">
        <f t="shared" si="37"/>
        <v>0</v>
      </c>
      <c r="TI9" s="146">
        <f t="shared" si="37"/>
        <v>0</v>
      </c>
      <c r="TJ9" s="146">
        <f t="shared" si="37"/>
        <v>0</v>
      </c>
      <c r="TK9" s="146">
        <f t="shared" si="37"/>
        <v>0</v>
      </c>
      <c r="TL9" s="146">
        <f t="shared" si="37"/>
        <v>0</v>
      </c>
      <c r="TM9" s="146">
        <f t="shared" si="37"/>
        <v>0</v>
      </c>
      <c r="TN9" s="146">
        <f t="shared" si="37"/>
        <v>0</v>
      </c>
      <c r="TO9" s="146">
        <f t="shared" si="37"/>
        <v>0</v>
      </c>
      <c r="TP9" s="146">
        <f t="shared" si="37"/>
        <v>0</v>
      </c>
      <c r="TQ9" s="146">
        <f t="shared" si="37"/>
        <v>0</v>
      </c>
      <c r="TR9" s="146">
        <f t="shared" si="37"/>
        <v>0</v>
      </c>
      <c r="TS9" s="146">
        <f t="shared" si="37"/>
        <v>0</v>
      </c>
      <c r="TT9" s="146">
        <f t="shared" si="37"/>
        <v>0</v>
      </c>
      <c r="TU9" s="146">
        <f t="shared" si="37"/>
        <v>0</v>
      </c>
      <c r="TV9" s="146">
        <f t="shared" si="37"/>
        <v>0</v>
      </c>
      <c r="TW9" s="146">
        <f t="shared" si="37"/>
        <v>0</v>
      </c>
      <c r="TX9" s="146">
        <f t="shared" si="37"/>
        <v>0</v>
      </c>
      <c r="TY9" s="146">
        <f t="shared" si="37"/>
        <v>0</v>
      </c>
      <c r="TZ9" s="146">
        <f t="shared" si="37"/>
        <v>0</v>
      </c>
      <c r="UA9" s="146">
        <f t="shared" si="37"/>
        <v>0</v>
      </c>
      <c r="UB9" s="146">
        <f t="shared" si="37"/>
        <v>0</v>
      </c>
      <c r="UC9" s="146">
        <f t="shared" si="37"/>
        <v>0</v>
      </c>
      <c r="UD9" s="146">
        <f t="shared" si="37"/>
        <v>0</v>
      </c>
      <c r="UE9" s="146">
        <f t="shared" si="37"/>
        <v>0</v>
      </c>
      <c r="UF9" s="146">
        <f t="shared" si="37"/>
        <v>0</v>
      </c>
      <c r="UG9" s="146">
        <f t="shared" si="37"/>
        <v>0</v>
      </c>
      <c r="UH9" s="146">
        <f t="shared" si="37"/>
        <v>0</v>
      </c>
      <c r="UI9" s="146">
        <f t="shared" ref="UI9:WT9" si="38">SUBTOTAL(9, UI12:UI9880)</f>
        <v>0</v>
      </c>
      <c r="UJ9" s="146">
        <f t="shared" si="38"/>
        <v>0</v>
      </c>
      <c r="UK9" s="146">
        <f t="shared" si="38"/>
        <v>0</v>
      </c>
      <c r="UL9" s="146">
        <f t="shared" si="38"/>
        <v>0</v>
      </c>
      <c r="UM9" s="146">
        <f t="shared" si="38"/>
        <v>0</v>
      </c>
      <c r="UN9" s="146">
        <f t="shared" si="38"/>
        <v>0</v>
      </c>
      <c r="UO9" s="146">
        <f t="shared" si="38"/>
        <v>0</v>
      </c>
      <c r="UP9" s="146">
        <f t="shared" si="38"/>
        <v>0</v>
      </c>
      <c r="UQ9" s="146">
        <f t="shared" si="38"/>
        <v>0</v>
      </c>
      <c r="UR9" s="146">
        <f t="shared" si="38"/>
        <v>0</v>
      </c>
      <c r="US9" s="146">
        <f t="shared" si="38"/>
        <v>0</v>
      </c>
      <c r="UT9" s="146">
        <f t="shared" si="38"/>
        <v>0</v>
      </c>
      <c r="UU9" s="146">
        <f t="shared" si="38"/>
        <v>0</v>
      </c>
      <c r="UV9" s="146">
        <f t="shared" si="38"/>
        <v>0</v>
      </c>
      <c r="UW9" s="146">
        <f t="shared" si="38"/>
        <v>0</v>
      </c>
      <c r="UX9" s="146">
        <f t="shared" si="38"/>
        <v>0</v>
      </c>
      <c r="UY9" s="146">
        <f t="shared" si="38"/>
        <v>0</v>
      </c>
      <c r="UZ9" s="146">
        <f t="shared" si="38"/>
        <v>0</v>
      </c>
      <c r="VA9" s="146">
        <f t="shared" si="38"/>
        <v>0</v>
      </c>
      <c r="VB9" s="146">
        <f t="shared" si="38"/>
        <v>0</v>
      </c>
      <c r="VC9" s="146">
        <f t="shared" si="38"/>
        <v>0</v>
      </c>
      <c r="VD9" s="146">
        <f t="shared" si="38"/>
        <v>0</v>
      </c>
      <c r="VE9" s="146">
        <f t="shared" si="38"/>
        <v>0</v>
      </c>
      <c r="VF9" s="146">
        <f t="shared" si="38"/>
        <v>0</v>
      </c>
      <c r="VG9" s="146">
        <f t="shared" si="38"/>
        <v>0</v>
      </c>
      <c r="VH9" s="146">
        <f t="shared" si="38"/>
        <v>0</v>
      </c>
      <c r="VI9" s="146">
        <f t="shared" si="38"/>
        <v>0</v>
      </c>
      <c r="VJ9" s="146">
        <f t="shared" si="38"/>
        <v>0</v>
      </c>
      <c r="VK9" s="146">
        <f t="shared" si="38"/>
        <v>0</v>
      </c>
      <c r="VL9" s="146">
        <f t="shared" si="38"/>
        <v>0</v>
      </c>
      <c r="VM9" s="146">
        <f t="shared" si="38"/>
        <v>0</v>
      </c>
      <c r="VN9" s="146">
        <f t="shared" si="38"/>
        <v>0</v>
      </c>
      <c r="VO9" s="146">
        <f t="shared" si="38"/>
        <v>0</v>
      </c>
      <c r="VP9" s="146">
        <f t="shared" si="38"/>
        <v>0</v>
      </c>
      <c r="VQ9" s="146">
        <f t="shared" si="38"/>
        <v>0</v>
      </c>
      <c r="VR9" s="146">
        <f t="shared" si="38"/>
        <v>0</v>
      </c>
      <c r="VS9" s="146">
        <f t="shared" si="38"/>
        <v>0</v>
      </c>
      <c r="VT9" s="146">
        <f t="shared" si="38"/>
        <v>0</v>
      </c>
      <c r="VU9" s="146">
        <f t="shared" si="38"/>
        <v>0</v>
      </c>
      <c r="VV9" s="146">
        <f t="shared" si="38"/>
        <v>0</v>
      </c>
      <c r="VW9" s="146">
        <f t="shared" si="38"/>
        <v>0</v>
      </c>
      <c r="VX9" s="146">
        <f t="shared" si="38"/>
        <v>0</v>
      </c>
      <c r="VY9" s="146">
        <f t="shared" si="38"/>
        <v>0</v>
      </c>
      <c r="VZ9" s="146">
        <f t="shared" si="38"/>
        <v>0</v>
      </c>
      <c r="WA9" s="146">
        <f t="shared" si="38"/>
        <v>0</v>
      </c>
      <c r="WB9" s="146">
        <f t="shared" si="38"/>
        <v>0</v>
      </c>
      <c r="WC9" s="146">
        <f t="shared" si="38"/>
        <v>0</v>
      </c>
      <c r="WD9" s="146">
        <f t="shared" si="38"/>
        <v>0</v>
      </c>
      <c r="WE9" s="146">
        <f t="shared" si="38"/>
        <v>0</v>
      </c>
      <c r="WF9" s="146">
        <f t="shared" si="38"/>
        <v>0</v>
      </c>
      <c r="WG9" s="146">
        <f t="shared" si="38"/>
        <v>0</v>
      </c>
      <c r="WH9" s="146">
        <f t="shared" si="38"/>
        <v>0</v>
      </c>
      <c r="WI9" s="146">
        <f t="shared" si="38"/>
        <v>0</v>
      </c>
      <c r="WJ9" s="146">
        <f t="shared" si="38"/>
        <v>0</v>
      </c>
      <c r="WK9" s="146">
        <f t="shared" si="38"/>
        <v>0</v>
      </c>
      <c r="WL9" s="146">
        <f t="shared" si="38"/>
        <v>0</v>
      </c>
      <c r="WM9" s="146">
        <f t="shared" si="38"/>
        <v>0</v>
      </c>
      <c r="WN9" s="146">
        <f t="shared" si="38"/>
        <v>0</v>
      </c>
      <c r="WO9" s="146">
        <f t="shared" si="38"/>
        <v>0</v>
      </c>
      <c r="WP9" s="146">
        <f t="shared" si="38"/>
        <v>0</v>
      </c>
      <c r="WQ9" s="146">
        <f t="shared" si="38"/>
        <v>0</v>
      </c>
      <c r="WR9" s="146">
        <f t="shared" si="38"/>
        <v>0</v>
      </c>
      <c r="WS9" s="146">
        <f t="shared" si="38"/>
        <v>0</v>
      </c>
      <c r="WT9" s="146">
        <f t="shared" si="38"/>
        <v>0</v>
      </c>
      <c r="WU9" s="146">
        <f t="shared" ref="WU9:ZF9" si="39">SUBTOTAL(9, WU12:WU9880)</f>
        <v>0</v>
      </c>
      <c r="WV9" s="146">
        <f t="shared" si="39"/>
        <v>0</v>
      </c>
      <c r="WW9" s="146">
        <f t="shared" si="39"/>
        <v>0</v>
      </c>
      <c r="WX9" s="146">
        <f t="shared" si="39"/>
        <v>0</v>
      </c>
      <c r="WY9" s="146">
        <f t="shared" si="39"/>
        <v>0</v>
      </c>
      <c r="WZ9" s="146">
        <f t="shared" si="39"/>
        <v>0</v>
      </c>
      <c r="XA9" s="146">
        <f t="shared" si="39"/>
        <v>0</v>
      </c>
      <c r="XB9" s="146">
        <f t="shared" si="39"/>
        <v>0</v>
      </c>
      <c r="XC9" s="146">
        <f t="shared" si="39"/>
        <v>0</v>
      </c>
      <c r="XD9" s="146">
        <f t="shared" si="39"/>
        <v>0</v>
      </c>
      <c r="XE9" s="146">
        <f t="shared" si="39"/>
        <v>0</v>
      </c>
      <c r="XF9" s="146">
        <f t="shared" si="39"/>
        <v>0</v>
      </c>
      <c r="XG9" s="146">
        <f t="shared" si="39"/>
        <v>0</v>
      </c>
      <c r="XH9" s="146">
        <f t="shared" si="39"/>
        <v>0</v>
      </c>
      <c r="XI9" s="146">
        <f t="shared" si="39"/>
        <v>0</v>
      </c>
      <c r="XJ9" s="146">
        <f t="shared" si="39"/>
        <v>0</v>
      </c>
      <c r="XK9" s="146">
        <f t="shared" si="39"/>
        <v>0</v>
      </c>
      <c r="XL9" s="146">
        <f t="shared" si="39"/>
        <v>0</v>
      </c>
      <c r="XM9" s="146">
        <f t="shared" si="39"/>
        <v>0</v>
      </c>
      <c r="XN9" s="146">
        <f t="shared" si="39"/>
        <v>0</v>
      </c>
      <c r="XO9" s="146">
        <f t="shared" si="39"/>
        <v>0</v>
      </c>
      <c r="XP9" s="146">
        <f t="shared" si="39"/>
        <v>0</v>
      </c>
      <c r="XQ9" s="146">
        <f t="shared" si="39"/>
        <v>0</v>
      </c>
      <c r="XR9" s="146">
        <f t="shared" si="39"/>
        <v>0</v>
      </c>
      <c r="XS9" s="146">
        <f t="shared" si="39"/>
        <v>0</v>
      </c>
      <c r="XT9" s="146">
        <f t="shared" si="39"/>
        <v>0</v>
      </c>
      <c r="XU9" s="146">
        <f t="shared" si="39"/>
        <v>0</v>
      </c>
      <c r="XV9" s="146">
        <f t="shared" si="39"/>
        <v>0</v>
      </c>
      <c r="XW9" s="146">
        <f t="shared" si="39"/>
        <v>0</v>
      </c>
      <c r="XX9" s="146">
        <f t="shared" si="39"/>
        <v>0</v>
      </c>
      <c r="XY9" s="146">
        <f t="shared" si="39"/>
        <v>0</v>
      </c>
      <c r="XZ9" s="146">
        <f t="shared" si="39"/>
        <v>0</v>
      </c>
      <c r="YA9" s="146">
        <f t="shared" si="39"/>
        <v>0</v>
      </c>
      <c r="YB9" s="146">
        <f t="shared" si="39"/>
        <v>0</v>
      </c>
      <c r="YC9" s="146">
        <f t="shared" si="39"/>
        <v>0</v>
      </c>
      <c r="YD9" s="146">
        <f t="shared" si="39"/>
        <v>0</v>
      </c>
      <c r="YE9" s="146">
        <f t="shared" si="39"/>
        <v>0</v>
      </c>
      <c r="YF9" s="146">
        <f t="shared" si="39"/>
        <v>0</v>
      </c>
      <c r="YG9" s="146">
        <f t="shared" si="39"/>
        <v>0</v>
      </c>
      <c r="YH9" s="146">
        <f t="shared" si="39"/>
        <v>0</v>
      </c>
      <c r="YI9" s="146">
        <f t="shared" si="39"/>
        <v>0</v>
      </c>
      <c r="YJ9" s="146">
        <f t="shared" si="39"/>
        <v>0</v>
      </c>
      <c r="YK9" s="146">
        <f t="shared" si="39"/>
        <v>0</v>
      </c>
      <c r="YL9" s="146">
        <f t="shared" si="39"/>
        <v>0</v>
      </c>
      <c r="YM9" s="146">
        <f t="shared" si="39"/>
        <v>0</v>
      </c>
      <c r="YN9" s="146">
        <f t="shared" si="39"/>
        <v>0</v>
      </c>
      <c r="YO9" s="146">
        <f t="shared" si="39"/>
        <v>0</v>
      </c>
      <c r="YP9" s="146">
        <f t="shared" si="39"/>
        <v>0</v>
      </c>
      <c r="YQ9" s="146">
        <f t="shared" si="39"/>
        <v>0</v>
      </c>
      <c r="YR9" s="146">
        <f t="shared" si="39"/>
        <v>0</v>
      </c>
      <c r="YS9" s="146">
        <f t="shared" si="39"/>
        <v>0</v>
      </c>
      <c r="YT9" s="146">
        <f t="shared" si="39"/>
        <v>0</v>
      </c>
      <c r="YU9" s="146">
        <f t="shared" si="39"/>
        <v>0</v>
      </c>
      <c r="YV9" s="146">
        <f t="shared" si="39"/>
        <v>0</v>
      </c>
      <c r="YW9" s="146">
        <f t="shared" si="39"/>
        <v>0</v>
      </c>
      <c r="YX9" s="146">
        <f t="shared" si="39"/>
        <v>0</v>
      </c>
      <c r="YY9" s="146">
        <f t="shared" si="39"/>
        <v>0</v>
      </c>
      <c r="YZ9" s="146">
        <f t="shared" si="39"/>
        <v>0</v>
      </c>
      <c r="ZA9" s="146">
        <f t="shared" si="39"/>
        <v>0</v>
      </c>
      <c r="ZB9" s="146">
        <f t="shared" si="39"/>
        <v>0</v>
      </c>
      <c r="ZC9" s="146">
        <f t="shared" si="39"/>
        <v>0</v>
      </c>
      <c r="ZD9" s="146">
        <f t="shared" si="39"/>
        <v>0</v>
      </c>
      <c r="ZE9" s="146">
        <f t="shared" si="39"/>
        <v>0</v>
      </c>
      <c r="ZF9" s="146">
        <f t="shared" si="39"/>
        <v>0</v>
      </c>
      <c r="ZG9" s="146">
        <f t="shared" ref="ZG9:ABR9" si="40">SUBTOTAL(9, ZG12:ZG9880)</f>
        <v>0</v>
      </c>
      <c r="ZH9" s="146">
        <f t="shared" si="40"/>
        <v>0</v>
      </c>
      <c r="ZI9" s="146">
        <f t="shared" si="40"/>
        <v>0</v>
      </c>
      <c r="ZJ9" s="146">
        <f t="shared" si="40"/>
        <v>0</v>
      </c>
      <c r="ZK9" s="146">
        <f t="shared" si="40"/>
        <v>0</v>
      </c>
      <c r="ZL9" s="146">
        <f t="shared" si="40"/>
        <v>0</v>
      </c>
      <c r="ZM9" s="146">
        <f t="shared" si="40"/>
        <v>0</v>
      </c>
      <c r="ZN9" s="146">
        <f t="shared" si="40"/>
        <v>0</v>
      </c>
      <c r="ZO9" s="146">
        <f t="shared" si="40"/>
        <v>0</v>
      </c>
      <c r="ZP9" s="146">
        <f t="shared" si="40"/>
        <v>0</v>
      </c>
      <c r="ZQ9" s="146">
        <f t="shared" si="40"/>
        <v>0</v>
      </c>
      <c r="ZR9" s="146">
        <f t="shared" si="40"/>
        <v>0</v>
      </c>
      <c r="ZS9" s="146">
        <f t="shared" si="40"/>
        <v>0</v>
      </c>
      <c r="ZT9" s="146">
        <f t="shared" si="40"/>
        <v>0</v>
      </c>
      <c r="ZU9" s="146">
        <f t="shared" si="40"/>
        <v>0</v>
      </c>
      <c r="ZV9" s="146">
        <f t="shared" si="40"/>
        <v>0</v>
      </c>
      <c r="ZW9" s="146">
        <f t="shared" si="40"/>
        <v>0</v>
      </c>
      <c r="ZX9" s="146">
        <f t="shared" si="40"/>
        <v>0</v>
      </c>
      <c r="ZY9" s="146">
        <f t="shared" si="40"/>
        <v>0</v>
      </c>
      <c r="ZZ9" s="146">
        <f t="shared" si="40"/>
        <v>0</v>
      </c>
      <c r="AAA9" s="146">
        <f t="shared" si="40"/>
        <v>0</v>
      </c>
      <c r="AAB9" s="146">
        <f t="shared" si="40"/>
        <v>0</v>
      </c>
      <c r="AAC9" s="146">
        <f t="shared" si="40"/>
        <v>0</v>
      </c>
      <c r="AAD9" s="146">
        <f t="shared" si="40"/>
        <v>0</v>
      </c>
      <c r="AAE9" s="146">
        <f t="shared" si="40"/>
        <v>0</v>
      </c>
      <c r="AAF9" s="146">
        <f t="shared" si="40"/>
        <v>0</v>
      </c>
      <c r="AAG9" s="146">
        <f t="shared" si="40"/>
        <v>0</v>
      </c>
      <c r="AAH9" s="146">
        <f t="shared" si="40"/>
        <v>0</v>
      </c>
      <c r="AAI9" s="146">
        <f t="shared" si="40"/>
        <v>0</v>
      </c>
      <c r="AAJ9" s="146">
        <f t="shared" si="40"/>
        <v>0</v>
      </c>
      <c r="AAK9" s="146">
        <f t="shared" si="40"/>
        <v>0</v>
      </c>
      <c r="AAL9" s="146">
        <f t="shared" si="40"/>
        <v>0</v>
      </c>
      <c r="AAM9" s="146">
        <f t="shared" si="40"/>
        <v>0</v>
      </c>
      <c r="AAN9" s="146">
        <f t="shared" si="40"/>
        <v>0</v>
      </c>
      <c r="AAO9" s="146">
        <f t="shared" si="40"/>
        <v>0</v>
      </c>
      <c r="AAP9" s="146">
        <f t="shared" si="40"/>
        <v>0</v>
      </c>
      <c r="AAQ9" s="146">
        <f t="shared" si="40"/>
        <v>0</v>
      </c>
      <c r="AAR9" s="146">
        <f t="shared" si="40"/>
        <v>0</v>
      </c>
      <c r="AAS9" s="146">
        <f t="shared" si="40"/>
        <v>0</v>
      </c>
      <c r="AAT9" s="146">
        <f t="shared" si="40"/>
        <v>0</v>
      </c>
      <c r="AAU9" s="146">
        <f t="shared" si="40"/>
        <v>0</v>
      </c>
      <c r="AAV9" s="146">
        <f t="shared" si="40"/>
        <v>0</v>
      </c>
      <c r="AAW9" s="146">
        <f t="shared" si="40"/>
        <v>0</v>
      </c>
      <c r="AAX9" s="146">
        <f t="shared" si="40"/>
        <v>0</v>
      </c>
      <c r="AAY9" s="146">
        <f t="shared" si="40"/>
        <v>0</v>
      </c>
      <c r="AAZ9" s="146">
        <f t="shared" si="40"/>
        <v>0</v>
      </c>
      <c r="ABA9" s="146">
        <f t="shared" si="40"/>
        <v>0</v>
      </c>
      <c r="ABB9" s="146">
        <f t="shared" si="40"/>
        <v>0</v>
      </c>
      <c r="ABC9" s="146">
        <f t="shared" si="40"/>
        <v>0</v>
      </c>
      <c r="ABD9" s="146">
        <f t="shared" si="40"/>
        <v>0</v>
      </c>
      <c r="ABE9" s="146">
        <f t="shared" si="40"/>
        <v>0</v>
      </c>
      <c r="ABF9" s="146">
        <f t="shared" si="40"/>
        <v>0</v>
      </c>
      <c r="ABG9" s="146">
        <f t="shared" si="40"/>
        <v>0</v>
      </c>
      <c r="ABH9" s="146">
        <f t="shared" si="40"/>
        <v>0</v>
      </c>
      <c r="ABI9" s="146">
        <f t="shared" si="40"/>
        <v>0</v>
      </c>
      <c r="ABJ9" s="146">
        <f t="shared" si="40"/>
        <v>0</v>
      </c>
      <c r="ABK9" s="146">
        <f t="shared" si="40"/>
        <v>0</v>
      </c>
      <c r="ABL9" s="146">
        <f t="shared" si="40"/>
        <v>0</v>
      </c>
      <c r="ABM9" s="146">
        <f t="shared" si="40"/>
        <v>0</v>
      </c>
      <c r="ABN9" s="146">
        <f t="shared" si="40"/>
        <v>0</v>
      </c>
      <c r="ABO9" s="146">
        <f t="shared" si="40"/>
        <v>0</v>
      </c>
      <c r="ABP9" s="146">
        <f t="shared" si="40"/>
        <v>0</v>
      </c>
      <c r="ABQ9" s="146">
        <f t="shared" si="40"/>
        <v>0</v>
      </c>
      <c r="ABR9" s="146">
        <f t="shared" si="40"/>
        <v>0</v>
      </c>
      <c r="ABS9" s="146">
        <f t="shared" ref="ABS9:AED9" si="41">SUBTOTAL(9, ABS12:ABS9880)</f>
        <v>0</v>
      </c>
      <c r="ABT9" s="146">
        <f t="shared" si="41"/>
        <v>0</v>
      </c>
      <c r="ABU9" s="146">
        <f t="shared" si="41"/>
        <v>0</v>
      </c>
      <c r="ABV9" s="146">
        <f t="shared" si="41"/>
        <v>0</v>
      </c>
      <c r="ABW9" s="146">
        <f t="shared" si="41"/>
        <v>0</v>
      </c>
      <c r="ABX9" s="146">
        <f t="shared" si="41"/>
        <v>0</v>
      </c>
      <c r="ABY9" s="146">
        <f t="shared" si="41"/>
        <v>0</v>
      </c>
      <c r="ABZ9" s="146">
        <f t="shared" si="41"/>
        <v>0</v>
      </c>
      <c r="ACA9" s="146">
        <f t="shared" si="41"/>
        <v>0</v>
      </c>
      <c r="ACB9" s="146">
        <f t="shared" si="41"/>
        <v>0</v>
      </c>
      <c r="ACC9" s="146">
        <f t="shared" si="41"/>
        <v>0</v>
      </c>
      <c r="ACD9" s="146">
        <f t="shared" si="41"/>
        <v>0</v>
      </c>
      <c r="ACE9" s="146">
        <f t="shared" si="41"/>
        <v>0</v>
      </c>
      <c r="ACF9" s="146">
        <f t="shared" si="41"/>
        <v>0</v>
      </c>
      <c r="ACG9" s="146">
        <f t="shared" si="41"/>
        <v>0</v>
      </c>
      <c r="ACH9" s="146">
        <f t="shared" si="41"/>
        <v>0</v>
      </c>
      <c r="ACI9" s="146">
        <f t="shared" si="41"/>
        <v>0</v>
      </c>
      <c r="ACJ9" s="146">
        <f t="shared" si="41"/>
        <v>0</v>
      </c>
      <c r="ACK9" s="146">
        <f t="shared" si="41"/>
        <v>0</v>
      </c>
      <c r="ACL9" s="146">
        <f t="shared" si="41"/>
        <v>0</v>
      </c>
      <c r="ACM9" s="146">
        <f t="shared" si="41"/>
        <v>0</v>
      </c>
      <c r="ACN9" s="146">
        <f t="shared" si="41"/>
        <v>0</v>
      </c>
      <c r="ACO9" s="146">
        <f t="shared" si="41"/>
        <v>0</v>
      </c>
      <c r="ACP9" s="146">
        <f t="shared" si="41"/>
        <v>0</v>
      </c>
      <c r="ACQ9" s="146">
        <f t="shared" si="41"/>
        <v>0</v>
      </c>
      <c r="ACR9" s="146">
        <f t="shared" si="41"/>
        <v>0</v>
      </c>
      <c r="ACS9" s="146">
        <f t="shared" si="41"/>
        <v>0</v>
      </c>
      <c r="ACT9" s="146">
        <f t="shared" si="41"/>
        <v>0</v>
      </c>
      <c r="ACU9" s="146">
        <f t="shared" si="41"/>
        <v>0</v>
      </c>
      <c r="ACV9" s="146">
        <f t="shared" si="41"/>
        <v>0</v>
      </c>
      <c r="ACW9" s="146">
        <f t="shared" si="41"/>
        <v>0</v>
      </c>
      <c r="ACX9" s="146">
        <f t="shared" si="41"/>
        <v>0</v>
      </c>
      <c r="ACY9" s="146">
        <f t="shared" si="41"/>
        <v>0</v>
      </c>
      <c r="ACZ9" s="146">
        <f t="shared" si="41"/>
        <v>0</v>
      </c>
      <c r="ADA9" s="146">
        <f t="shared" si="41"/>
        <v>0</v>
      </c>
      <c r="ADB9" s="146">
        <f t="shared" si="41"/>
        <v>0</v>
      </c>
      <c r="ADC9" s="146">
        <f t="shared" si="41"/>
        <v>0</v>
      </c>
      <c r="ADD9" s="146">
        <f t="shared" si="41"/>
        <v>0</v>
      </c>
      <c r="ADE9" s="146">
        <f t="shared" si="41"/>
        <v>0</v>
      </c>
      <c r="ADF9" s="146">
        <f t="shared" si="41"/>
        <v>0</v>
      </c>
      <c r="ADG9" s="146">
        <f t="shared" si="41"/>
        <v>0</v>
      </c>
      <c r="ADH9" s="146">
        <f t="shared" si="41"/>
        <v>0</v>
      </c>
      <c r="ADI9" s="146">
        <f t="shared" si="41"/>
        <v>0</v>
      </c>
      <c r="ADJ9" s="146">
        <f t="shared" si="41"/>
        <v>0</v>
      </c>
      <c r="ADK9" s="146">
        <f t="shared" si="41"/>
        <v>0</v>
      </c>
      <c r="ADL9" s="146">
        <f t="shared" si="41"/>
        <v>0</v>
      </c>
      <c r="ADM9" s="146">
        <f t="shared" si="41"/>
        <v>0</v>
      </c>
      <c r="ADN9" s="146">
        <f t="shared" si="41"/>
        <v>0</v>
      </c>
      <c r="ADO9" s="146">
        <f t="shared" si="41"/>
        <v>0</v>
      </c>
      <c r="ADP9" s="146">
        <f t="shared" si="41"/>
        <v>0</v>
      </c>
      <c r="ADQ9" s="146">
        <f t="shared" si="41"/>
        <v>0</v>
      </c>
      <c r="ADR9" s="146">
        <f t="shared" si="41"/>
        <v>0</v>
      </c>
      <c r="ADS9" s="146">
        <f t="shared" si="41"/>
        <v>0</v>
      </c>
      <c r="ADT9" s="146">
        <f t="shared" si="41"/>
        <v>0</v>
      </c>
      <c r="ADU9" s="146">
        <f t="shared" si="41"/>
        <v>0</v>
      </c>
      <c r="ADV9" s="146">
        <f t="shared" si="41"/>
        <v>0</v>
      </c>
      <c r="ADW9" s="146">
        <f t="shared" si="41"/>
        <v>0</v>
      </c>
      <c r="ADX9" s="146">
        <f t="shared" si="41"/>
        <v>0</v>
      </c>
      <c r="ADY9" s="146">
        <f t="shared" si="41"/>
        <v>0</v>
      </c>
      <c r="ADZ9" s="146">
        <f t="shared" si="41"/>
        <v>0</v>
      </c>
      <c r="AEA9" s="146">
        <f t="shared" si="41"/>
        <v>0</v>
      </c>
      <c r="AEB9" s="146">
        <f t="shared" si="41"/>
        <v>0</v>
      </c>
      <c r="AEC9" s="146">
        <f t="shared" si="41"/>
        <v>0</v>
      </c>
      <c r="AED9" s="146">
        <f t="shared" si="41"/>
        <v>0</v>
      </c>
      <c r="AEE9" s="146">
        <f t="shared" ref="AEE9:AGP9" si="42">SUBTOTAL(9, AEE12:AEE9880)</f>
        <v>0</v>
      </c>
      <c r="AEF9" s="146">
        <f t="shared" si="42"/>
        <v>0</v>
      </c>
      <c r="AEG9" s="146">
        <f t="shared" si="42"/>
        <v>0</v>
      </c>
      <c r="AEH9" s="146">
        <f t="shared" si="42"/>
        <v>0</v>
      </c>
      <c r="AEI9" s="146">
        <f t="shared" si="42"/>
        <v>0</v>
      </c>
      <c r="AEJ9" s="146">
        <f t="shared" si="42"/>
        <v>0</v>
      </c>
      <c r="AEK9" s="146">
        <f t="shared" si="42"/>
        <v>0</v>
      </c>
      <c r="AEL9" s="146">
        <f t="shared" si="42"/>
        <v>0</v>
      </c>
      <c r="AEM9" s="146">
        <f t="shared" si="42"/>
        <v>0</v>
      </c>
      <c r="AEN9" s="146">
        <f t="shared" si="42"/>
        <v>0</v>
      </c>
      <c r="AEO9" s="146">
        <f t="shared" si="42"/>
        <v>0</v>
      </c>
      <c r="AEP9" s="146">
        <f t="shared" si="42"/>
        <v>0</v>
      </c>
      <c r="AEQ9" s="146">
        <f t="shared" si="42"/>
        <v>0</v>
      </c>
      <c r="AER9" s="146">
        <f t="shared" si="42"/>
        <v>0</v>
      </c>
      <c r="AES9" s="146">
        <f t="shared" si="42"/>
        <v>0</v>
      </c>
      <c r="AET9" s="146">
        <f t="shared" si="42"/>
        <v>0</v>
      </c>
      <c r="AEU9" s="146">
        <f t="shared" si="42"/>
        <v>0</v>
      </c>
      <c r="AEV9" s="146">
        <f t="shared" si="42"/>
        <v>0</v>
      </c>
      <c r="AEW9" s="146">
        <f t="shared" si="42"/>
        <v>0</v>
      </c>
      <c r="AEX9" s="146">
        <f t="shared" si="42"/>
        <v>0</v>
      </c>
      <c r="AEY9" s="146">
        <f t="shared" si="42"/>
        <v>0</v>
      </c>
      <c r="AEZ9" s="146">
        <f t="shared" si="42"/>
        <v>0</v>
      </c>
      <c r="AFA9" s="146">
        <f t="shared" si="42"/>
        <v>0</v>
      </c>
      <c r="AFB9" s="146">
        <f t="shared" si="42"/>
        <v>0</v>
      </c>
      <c r="AFC9" s="146">
        <f t="shared" si="42"/>
        <v>0</v>
      </c>
      <c r="AFD9" s="146">
        <f t="shared" si="42"/>
        <v>0</v>
      </c>
      <c r="AFE9" s="146">
        <f t="shared" si="42"/>
        <v>0</v>
      </c>
      <c r="AFF9" s="146">
        <f t="shared" si="42"/>
        <v>0</v>
      </c>
      <c r="AFG9" s="146">
        <f t="shared" si="42"/>
        <v>0</v>
      </c>
      <c r="AFH9" s="146">
        <f t="shared" si="42"/>
        <v>0</v>
      </c>
      <c r="AFI9" s="146">
        <f t="shared" si="42"/>
        <v>0</v>
      </c>
      <c r="AFJ9" s="146">
        <f t="shared" si="42"/>
        <v>0</v>
      </c>
      <c r="AFK9" s="146">
        <f t="shared" si="42"/>
        <v>0</v>
      </c>
      <c r="AFL9" s="146">
        <f t="shared" si="42"/>
        <v>0</v>
      </c>
      <c r="AFM9" s="146">
        <f t="shared" si="42"/>
        <v>0</v>
      </c>
      <c r="AFN9" s="146">
        <f t="shared" si="42"/>
        <v>0</v>
      </c>
      <c r="AFO9" s="146">
        <f t="shared" si="42"/>
        <v>0</v>
      </c>
      <c r="AFP9" s="146">
        <f t="shared" si="42"/>
        <v>0</v>
      </c>
      <c r="AFQ9" s="146">
        <f t="shared" si="42"/>
        <v>0</v>
      </c>
      <c r="AFR9" s="146">
        <f t="shared" si="42"/>
        <v>0</v>
      </c>
      <c r="AFS9" s="146">
        <f t="shared" si="42"/>
        <v>0</v>
      </c>
      <c r="AFT9" s="146">
        <f t="shared" si="42"/>
        <v>0</v>
      </c>
      <c r="AFU9" s="146">
        <f t="shared" si="42"/>
        <v>0</v>
      </c>
      <c r="AFV9" s="146">
        <f t="shared" si="42"/>
        <v>0</v>
      </c>
      <c r="AFW9" s="146">
        <f t="shared" si="42"/>
        <v>0</v>
      </c>
      <c r="AFX9" s="146">
        <f t="shared" si="42"/>
        <v>0</v>
      </c>
      <c r="AFY9" s="146">
        <f t="shared" si="42"/>
        <v>0</v>
      </c>
      <c r="AFZ9" s="146">
        <f t="shared" si="42"/>
        <v>0</v>
      </c>
      <c r="AGA9" s="146">
        <f t="shared" si="42"/>
        <v>0</v>
      </c>
      <c r="AGB9" s="146">
        <f t="shared" si="42"/>
        <v>0</v>
      </c>
      <c r="AGC9" s="146">
        <f t="shared" si="42"/>
        <v>0</v>
      </c>
      <c r="AGD9" s="146">
        <f t="shared" si="42"/>
        <v>0</v>
      </c>
      <c r="AGE9" s="146">
        <f t="shared" si="42"/>
        <v>0</v>
      </c>
      <c r="AGF9" s="146">
        <f t="shared" si="42"/>
        <v>0</v>
      </c>
      <c r="AGG9" s="146">
        <f t="shared" si="42"/>
        <v>0</v>
      </c>
      <c r="AGH9" s="146">
        <f t="shared" si="42"/>
        <v>0</v>
      </c>
      <c r="AGI9" s="146">
        <f t="shared" si="42"/>
        <v>0</v>
      </c>
      <c r="AGJ9" s="146">
        <f t="shared" si="42"/>
        <v>0</v>
      </c>
      <c r="AGK9" s="146">
        <f t="shared" si="42"/>
        <v>0</v>
      </c>
      <c r="AGL9" s="146">
        <f t="shared" si="42"/>
        <v>0</v>
      </c>
      <c r="AGM9" s="146">
        <f t="shared" si="42"/>
        <v>0</v>
      </c>
      <c r="AGN9" s="146">
        <f t="shared" si="42"/>
        <v>0</v>
      </c>
      <c r="AGO9" s="146">
        <f t="shared" si="42"/>
        <v>0</v>
      </c>
      <c r="AGP9" s="146">
        <f t="shared" si="42"/>
        <v>0</v>
      </c>
      <c r="AGQ9" s="146">
        <f t="shared" ref="AGQ9:AJB9" si="43">SUBTOTAL(9, AGQ12:AGQ9880)</f>
        <v>0</v>
      </c>
      <c r="AGR9" s="146">
        <f t="shared" si="43"/>
        <v>0</v>
      </c>
      <c r="AGS9" s="146">
        <f t="shared" si="43"/>
        <v>0</v>
      </c>
      <c r="AGT9" s="146">
        <f t="shared" si="43"/>
        <v>0</v>
      </c>
      <c r="AGU9" s="146">
        <f t="shared" si="43"/>
        <v>0</v>
      </c>
      <c r="AGV9" s="146">
        <f t="shared" si="43"/>
        <v>0</v>
      </c>
      <c r="AGW9" s="146">
        <f t="shared" si="43"/>
        <v>0</v>
      </c>
      <c r="AGX9" s="146">
        <f t="shared" si="43"/>
        <v>0</v>
      </c>
      <c r="AGY9" s="146">
        <f t="shared" si="43"/>
        <v>0</v>
      </c>
      <c r="AGZ9" s="146">
        <f t="shared" si="43"/>
        <v>0</v>
      </c>
      <c r="AHA9" s="146">
        <f t="shared" si="43"/>
        <v>0</v>
      </c>
      <c r="AHB9" s="146">
        <f t="shared" si="43"/>
        <v>0</v>
      </c>
      <c r="AHC9" s="146">
        <f t="shared" si="43"/>
        <v>0</v>
      </c>
      <c r="AHD9" s="146">
        <f t="shared" si="43"/>
        <v>0</v>
      </c>
      <c r="AHE9" s="146">
        <f t="shared" si="43"/>
        <v>0</v>
      </c>
      <c r="AHF9" s="146">
        <f t="shared" si="43"/>
        <v>0</v>
      </c>
      <c r="AHG9" s="146">
        <f t="shared" si="43"/>
        <v>0</v>
      </c>
      <c r="AHH9" s="146">
        <f t="shared" si="43"/>
        <v>0</v>
      </c>
      <c r="AHI9" s="146">
        <f t="shared" si="43"/>
        <v>0</v>
      </c>
      <c r="AHJ9" s="146">
        <f t="shared" si="43"/>
        <v>0</v>
      </c>
      <c r="AHK9" s="146">
        <f t="shared" si="43"/>
        <v>0</v>
      </c>
      <c r="AHL9" s="146">
        <f t="shared" si="43"/>
        <v>0</v>
      </c>
      <c r="AHM9" s="146">
        <f t="shared" si="43"/>
        <v>0</v>
      </c>
      <c r="AHN9" s="146">
        <f t="shared" si="43"/>
        <v>0</v>
      </c>
      <c r="AHO9" s="146">
        <f t="shared" si="43"/>
        <v>0</v>
      </c>
      <c r="AHP9" s="146">
        <f t="shared" si="43"/>
        <v>0</v>
      </c>
      <c r="AHQ9" s="146">
        <f t="shared" si="43"/>
        <v>0</v>
      </c>
      <c r="AHR9" s="146">
        <f t="shared" si="43"/>
        <v>0</v>
      </c>
      <c r="AHS9" s="146">
        <f t="shared" si="43"/>
        <v>0</v>
      </c>
      <c r="AHT9" s="146">
        <f t="shared" si="43"/>
        <v>0</v>
      </c>
      <c r="AHU9" s="146">
        <f t="shared" si="43"/>
        <v>0</v>
      </c>
      <c r="AHV9" s="146">
        <f t="shared" si="43"/>
        <v>0</v>
      </c>
      <c r="AHW9" s="146">
        <f t="shared" si="43"/>
        <v>0</v>
      </c>
      <c r="AHX9" s="146">
        <f t="shared" si="43"/>
        <v>0</v>
      </c>
      <c r="AHY9" s="146">
        <f t="shared" si="43"/>
        <v>0</v>
      </c>
      <c r="AHZ9" s="146">
        <f t="shared" si="43"/>
        <v>0</v>
      </c>
      <c r="AIA9" s="146">
        <f t="shared" si="43"/>
        <v>0</v>
      </c>
      <c r="AIB9" s="146">
        <f t="shared" si="43"/>
        <v>0</v>
      </c>
      <c r="AIC9" s="146">
        <f t="shared" si="43"/>
        <v>0</v>
      </c>
      <c r="AID9" s="146">
        <f t="shared" si="43"/>
        <v>0</v>
      </c>
      <c r="AIE9" s="146">
        <f t="shared" si="43"/>
        <v>0</v>
      </c>
      <c r="AIF9" s="146">
        <f t="shared" si="43"/>
        <v>0</v>
      </c>
      <c r="AIG9" s="146">
        <f t="shared" si="43"/>
        <v>0</v>
      </c>
      <c r="AIH9" s="146">
        <f t="shared" si="43"/>
        <v>0</v>
      </c>
      <c r="AII9" s="146">
        <f t="shared" si="43"/>
        <v>0</v>
      </c>
      <c r="AIJ9" s="146">
        <f t="shared" si="43"/>
        <v>0</v>
      </c>
      <c r="AIK9" s="146">
        <f t="shared" si="43"/>
        <v>0</v>
      </c>
      <c r="AIL9" s="146">
        <f t="shared" si="43"/>
        <v>0</v>
      </c>
      <c r="AIM9" s="146">
        <f t="shared" si="43"/>
        <v>0</v>
      </c>
      <c r="AIN9" s="146">
        <f t="shared" si="43"/>
        <v>0</v>
      </c>
      <c r="AIO9" s="146">
        <f t="shared" si="43"/>
        <v>0</v>
      </c>
      <c r="AIP9" s="146">
        <f t="shared" si="43"/>
        <v>0</v>
      </c>
      <c r="AIQ9" s="146">
        <f t="shared" si="43"/>
        <v>0</v>
      </c>
      <c r="AIR9" s="146">
        <f t="shared" si="43"/>
        <v>0</v>
      </c>
      <c r="AIS9" s="146">
        <f t="shared" si="43"/>
        <v>0</v>
      </c>
      <c r="AIT9" s="146">
        <f t="shared" si="43"/>
        <v>0</v>
      </c>
      <c r="AIU9" s="146">
        <f t="shared" si="43"/>
        <v>0</v>
      </c>
      <c r="AIV9" s="146">
        <f t="shared" si="43"/>
        <v>0</v>
      </c>
      <c r="AIW9" s="146">
        <f t="shared" si="43"/>
        <v>0</v>
      </c>
      <c r="AIX9" s="146">
        <f t="shared" si="43"/>
        <v>0</v>
      </c>
      <c r="AIY9" s="146">
        <f t="shared" si="43"/>
        <v>0</v>
      </c>
      <c r="AIZ9" s="146">
        <f t="shared" si="43"/>
        <v>0</v>
      </c>
      <c r="AJA9" s="146">
        <f t="shared" si="43"/>
        <v>0</v>
      </c>
      <c r="AJB9" s="146">
        <f t="shared" si="43"/>
        <v>0</v>
      </c>
      <c r="AJC9" s="146">
        <f t="shared" ref="AJC9:ALN9" si="44">SUBTOTAL(9, AJC12:AJC9880)</f>
        <v>0</v>
      </c>
      <c r="AJD9" s="146">
        <f t="shared" si="44"/>
        <v>0</v>
      </c>
      <c r="AJE9" s="146">
        <f t="shared" si="44"/>
        <v>0</v>
      </c>
      <c r="AJF9" s="146">
        <f t="shared" si="44"/>
        <v>0</v>
      </c>
      <c r="AJG9" s="146">
        <f t="shared" si="44"/>
        <v>0</v>
      </c>
      <c r="AJH9" s="146">
        <f t="shared" si="44"/>
        <v>0</v>
      </c>
      <c r="AJI9" s="146">
        <f t="shared" si="44"/>
        <v>0</v>
      </c>
      <c r="AJJ9" s="146">
        <f t="shared" si="44"/>
        <v>0</v>
      </c>
      <c r="AJK9" s="146">
        <f t="shared" si="44"/>
        <v>0</v>
      </c>
      <c r="AJL9" s="146">
        <f t="shared" si="44"/>
        <v>0</v>
      </c>
      <c r="AJM9" s="146">
        <f t="shared" si="44"/>
        <v>0</v>
      </c>
      <c r="AJN9" s="146">
        <f t="shared" si="44"/>
        <v>0</v>
      </c>
      <c r="AJO9" s="146">
        <f t="shared" si="44"/>
        <v>0</v>
      </c>
      <c r="AJP9" s="146">
        <f t="shared" si="44"/>
        <v>0</v>
      </c>
      <c r="AJQ9" s="146">
        <f t="shared" si="44"/>
        <v>0</v>
      </c>
      <c r="AJR9" s="146">
        <f t="shared" si="44"/>
        <v>0</v>
      </c>
      <c r="AJS9" s="146">
        <f t="shared" si="44"/>
        <v>0</v>
      </c>
      <c r="AJT9" s="146">
        <f t="shared" si="44"/>
        <v>0</v>
      </c>
      <c r="AJU9" s="146">
        <f t="shared" si="44"/>
        <v>0</v>
      </c>
      <c r="AJV9" s="146">
        <f t="shared" si="44"/>
        <v>0</v>
      </c>
      <c r="AJW9" s="146">
        <f t="shared" si="44"/>
        <v>0</v>
      </c>
      <c r="AJX9" s="146">
        <f t="shared" si="44"/>
        <v>0</v>
      </c>
      <c r="AJY9" s="146">
        <f t="shared" si="44"/>
        <v>0</v>
      </c>
      <c r="AJZ9" s="146">
        <f t="shared" si="44"/>
        <v>0</v>
      </c>
      <c r="AKA9" s="146">
        <f t="shared" si="44"/>
        <v>0</v>
      </c>
      <c r="AKB9" s="146">
        <f t="shared" si="44"/>
        <v>0</v>
      </c>
      <c r="AKC9" s="146">
        <f t="shared" si="44"/>
        <v>0</v>
      </c>
      <c r="AKD9" s="146">
        <f t="shared" si="44"/>
        <v>0</v>
      </c>
      <c r="AKE9" s="146">
        <f t="shared" si="44"/>
        <v>0</v>
      </c>
      <c r="AKF9" s="146">
        <f t="shared" si="44"/>
        <v>0</v>
      </c>
      <c r="AKG9" s="146">
        <f t="shared" si="44"/>
        <v>0</v>
      </c>
      <c r="AKH9" s="146">
        <f t="shared" si="44"/>
        <v>0</v>
      </c>
      <c r="AKI9" s="146">
        <f t="shared" si="44"/>
        <v>0</v>
      </c>
      <c r="AKJ9" s="146">
        <f t="shared" si="44"/>
        <v>0</v>
      </c>
      <c r="AKK9" s="146">
        <f t="shared" si="44"/>
        <v>0</v>
      </c>
      <c r="AKL9" s="146">
        <f t="shared" si="44"/>
        <v>0</v>
      </c>
      <c r="AKM9" s="146">
        <f t="shared" si="44"/>
        <v>0</v>
      </c>
      <c r="AKN9" s="146">
        <f t="shared" si="44"/>
        <v>0</v>
      </c>
      <c r="AKO9" s="146">
        <f t="shared" si="44"/>
        <v>0</v>
      </c>
      <c r="AKP9" s="146">
        <f t="shared" si="44"/>
        <v>0</v>
      </c>
      <c r="AKQ9" s="146">
        <f t="shared" si="44"/>
        <v>0</v>
      </c>
      <c r="AKR9" s="146">
        <f t="shared" si="44"/>
        <v>0</v>
      </c>
      <c r="AKS9" s="146">
        <f t="shared" si="44"/>
        <v>0</v>
      </c>
      <c r="AKT9" s="146">
        <f t="shared" si="44"/>
        <v>0</v>
      </c>
      <c r="AKU9" s="146">
        <f t="shared" si="44"/>
        <v>0</v>
      </c>
      <c r="AKV9" s="146">
        <f t="shared" si="44"/>
        <v>0</v>
      </c>
      <c r="AKW9" s="146">
        <f t="shared" si="44"/>
        <v>0</v>
      </c>
      <c r="AKX9" s="146">
        <f t="shared" si="44"/>
        <v>0</v>
      </c>
      <c r="AKY9" s="146">
        <f t="shared" si="44"/>
        <v>0</v>
      </c>
      <c r="AKZ9" s="146">
        <f t="shared" si="44"/>
        <v>0</v>
      </c>
      <c r="ALA9" s="146">
        <f t="shared" si="44"/>
        <v>0</v>
      </c>
      <c r="ALB9" s="146">
        <f t="shared" si="44"/>
        <v>0</v>
      </c>
      <c r="ALC9" s="146">
        <f t="shared" si="44"/>
        <v>0</v>
      </c>
      <c r="ALD9" s="146">
        <f t="shared" si="44"/>
        <v>0</v>
      </c>
      <c r="ALE9" s="146">
        <f t="shared" si="44"/>
        <v>0</v>
      </c>
      <c r="ALF9" s="146">
        <f t="shared" si="44"/>
        <v>0</v>
      </c>
      <c r="ALG9" s="146">
        <f t="shared" si="44"/>
        <v>0</v>
      </c>
      <c r="ALH9" s="146">
        <f t="shared" si="44"/>
        <v>0</v>
      </c>
      <c r="ALI9" s="146">
        <f t="shared" si="44"/>
        <v>0</v>
      </c>
      <c r="ALJ9" s="146">
        <f t="shared" si="44"/>
        <v>0</v>
      </c>
      <c r="ALK9" s="146">
        <f t="shared" si="44"/>
        <v>0</v>
      </c>
      <c r="ALL9" s="146">
        <f t="shared" si="44"/>
        <v>0</v>
      </c>
      <c r="ALM9" s="146">
        <f t="shared" si="44"/>
        <v>0</v>
      </c>
      <c r="ALN9" s="146">
        <f t="shared" si="44"/>
        <v>0</v>
      </c>
      <c r="ALO9" s="146">
        <f t="shared" ref="ALO9:ANZ9" si="45">SUBTOTAL(9, ALO12:ALO9880)</f>
        <v>0</v>
      </c>
      <c r="ALP9" s="146">
        <f t="shared" si="45"/>
        <v>0</v>
      </c>
      <c r="ALQ9" s="146">
        <f t="shared" si="45"/>
        <v>0</v>
      </c>
      <c r="ALR9" s="146">
        <f t="shared" si="45"/>
        <v>0</v>
      </c>
      <c r="ALS9" s="146">
        <f t="shared" si="45"/>
        <v>0</v>
      </c>
      <c r="ALT9" s="146">
        <f t="shared" si="45"/>
        <v>0</v>
      </c>
      <c r="ALU9" s="146">
        <f t="shared" si="45"/>
        <v>0</v>
      </c>
      <c r="ALV9" s="146">
        <f t="shared" si="45"/>
        <v>0</v>
      </c>
      <c r="ALW9" s="146">
        <f t="shared" si="45"/>
        <v>0</v>
      </c>
      <c r="ALX9" s="146">
        <f t="shared" si="45"/>
        <v>0</v>
      </c>
      <c r="ALY9" s="146">
        <f t="shared" si="45"/>
        <v>0</v>
      </c>
      <c r="ALZ9" s="146">
        <f t="shared" si="45"/>
        <v>0</v>
      </c>
      <c r="AMA9" s="146">
        <f t="shared" si="45"/>
        <v>0</v>
      </c>
      <c r="AMB9" s="146">
        <f t="shared" si="45"/>
        <v>0</v>
      </c>
      <c r="AMC9" s="146">
        <f t="shared" si="45"/>
        <v>0</v>
      </c>
      <c r="AMD9" s="146">
        <f t="shared" si="45"/>
        <v>0</v>
      </c>
      <c r="AME9" s="146">
        <f t="shared" si="45"/>
        <v>0</v>
      </c>
      <c r="AMF9" s="146">
        <f t="shared" si="45"/>
        <v>0</v>
      </c>
      <c r="AMG9" s="146">
        <f t="shared" si="45"/>
        <v>0</v>
      </c>
      <c r="AMH9" s="146">
        <f t="shared" si="45"/>
        <v>0</v>
      </c>
      <c r="AMI9" s="146">
        <f t="shared" si="45"/>
        <v>0</v>
      </c>
      <c r="AMJ9" s="146">
        <f t="shared" si="45"/>
        <v>0</v>
      </c>
      <c r="AMK9" s="146">
        <f t="shared" si="45"/>
        <v>0</v>
      </c>
      <c r="AML9" s="146">
        <f t="shared" si="45"/>
        <v>0</v>
      </c>
      <c r="AMM9" s="146">
        <f t="shared" si="45"/>
        <v>0</v>
      </c>
      <c r="AMN9" s="146">
        <f t="shared" si="45"/>
        <v>0</v>
      </c>
      <c r="AMO9" s="146">
        <f t="shared" si="45"/>
        <v>0</v>
      </c>
      <c r="AMP9" s="146">
        <f t="shared" si="45"/>
        <v>0</v>
      </c>
      <c r="AMQ9" s="146">
        <f t="shared" si="45"/>
        <v>0</v>
      </c>
      <c r="AMR9" s="146">
        <f t="shared" si="45"/>
        <v>0</v>
      </c>
      <c r="AMS9" s="146">
        <f t="shared" si="45"/>
        <v>0</v>
      </c>
      <c r="AMT9" s="146">
        <f t="shared" si="45"/>
        <v>0</v>
      </c>
      <c r="AMU9" s="146">
        <f t="shared" si="45"/>
        <v>0</v>
      </c>
      <c r="AMV9" s="146">
        <f t="shared" si="45"/>
        <v>0</v>
      </c>
      <c r="AMW9" s="146">
        <f t="shared" si="45"/>
        <v>0</v>
      </c>
      <c r="AMX9" s="146">
        <f t="shared" si="45"/>
        <v>0</v>
      </c>
      <c r="AMY9" s="146">
        <f t="shared" si="45"/>
        <v>0</v>
      </c>
      <c r="AMZ9" s="146">
        <f t="shared" si="45"/>
        <v>0</v>
      </c>
      <c r="ANA9" s="146">
        <f t="shared" si="45"/>
        <v>0</v>
      </c>
      <c r="ANB9" s="146">
        <f t="shared" si="45"/>
        <v>0</v>
      </c>
      <c r="ANC9" s="146">
        <f t="shared" si="45"/>
        <v>0</v>
      </c>
      <c r="AND9" s="146">
        <f t="shared" si="45"/>
        <v>0</v>
      </c>
      <c r="ANE9" s="146">
        <f t="shared" si="45"/>
        <v>0</v>
      </c>
      <c r="ANF9" s="146">
        <f t="shared" si="45"/>
        <v>0</v>
      </c>
      <c r="ANG9" s="146">
        <f t="shared" si="45"/>
        <v>0</v>
      </c>
      <c r="ANH9" s="146">
        <f t="shared" si="45"/>
        <v>0</v>
      </c>
      <c r="ANI9" s="146">
        <f t="shared" si="45"/>
        <v>0</v>
      </c>
      <c r="ANJ9" s="146">
        <f t="shared" si="45"/>
        <v>0</v>
      </c>
      <c r="ANK9" s="146">
        <f t="shared" si="45"/>
        <v>0</v>
      </c>
      <c r="ANL9" s="146">
        <f t="shared" si="45"/>
        <v>0</v>
      </c>
      <c r="ANM9" s="146">
        <f t="shared" si="45"/>
        <v>0</v>
      </c>
      <c r="ANN9" s="146">
        <f t="shared" si="45"/>
        <v>0</v>
      </c>
      <c r="ANO9" s="146">
        <f t="shared" si="45"/>
        <v>0</v>
      </c>
      <c r="ANP9" s="146">
        <f t="shared" si="45"/>
        <v>0</v>
      </c>
      <c r="ANQ9" s="146">
        <f t="shared" si="45"/>
        <v>0</v>
      </c>
      <c r="ANR9" s="146">
        <f t="shared" si="45"/>
        <v>0</v>
      </c>
      <c r="ANS9" s="146">
        <f t="shared" si="45"/>
        <v>0</v>
      </c>
      <c r="ANT9" s="146">
        <f t="shared" si="45"/>
        <v>0</v>
      </c>
      <c r="ANU9" s="146">
        <f t="shared" si="45"/>
        <v>0</v>
      </c>
      <c r="ANV9" s="146">
        <f t="shared" si="45"/>
        <v>0</v>
      </c>
      <c r="ANW9" s="146">
        <f t="shared" si="45"/>
        <v>0</v>
      </c>
      <c r="ANX9" s="146">
        <f t="shared" si="45"/>
        <v>0</v>
      </c>
      <c r="ANY9" s="146">
        <f t="shared" si="45"/>
        <v>0</v>
      </c>
      <c r="ANZ9" s="146">
        <f t="shared" si="45"/>
        <v>0</v>
      </c>
      <c r="AOA9" s="146">
        <f t="shared" ref="AOA9:AQL9" si="46">SUBTOTAL(9, AOA12:AOA9880)</f>
        <v>0</v>
      </c>
      <c r="AOB9" s="146">
        <f t="shared" si="46"/>
        <v>0</v>
      </c>
      <c r="AOC9" s="146">
        <f t="shared" si="46"/>
        <v>0</v>
      </c>
      <c r="AOD9" s="146">
        <f t="shared" si="46"/>
        <v>0</v>
      </c>
      <c r="AOE9" s="146">
        <f t="shared" si="46"/>
        <v>0</v>
      </c>
      <c r="AOF9" s="146">
        <f t="shared" si="46"/>
        <v>0</v>
      </c>
      <c r="AOG9" s="146">
        <f t="shared" si="46"/>
        <v>0</v>
      </c>
      <c r="AOH9" s="146">
        <f t="shared" si="46"/>
        <v>0</v>
      </c>
      <c r="AOI9" s="146">
        <f t="shared" si="46"/>
        <v>0</v>
      </c>
      <c r="AOJ9" s="146">
        <f t="shared" si="46"/>
        <v>0</v>
      </c>
      <c r="AOK9" s="146">
        <f t="shared" si="46"/>
        <v>0</v>
      </c>
      <c r="AOL9" s="146">
        <f t="shared" si="46"/>
        <v>0</v>
      </c>
      <c r="AOM9" s="146">
        <f t="shared" si="46"/>
        <v>0</v>
      </c>
      <c r="AON9" s="146">
        <f t="shared" si="46"/>
        <v>0</v>
      </c>
      <c r="AOO9" s="146">
        <f t="shared" si="46"/>
        <v>0</v>
      </c>
      <c r="AOP9" s="146">
        <f t="shared" si="46"/>
        <v>0</v>
      </c>
      <c r="AOQ9" s="146">
        <f t="shared" si="46"/>
        <v>0</v>
      </c>
      <c r="AOR9" s="146">
        <f t="shared" si="46"/>
        <v>0</v>
      </c>
      <c r="AOS9" s="146">
        <f t="shared" si="46"/>
        <v>0</v>
      </c>
      <c r="AOT9" s="146">
        <f t="shared" si="46"/>
        <v>0</v>
      </c>
      <c r="AOU9" s="146">
        <f t="shared" si="46"/>
        <v>0</v>
      </c>
      <c r="AOV9" s="146">
        <f t="shared" si="46"/>
        <v>0</v>
      </c>
      <c r="AOW9" s="146">
        <f t="shared" si="46"/>
        <v>0</v>
      </c>
      <c r="AOX9" s="146">
        <f t="shared" si="46"/>
        <v>0</v>
      </c>
      <c r="AOY9" s="146">
        <f t="shared" si="46"/>
        <v>0</v>
      </c>
      <c r="AOZ9" s="146">
        <f t="shared" si="46"/>
        <v>0</v>
      </c>
      <c r="APA9" s="146">
        <f t="shared" si="46"/>
        <v>0</v>
      </c>
      <c r="APB9" s="146">
        <f t="shared" si="46"/>
        <v>0</v>
      </c>
      <c r="APC9" s="146">
        <f t="shared" si="46"/>
        <v>0</v>
      </c>
      <c r="APD9" s="146">
        <f t="shared" si="46"/>
        <v>0</v>
      </c>
      <c r="APE9" s="146">
        <f t="shared" si="46"/>
        <v>0</v>
      </c>
      <c r="APF9" s="146">
        <f t="shared" si="46"/>
        <v>0</v>
      </c>
      <c r="APG9" s="146">
        <f t="shared" si="46"/>
        <v>0</v>
      </c>
      <c r="APH9" s="146">
        <f t="shared" si="46"/>
        <v>0</v>
      </c>
      <c r="API9" s="146">
        <f t="shared" si="46"/>
        <v>0</v>
      </c>
      <c r="APJ9" s="146">
        <f t="shared" si="46"/>
        <v>0</v>
      </c>
      <c r="APK9" s="146">
        <f t="shared" si="46"/>
        <v>0</v>
      </c>
      <c r="APL9" s="146">
        <f t="shared" si="46"/>
        <v>0</v>
      </c>
      <c r="APM9" s="146">
        <f t="shared" si="46"/>
        <v>0</v>
      </c>
      <c r="APN9" s="146">
        <f t="shared" si="46"/>
        <v>0</v>
      </c>
      <c r="APO9" s="146">
        <f t="shared" si="46"/>
        <v>0</v>
      </c>
      <c r="APP9" s="146">
        <f t="shared" si="46"/>
        <v>0</v>
      </c>
      <c r="APQ9" s="146">
        <f t="shared" si="46"/>
        <v>0</v>
      </c>
      <c r="APR9" s="146">
        <f t="shared" si="46"/>
        <v>0</v>
      </c>
      <c r="APS9" s="146">
        <f t="shared" si="46"/>
        <v>0</v>
      </c>
      <c r="APT9" s="146">
        <f t="shared" si="46"/>
        <v>0</v>
      </c>
      <c r="APU9" s="146">
        <f t="shared" si="46"/>
        <v>0</v>
      </c>
      <c r="APV9" s="146">
        <f t="shared" si="46"/>
        <v>0</v>
      </c>
      <c r="APW9" s="146">
        <f t="shared" si="46"/>
        <v>0</v>
      </c>
      <c r="APX9" s="146">
        <f t="shared" si="46"/>
        <v>0</v>
      </c>
      <c r="APY9" s="146">
        <f t="shared" si="46"/>
        <v>0</v>
      </c>
      <c r="APZ9" s="146">
        <f t="shared" si="46"/>
        <v>0</v>
      </c>
      <c r="AQA9" s="146">
        <f t="shared" si="46"/>
        <v>0</v>
      </c>
      <c r="AQB9" s="146">
        <f t="shared" si="46"/>
        <v>0</v>
      </c>
      <c r="AQC9" s="146">
        <f t="shared" si="46"/>
        <v>0</v>
      </c>
      <c r="AQD9" s="146">
        <f t="shared" si="46"/>
        <v>0</v>
      </c>
      <c r="AQE9" s="146">
        <f t="shared" si="46"/>
        <v>0</v>
      </c>
      <c r="AQF9" s="146">
        <f t="shared" si="46"/>
        <v>0</v>
      </c>
      <c r="AQG9" s="146">
        <f t="shared" si="46"/>
        <v>0</v>
      </c>
      <c r="AQH9" s="146">
        <f t="shared" si="46"/>
        <v>0</v>
      </c>
      <c r="AQI9" s="146">
        <f t="shared" si="46"/>
        <v>0</v>
      </c>
      <c r="AQJ9" s="146">
        <f t="shared" si="46"/>
        <v>0</v>
      </c>
      <c r="AQK9" s="146">
        <f t="shared" si="46"/>
        <v>0</v>
      </c>
      <c r="AQL9" s="146">
        <f t="shared" si="46"/>
        <v>0</v>
      </c>
      <c r="AQM9" s="146">
        <f t="shared" ref="AQM9:ASX9" si="47">SUBTOTAL(9, AQM12:AQM9880)</f>
        <v>0</v>
      </c>
      <c r="AQN9" s="146">
        <f t="shared" si="47"/>
        <v>0</v>
      </c>
      <c r="AQO9" s="146">
        <f t="shared" si="47"/>
        <v>0</v>
      </c>
      <c r="AQP9" s="146">
        <f t="shared" si="47"/>
        <v>0</v>
      </c>
      <c r="AQQ9" s="146">
        <f t="shared" si="47"/>
        <v>0</v>
      </c>
      <c r="AQR9" s="146">
        <f t="shared" si="47"/>
        <v>0</v>
      </c>
      <c r="AQS9" s="146">
        <f t="shared" si="47"/>
        <v>0</v>
      </c>
      <c r="AQT9" s="146">
        <f t="shared" si="47"/>
        <v>0</v>
      </c>
      <c r="AQU9" s="146">
        <f t="shared" si="47"/>
        <v>0</v>
      </c>
      <c r="AQV9" s="146">
        <f t="shared" si="47"/>
        <v>0</v>
      </c>
      <c r="AQW9" s="146">
        <f t="shared" si="47"/>
        <v>0</v>
      </c>
      <c r="AQX9" s="146">
        <f t="shared" si="47"/>
        <v>0</v>
      </c>
      <c r="AQY9" s="146">
        <f t="shared" si="47"/>
        <v>0</v>
      </c>
      <c r="AQZ9" s="146">
        <f t="shared" si="47"/>
        <v>0</v>
      </c>
      <c r="ARA9" s="146">
        <f t="shared" si="47"/>
        <v>0</v>
      </c>
      <c r="ARB9" s="146">
        <f t="shared" si="47"/>
        <v>0</v>
      </c>
      <c r="ARC9" s="146">
        <f t="shared" si="47"/>
        <v>0</v>
      </c>
      <c r="ARD9" s="146">
        <f t="shared" si="47"/>
        <v>0</v>
      </c>
      <c r="ARE9" s="146">
        <f t="shared" si="47"/>
        <v>0</v>
      </c>
      <c r="ARF9" s="146">
        <f t="shared" si="47"/>
        <v>0</v>
      </c>
      <c r="ARG9" s="146">
        <f t="shared" si="47"/>
        <v>0</v>
      </c>
      <c r="ARH9" s="146">
        <f t="shared" si="47"/>
        <v>0</v>
      </c>
      <c r="ARI9" s="146">
        <f t="shared" si="47"/>
        <v>0</v>
      </c>
      <c r="ARJ9" s="146">
        <f t="shared" si="47"/>
        <v>0</v>
      </c>
      <c r="ARK9" s="146">
        <f t="shared" si="47"/>
        <v>0</v>
      </c>
      <c r="ARL9" s="146">
        <f t="shared" si="47"/>
        <v>0</v>
      </c>
      <c r="ARM9" s="146">
        <f t="shared" si="47"/>
        <v>0</v>
      </c>
      <c r="ARN9" s="146">
        <f t="shared" si="47"/>
        <v>0</v>
      </c>
      <c r="ARO9" s="146">
        <f t="shared" si="47"/>
        <v>0</v>
      </c>
      <c r="ARP9" s="146">
        <f t="shared" si="47"/>
        <v>0</v>
      </c>
      <c r="ARQ9" s="146">
        <f t="shared" si="47"/>
        <v>0</v>
      </c>
      <c r="ARR9" s="146">
        <f t="shared" si="47"/>
        <v>0</v>
      </c>
      <c r="ARS9" s="146">
        <f t="shared" si="47"/>
        <v>0</v>
      </c>
      <c r="ART9" s="146">
        <f t="shared" si="47"/>
        <v>0</v>
      </c>
      <c r="ARU9" s="146">
        <f t="shared" si="47"/>
        <v>0</v>
      </c>
      <c r="ARV9" s="146">
        <f t="shared" si="47"/>
        <v>0</v>
      </c>
      <c r="ARW9" s="146">
        <f t="shared" si="47"/>
        <v>0</v>
      </c>
      <c r="ARX9" s="146">
        <f t="shared" si="47"/>
        <v>0</v>
      </c>
      <c r="ARY9" s="146">
        <f t="shared" si="47"/>
        <v>0</v>
      </c>
      <c r="ARZ9" s="146">
        <f t="shared" si="47"/>
        <v>0</v>
      </c>
      <c r="ASA9" s="146">
        <f t="shared" si="47"/>
        <v>0</v>
      </c>
      <c r="ASB9" s="146">
        <f t="shared" si="47"/>
        <v>0</v>
      </c>
      <c r="ASC9" s="146">
        <f t="shared" si="47"/>
        <v>0</v>
      </c>
      <c r="ASD9" s="146">
        <f t="shared" si="47"/>
        <v>0</v>
      </c>
      <c r="ASE9" s="146">
        <f t="shared" si="47"/>
        <v>0</v>
      </c>
      <c r="ASF9" s="146">
        <f t="shared" si="47"/>
        <v>0</v>
      </c>
      <c r="ASG9" s="146">
        <f t="shared" si="47"/>
        <v>0</v>
      </c>
      <c r="ASH9" s="146">
        <f t="shared" si="47"/>
        <v>0</v>
      </c>
      <c r="ASI9" s="146">
        <f t="shared" si="47"/>
        <v>0</v>
      </c>
      <c r="ASJ9" s="146">
        <f t="shared" si="47"/>
        <v>0</v>
      </c>
      <c r="ASK9" s="146">
        <f t="shared" si="47"/>
        <v>0</v>
      </c>
      <c r="ASL9" s="146">
        <f t="shared" si="47"/>
        <v>0</v>
      </c>
      <c r="ASM9" s="146">
        <f t="shared" si="47"/>
        <v>0</v>
      </c>
      <c r="ASN9" s="146">
        <f t="shared" si="47"/>
        <v>0</v>
      </c>
      <c r="ASO9" s="146">
        <f t="shared" si="47"/>
        <v>0</v>
      </c>
      <c r="ASP9" s="146">
        <f t="shared" si="47"/>
        <v>0</v>
      </c>
      <c r="ASQ9" s="146">
        <f t="shared" si="47"/>
        <v>0</v>
      </c>
      <c r="ASR9" s="146">
        <f t="shared" si="47"/>
        <v>0</v>
      </c>
      <c r="ASS9" s="146">
        <f t="shared" si="47"/>
        <v>0</v>
      </c>
      <c r="AST9" s="146">
        <f t="shared" si="47"/>
        <v>0</v>
      </c>
      <c r="ASU9" s="146">
        <f t="shared" si="47"/>
        <v>0</v>
      </c>
      <c r="ASV9" s="146">
        <f t="shared" si="47"/>
        <v>0</v>
      </c>
      <c r="ASW9" s="146">
        <f t="shared" si="47"/>
        <v>0</v>
      </c>
      <c r="ASX9" s="146">
        <f t="shared" si="47"/>
        <v>0</v>
      </c>
      <c r="ASY9" s="146">
        <f t="shared" ref="ASY9:AVJ9" si="48">SUBTOTAL(9, ASY12:ASY9880)</f>
        <v>0</v>
      </c>
      <c r="ASZ9" s="146">
        <f t="shared" si="48"/>
        <v>0</v>
      </c>
      <c r="ATA9" s="146">
        <f t="shared" si="48"/>
        <v>0</v>
      </c>
      <c r="ATB9" s="146">
        <f t="shared" si="48"/>
        <v>0</v>
      </c>
      <c r="ATC9" s="146">
        <f t="shared" si="48"/>
        <v>0</v>
      </c>
      <c r="ATD9" s="146">
        <f t="shared" si="48"/>
        <v>0</v>
      </c>
      <c r="ATE9" s="146">
        <f t="shared" si="48"/>
        <v>0</v>
      </c>
      <c r="ATF9" s="146">
        <f t="shared" si="48"/>
        <v>0</v>
      </c>
      <c r="ATG9" s="146">
        <f t="shared" si="48"/>
        <v>0</v>
      </c>
      <c r="ATH9" s="146">
        <f t="shared" si="48"/>
        <v>0</v>
      </c>
      <c r="ATI9" s="146">
        <f t="shared" si="48"/>
        <v>0</v>
      </c>
      <c r="ATJ9" s="146">
        <f t="shared" si="48"/>
        <v>0</v>
      </c>
      <c r="ATK9" s="146">
        <f t="shared" si="48"/>
        <v>0</v>
      </c>
      <c r="ATL9" s="146">
        <f t="shared" si="48"/>
        <v>0</v>
      </c>
      <c r="ATM9" s="146">
        <f t="shared" si="48"/>
        <v>0</v>
      </c>
      <c r="ATN9" s="146">
        <f t="shared" si="48"/>
        <v>0</v>
      </c>
      <c r="ATO9" s="146">
        <f t="shared" si="48"/>
        <v>0</v>
      </c>
      <c r="ATP9" s="146">
        <f t="shared" si="48"/>
        <v>0</v>
      </c>
      <c r="ATQ9" s="146">
        <f t="shared" si="48"/>
        <v>0</v>
      </c>
      <c r="ATR9" s="146">
        <f t="shared" si="48"/>
        <v>0</v>
      </c>
      <c r="ATS9" s="146">
        <f t="shared" si="48"/>
        <v>0</v>
      </c>
      <c r="ATT9" s="146">
        <f t="shared" si="48"/>
        <v>0</v>
      </c>
      <c r="ATU9" s="146">
        <f t="shared" si="48"/>
        <v>0</v>
      </c>
      <c r="ATV9" s="146">
        <f t="shared" si="48"/>
        <v>0</v>
      </c>
      <c r="ATW9" s="146">
        <f t="shared" si="48"/>
        <v>0</v>
      </c>
      <c r="ATX9" s="146">
        <f t="shared" si="48"/>
        <v>0</v>
      </c>
      <c r="ATY9" s="146">
        <f t="shared" si="48"/>
        <v>0</v>
      </c>
      <c r="ATZ9" s="146">
        <f t="shared" si="48"/>
        <v>0</v>
      </c>
      <c r="AUA9" s="146">
        <f t="shared" si="48"/>
        <v>0</v>
      </c>
      <c r="AUB9" s="146">
        <f t="shared" si="48"/>
        <v>0</v>
      </c>
      <c r="AUC9" s="146">
        <f t="shared" si="48"/>
        <v>0</v>
      </c>
      <c r="AUD9" s="146">
        <f t="shared" si="48"/>
        <v>0</v>
      </c>
      <c r="AUE9" s="146">
        <f t="shared" si="48"/>
        <v>0</v>
      </c>
      <c r="AUF9" s="146">
        <f t="shared" si="48"/>
        <v>0</v>
      </c>
      <c r="AUG9" s="146">
        <f t="shared" si="48"/>
        <v>0</v>
      </c>
      <c r="AUH9" s="146">
        <f t="shared" si="48"/>
        <v>0</v>
      </c>
      <c r="AUI9" s="146">
        <f t="shared" si="48"/>
        <v>0</v>
      </c>
      <c r="AUJ9" s="146">
        <f t="shared" si="48"/>
        <v>0</v>
      </c>
      <c r="AUK9" s="146">
        <f t="shared" si="48"/>
        <v>0</v>
      </c>
      <c r="AUL9" s="146">
        <f t="shared" si="48"/>
        <v>0</v>
      </c>
      <c r="AUM9" s="146">
        <f t="shared" si="48"/>
        <v>0</v>
      </c>
      <c r="AUN9" s="146">
        <f t="shared" si="48"/>
        <v>0</v>
      </c>
      <c r="AUO9" s="146">
        <f t="shared" si="48"/>
        <v>0</v>
      </c>
      <c r="AUP9" s="146">
        <f t="shared" si="48"/>
        <v>0</v>
      </c>
      <c r="AUQ9" s="146">
        <f t="shared" si="48"/>
        <v>0</v>
      </c>
      <c r="AUR9" s="146">
        <f t="shared" si="48"/>
        <v>0</v>
      </c>
      <c r="AUS9" s="146">
        <f t="shared" si="48"/>
        <v>0</v>
      </c>
      <c r="AUT9" s="146">
        <f t="shared" si="48"/>
        <v>0</v>
      </c>
      <c r="AUU9" s="146">
        <f t="shared" si="48"/>
        <v>0</v>
      </c>
      <c r="AUV9" s="146">
        <f t="shared" si="48"/>
        <v>0</v>
      </c>
      <c r="AUW9" s="146">
        <f t="shared" si="48"/>
        <v>0</v>
      </c>
      <c r="AUX9" s="146">
        <f t="shared" si="48"/>
        <v>0</v>
      </c>
      <c r="AUY9" s="146">
        <f t="shared" si="48"/>
        <v>0</v>
      </c>
      <c r="AUZ9" s="146">
        <f t="shared" si="48"/>
        <v>0</v>
      </c>
      <c r="AVA9" s="146">
        <f t="shared" si="48"/>
        <v>0</v>
      </c>
      <c r="AVB9" s="146">
        <f t="shared" si="48"/>
        <v>0</v>
      </c>
      <c r="AVC9" s="146">
        <f t="shared" si="48"/>
        <v>0</v>
      </c>
      <c r="AVD9" s="146">
        <f t="shared" si="48"/>
        <v>0</v>
      </c>
      <c r="AVE9" s="146">
        <f t="shared" si="48"/>
        <v>0</v>
      </c>
      <c r="AVF9" s="146">
        <f t="shared" si="48"/>
        <v>0</v>
      </c>
      <c r="AVG9" s="146">
        <f t="shared" si="48"/>
        <v>0</v>
      </c>
      <c r="AVH9" s="146">
        <f t="shared" si="48"/>
        <v>0</v>
      </c>
      <c r="AVI9" s="146">
        <f t="shared" si="48"/>
        <v>0</v>
      </c>
      <c r="AVJ9" s="146">
        <f t="shared" si="48"/>
        <v>0</v>
      </c>
      <c r="AVK9" s="146">
        <f t="shared" ref="AVK9:AXV9" si="49">SUBTOTAL(9, AVK12:AVK9880)</f>
        <v>0</v>
      </c>
      <c r="AVL9" s="146">
        <f t="shared" si="49"/>
        <v>0</v>
      </c>
      <c r="AVM9" s="146">
        <f t="shared" si="49"/>
        <v>0</v>
      </c>
      <c r="AVN9" s="146">
        <f t="shared" si="49"/>
        <v>0</v>
      </c>
      <c r="AVO9" s="146">
        <f t="shared" si="49"/>
        <v>0</v>
      </c>
      <c r="AVP9" s="146">
        <f t="shared" si="49"/>
        <v>0</v>
      </c>
      <c r="AVQ9" s="146">
        <f t="shared" si="49"/>
        <v>0</v>
      </c>
      <c r="AVR9" s="146">
        <f t="shared" si="49"/>
        <v>0</v>
      </c>
      <c r="AVS9" s="146">
        <f t="shared" si="49"/>
        <v>0</v>
      </c>
      <c r="AVT9" s="146">
        <f t="shared" si="49"/>
        <v>0</v>
      </c>
      <c r="AVU9" s="146">
        <f t="shared" si="49"/>
        <v>0</v>
      </c>
      <c r="AVV9" s="146">
        <f t="shared" si="49"/>
        <v>0</v>
      </c>
      <c r="AVW9" s="146">
        <f t="shared" si="49"/>
        <v>0</v>
      </c>
      <c r="AVX9" s="146">
        <f t="shared" si="49"/>
        <v>0</v>
      </c>
      <c r="AVY9" s="146">
        <f t="shared" si="49"/>
        <v>0</v>
      </c>
      <c r="AVZ9" s="146">
        <f t="shared" si="49"/>
        <v>0</v>
      </c>
      <c r="AWA9" s="146">
        <f t="shared" si="49"/>
        <v>0</v>
      </c>
      <c r="AWB9" s="146">
        <f t="shared" si="49"/>
        <v>0</v>
      </c>
      <c r="AWC9" s="146">
        <f t="shared" si="49"/>
        <v>0</v>
      </c>
      <c r="AWD9" s="146">
        <f t="shared" si="49"/>
        <v>0</v>
      </c>
      <c r="AWE9" s="146">
        <f t="shared" si="49"/>
        <v>0</v>
      </c>
      <c r="AWF9" s="146">
        <f t="shared" si="49"/>
        <v>0</v>
      </c>
      <c r="AWG9" s="146">
        <f t="shared" si="49"/>
        <v>0</v>
      </c>
      <c r="AWH9" s="146">
        <f t="shared" si="49"/>
        <v>0</v>
      </c>
      <c r="AWI9" s="146">
        <f t="shared" si="49"/>
        <v>0</v>
      </c>
      <c r="AWJ9" s="146">
        <f t="shared" si="49"/>
        <v>0</v>
      </c>
      <c r="AWK9" s="146">
        <f t="shared" si="49"/>
        <v>0</v>
      </c>
      <c r="AWL9" s="146">
        <f t="shared" si="49"/>
        <v>0</v>
      </c>
      <c r="AWM9" s="146">
        <f t="shared" si="49"/>
        <v>0</v>
      </c>
      <c r="AWN9" s="146">
        <f t="shared" si="49"/>
        <v>0</v>
      </c>
      <c r="AWO9" s="146">
        <f t="shared" si="49"/>
        <v>0</v>
      </c>
      <c r="AWP9" s="146">
        <f t="shared" si="49"/>
        <v>0</v>
      </c>
      <c r="AWQ9" s="146">
        <f t="shared" si="49"/>
        <v>0</v>
      </c>
      <c r="AWR9" s="146">
        <f t="shared" si="49"/>
        <v>0</v>
      </c>
      <c r="AWS9" s="146">
        <f t="shared" si="49"/>
        <v>0</v>
      </c>
      <c r="AWT9" s="146">
        <f t="shared" si="49"/>
        <v>0</v>
      </c>
      <c r="AWU9" s="146">
        <f t="shared" si="49"/>
        <v>0</v>
      </c>
      <c r="AWV9" s="146">
        <f t="shared" si="49"/>
        <v>0</v>
      </c>
      <c r="AWW9" s="146">
        <f t="shared" si="49"/>
        <v>0</v>
      </c>
      <c r="AWX9" s="146">
        <f t="shared" si="49"/>
        <v>0</v>
      </c>
      <c r="AWY9" s="146">
        <f t="shared" si="49"/>
        <v>0</v>
      </c>
      <c r="AWZ9" s="146">
        <f t="shared" si="49"/>
        <v>0</v>
      </c>
      <c r="AXA9" s="146">
        <f t="shared" si="49"/>
        <v>0</v>
      </c>
      <c r="AXB9" s="146">
        <f t="shared" si="49"/>
        <v>0</v>
      </c>
      <c r="AXC9" s="146">
        <f t="shared" si="49"/>
        <v>0</v>
      </c>
      <c r="AXD9" s="146">
        <f t="shared" si="49"/>
        <v>0</v>
      </c>
      <c r="AXE9" s="146">
        <f t="shared" si="49"/>
        <v>0</v>
      </c>
      <c r="AXF9" s="146">
        <f t="shared" si="49"/>
        <v>0</v>
      </c>
      <c r="AXG9" s="146">
        <f t="shared" si="49"/>
        <v>0</v>
      </c>
      <c r="AXH9" s="146">
        <f t="shared" si="49"/>
        <v>0</v>
      </c>
      <c r="AXI9" s="146">
        <f t="shared" si="49"/>
        <v>0</v>
      </c>
      <c r="AXJ9" s="146">
        <f t="shared" si="49"/>
        <v>0</v>
      </c>
      <c r="AXK9" s="146">
        <f t="shared" si="49"/>
        <v>0</v>
      </c>
      <c r="AXL9" s="146">
        <f t="shared" si="49"/>
        <v>0</v>
      </c>
      <c r="AXM9" s="146">
        <f t="shared" si="49"/>
        <v>0</v>
      </c>
      <c r="AXN9" s="146">
        <f t="shared" si="49"/>
        <v>0</v>
      </c>
      <c r="AXO9" s="146">
        <f t="shared" si="49"/>
        <v>0</v>
      </c>
      <c r="AXP9" s="146">
        <f t="shared" si="49"/>
        <v>0</v>
      </c>
      <c r="AXQ9" s="146">
        <f t="shared" si="49"/>
        <v>0</v>
      </c>
      <c r="AXR9" s="146">
        <f t="shared" si="49"/>
        <v>0</v>
      </c>
      <c r="AXS9" s="146">
        <f t="shared" si="49"/>
        <v>0</v>
      </c>
      <c r="AXT9" s="146">
        <f t="shared" si="49"/>
        <v>0</v>
      </c>
      <c r="AXU9" s="146">
        <f t="shared" si="49"/>
        <v>0</v>
      </c>
      <c r="AXV9" s="146">
        <f t="shared" si="49"/>
        <v>0</v>
      </c>
      <c r="AXW9" s="146">
        <f t="shared" ref="AXW9:BAH9" si="50">SUBTOTAL(9, AXW12:AXW9880)</f>
        <v>0</v>
      </c>
      <c r="AXX9" s="146">
        <f t="shared" si="50"/>
        <v>0</v>
      </c>
      <c r="AXY9" s="146">
        <f t="shared" si="50"/>
        <v>0</v>
      </c>
      <c r="AXZ9" s="146">
        <f t="shared" si="50"/>
        <v>0</v>
      </c>
      <c r="AYA9" s="146">
        <f t="shared" si="50"/>
        <v>0</v>
      </c>
      <c r="AYB9" s="146">
        <f t="shared" si="50"/>
        <v>0</v>
      </c>
      <c r="AYC9" s="146">
        <f t="shared" si="50"/>
        <v>0</v>
      </c>
      <c r="AYD9" s="146">
        <f t="shared" si="50"/>
        <v>0</v>
      </c>
      <c r="AYE9" s="146">
        <f t="shared" si="50"/>
        <v>0</v>
      </c>
      <c r="AYF9" s="146">
        <f t="shared" si="50"/>
        <v>0</v>
      </c>
      <c r="AYG9" s="146">
        <f t="shared" si="50"/>
        <v>0</v>
      </c>
      <c r="AYH9" s="146">
        <f t="shared" si="50"/>
        <v>0</v>
      </c>
      <c r="AYI9" s="146">
        <f t="shared" si="50"/>
        <v>0</v>
      </c>
      <c r="AYJ9" s="146">
        <f t="shared" si="50"/>
        <v>0</v>
      </c>
      <c r="AYK9" s="146">
        <f t="shared" si="50"/>
        <v>0</v>
      </c>
      <c r="AYL9" s="146">
        <f t="shared" si="50"/>
        <v>0</v>
      </c>
      <c r="AYM9" s="146">
        <f t="shared" si="50"/>
        <v>0</v>
      </c>
      <c r="AYN9" s="146">
        <f t="shared" si="50"/>
        <v>0</v>
      </c>
      <c r="AYO9" s="146">
        <f t="shared" si="50"/>
        <v>0</v>
      </c>
      <c r="AYP9" s="146">
        <f t="shared" si="50"/>
        <v>0</v>
      </c>
      <c r="AYQ9" s="146">
        <f t="shared" si="50"/>
        <v>0</v>
      </c>
      <c r="AYR9" s="146">
        <f t="shared" si="50"/>
        <v>0</v>
      </c>
      <c r="AYS9" s="146">
        <f t="shared" si="50"/>
        <v>0</v>
      </c>
      <c r="AYT9" s="146">
        <f t="shared" si="50"/>
        <v>0</v>
      </c>
      <c r="AYU9" s="146">
        <f t="shared" si="50"/>
        <v>0</v>
      </c>
      <c r="AYV9" s="146">
        <f t="shared" si="50"/>
        <v>0</v>
      </c>
      <c r="AYW9" s="146">
        <f t="shared" si="50"/>
        <v>0</v>
      </c>
      <c r="AYX9" s="146">
        <f t="shared" si="50"/>
        <v>0</v>
      </c>
      <c r="AYY9" s="146">
        <f t="shared" si="50"/>
        <v>0</v>
      </c>
      <c r="AYZ9" s="146">
        <f t="shared" si="50"/>
        <v>0</v>
      </c>
      <c r="AZA9" s="146">
        <f t="shared" si="50"/>
        <v>0</v>
      </c>
      <c r="AZB9" s="146">
        <f t="shared" si="50"/>
        <v>0</v>
      </c>
      <c r="AZC9" s="146">
        <f t="shared" si="50"/>
        <v>0</v>
      </c>
      <c r="AZD9" s="146">
        <f t="shared" si="50"/>
        <v>0</v>
      </c>
      <c r="AZE9" s="146">
        <f t="shared" si="50"/>
        <v>0</v>
      </c>
      <c r="AZF9" s="146">
        <f t="shared" si="50"/>
        <v>0</v>
      </c>
      <c r="AZG9" s="146">
        <f t="shared" si="50"/>
        <v>0</v>
      </c>
      <c r="AZH9" s="146">
        <f t="shared" si="50"/>
        <v>0</v>
      </c>
      <c r="AZI9" s="146">
        <f t="shared" si="50"/>
        <v>0</v>
      </c>
      <c r="AZJ9" s="146">
        <f t="shared" si="50"/>
        <v>0</v>
      </c>
      <c r="AZK9" s="146">
        <f t="shared" si="50"/>
        <v>0</v>
      </c>
      <c r="AZL9" s="146">
        <f t="shared" si="50"/>
        <v>0</v>
      </c>
      <c r="AZM9" s="146">
        <f t="shared" si="50"/>
        <v>0</v>
      </c>
      <c r="AZN9" s="146">
        <f t="shared" si="50"/>
        <v>0</v>
      </c>
      <c r="AZO9" s="146">
        <f t="shared" si="50"/>
        <v>0</v>
      </c>
      <c r="AZP9" s="146">
        <f t="shared" si="50"/>
        <v>0</v>
      </c>
      <c r="AZQ9" s="146">
        <f t="shared" si="50"/>
        <v>0</v>
      </c>
      <c r="AZR9" s="146">
        <f t="shared" si="50"/>
        <v>0</v>
      </c>
      <c r="AZS9" s="146">
        <f t="shared" si="50"/>
        <v>0</v>
      </c>
      <c r="AZT9" s="146">
        <f t="shared" si="50"/>
        <v>0</v>
      </c>
      <c r="AZU9" s="146">
        <f t="shared" si="50"/>
        <v>0</v>
      </c>
      <c r="AZV9" s="146">
        <f t="shared" si="50"/>
        <v>0</v>
      </c>
      <c r="AZW9" s="146">
        <f t="shared" si="50"/>
        <v>0</v>
      </c>
      <c r="AZX9" s="146">
        <f t="shared" si="50"/>
        <v>0</v>
      </c>
      <c r="AZY9" s="146">
        <f t="shared" si="50"/>
        <v>0</v>
      </c>
      <c r="AZZ9" s="146">
        <f t="shared" si="50"/>
        <v>0</v>
      </c>
      <c r="BAA9" s="146">
        <f t="shared" si="50"/>
        <v>0</v>
      </c>
      <c r="BAB9" s="146">
        <f t="shared" si="50"/>
        <v>0</v>
      </c>
      <c r="BAC9" s="146">
        <f t="shared" si="50"/>
        <v>0</v>
      </c>
      <c r="BAD9" s="146">
        <f t="shared" si="50"/>
        <v>0</v>
      </c>
      <c r="BAE9" s="146">
        <f t="shared" si="50"/>
        <v>0</v>
      </c>
      <c r="BAF9" s="146">
        <f t="shared" si="50"/>
        <v>0</v>
      </c>
      <c r="BAG9" s="146">
        <f t="shared" si="50"/>
        <v>0</v>
      </c>
      <c r="BAH9" s="146">
        <f t="shared" si="50"/>
        <v>0</v>
      </c>
      <c r="BAI9" s="146">
        <f t="shared" ref="BAI9:BCT9" si="51">SUBTOTAL(9, BAI12:BAI9880)</f>
        <v>0</v>
      </c>
      <c r="BAJ9" s="146">
        <f t="shared" si="51"/>
        <v>0</v>
      </c>
      <c r="BAK9" s="146">
        <f t="shared" si="51"/>
        <v>0</v>
      </c>
      <c r="BAL9" s="146">
        <f t="shared" si="51"/>
        <v>0</v>
      </c>
      <c r="BAM9" s="146">
        <f t="shared" si="51"/>
        <v>0</v>
      </c>
      <c r="BAN9" s="146">
        <f t="shared" si="51"/>
        <v>0</v>
      </c>
      <c r="BAO9" s="146">
        <f t="shared" si="51"/>
        <v>0</v>
      </c>
      <c r="BAP9" s="146">
        <f t="shared" si="51"/>
        <v>0</v>
      </c>
      <c r="BAQ9" s="146">
        <f t="shared" si="51"/>
        <v>0</v>
      </c>
      <c r="BAR9" s="146">
        <f t="shared" si="51"/>
        <v>0</v>
      </c>
      <c r="BAS9" s="146">
        <f t="shared" si="51"/>
        <v>0</v>
      </c>
      <c r="BAT9" s="146">
        <f t="shared" si="51"/>
        <v>0</v>
      </c>
      <c r="BAU9" s="146">
        <f t="shared" si="51"/>
        <v>0</v>
      </c>
      <c r="BAV9" s="146">
        <f t="shared" si="51"/>
        <v>0</v>
      </c>
      <c r="BAW9" s="146">
        <f t="shared" si="51"/>
        <v>0</v>
      </c>
      <c r="BAX9" s="146">
        <f t="shared" si="51"/>
        <v>0</v>
      </c>
      <c r="BAY9" s="146">
        <f t="shared" si="51"/>
        <v>0</v>
      </c>
      <c r="BAZ9" s="146">
        <f t="shared" si="51"/>
        <v>0</v>
      </c>
      <c r="BBA9" s="146">
        <f t="shared" si="51"/>
        <v>0</v>
      </c>
      <c r="BBB9" s="146">
        <f t="shared" si="51"/>
        <v>0</v>
      </c>
      <c r="BBC9" s="146">
        <f t="shared" si="51"/>
        <v>0</v>
      </c>
      <c r="BBD9" s="146">
        <f t="shared" si="51"/>
        <v>0</v>
      </c>
      <c r="BBE9" s="146">
        <f t="shared" si="51"/>
        <v>0</v>
      </c>
      <c r="BBF9" s="146">
        <f t="shared" si="51"/>
        <v>0</v>
      </c>
      <c r="BBG9" s="146">
        <f t="shared" si="51"/>
        <v>0</v>
      </c>
      <c r="BBH9" s="146">
        <f t="shared" si="51"/>
        <v>0</v>
      </c>
      <c r="BBI9" s="146">
        <f t="shared" si="51"/>
        <v>0</v>
      </c>
      <c r="BBJ9" s="146">
        <f t="shared" si="51"/>
        <v>0</v>
      </c>
      <c r="BBK9" s="146">
        <f t="shared" si="51"/>
        <v>0</v>
      </c>
      <c r="BBL9" s="146">
        <f t="shared" si="51"/>
        <v>0</v>
      </c>
      <c r="BBM9" s="146">
        <f t="shared" si="51"/>
        <v>0</v>
      </c>
      <c r="BBN9" s="146">
        <f t="shared" si="51"/>
        <v>0</v>
      </c>
      <c r="BBO9" s="146">
        <f t="shared" si="51"/>
        <v>0</v>
      </c>
      <c r="BBP9" s="146">
        <f t="shared" si="51"/>
        <v>0</v>
      </c>
      <c r="BBQ9" s="146">
        <f t="shared" si="51"/>
        <v>0</v>
      </c>
      <c r="BBR9" s="146">
        <f t="shared" si="51"/>
        <v>0</v>
      </c>
      <c r="BBS9" s="146">
        <f t="shared" si="51"/>
        <v>0</v>
      </c>
      <c r="BBT9" s="146">
        <f t="shared" si="51"/>
        <v>0</v>
      </c>
      <c r="BBU9" s="146">
        <f t="shared" si="51"/>
        <v>0</v>
      </c>
      <c r="BBV9" s="146">
        <f t="shared" si="51"/>
        <v>0</v>
      </c>
      <c r="BBW9" s="146">
        <f t="shared" si="51"/>
        <v>0</v>
      </c>
      <c r="BBX9" s="146">
        <f t="shared" si="51"/>
        <v>0</v>
      </c>
      <c r="BBY9" s="146">
        <f t="shared" si="51"/>
        <v>0</v>
      </c>
      <c r="BBZ9" s="146">
        <f t="shared" si="51"/>
        <v>0</v>
      </c>
      <c r="BCA9" s="146">
        <f t="shared" si="51"/>
        <v>0</v>
      </c>
      <c r="BCB9" s="146">
        <f t="shared" si="51"/>
        <v>0</v>
      </c>
      <c r="BCC9" s="146">
        <f t="shared" si="51"/>
        <v>0</v>
      </c>
      <c r="BCD9" s="146">
        <f t="shared" si="51"/>
        <v>0</v>
      </c>
      <c r="BCE9" s="146">
        <f t="shared" si="51"/>
        <v>0</v>
      </c>
      <c r="BCF9" s="146">
        <f t="shared" si="51"/>
        <v>0</v>
      </c>
      <c r="BCG9" s="146">
        <f t="shared" si="51"/>
        <v>0</v>
      </c>
      <c r="BCH9" s="146">
        <f t="shared" si="51"/>
        <v>0</v>
      </c>
      <c r="BCI9" s="146">
        <f t="shared" si="51"/>
        <v>0</v>
      </c>
      <c r="BCJ9" s="146">
        <f t="shared" si="51"/>
        <v>0</v>
      </c>
      <c r="BCK9" s="146">
        <f t="shared" si="51"/>
        <v>0</v>
      </c>
      <c r="BCL9" s="146">
        <f t="shared" si="51"/>
        <v>0</v>
      </c>
      <c r="BCM9" s="146">
        <f t="shared" si="51"/>
        <v>0</v>
      </c>
      <c r="BCN9" s="146">
        <f t="shared" si="51"/>
        <v>0</v>
      </c>
      <c r="BCO9" s="146">
        <f t="shared" si="51"/>
        <v>0</v>
      </c>
      <c r="BCP9" s="146">
        <f t="shared" si="51"/>
        <v>0</v>
      </c>
      <c r="BCQ9" s="146">
        <f t="shared" si="51"/>
        <v>0</v>
      </c>
      <c r="BCR9" s="146">
        <f t="shared" si="51"/>
        <v>0</v>
      </c>
      <c r="BCS9" s="146">
        <f t="shared" si="51"/>
        <v>0</v>
      </c>
      <c r="BCT9" s="146">
        <f t="shared" si="51"/>
        <v>0</v>
      </c>
      <c r="BCU9" s="146">
        <f t="shared" ref="BCU9:BFF9" si="52">SUBTOTAL(9, BCU12:BCU9880)</f>
        <v>0</v>
      </c>
      <c r="BCV9" s="146">
        <f t="shared" si="52"/>
        <v>0</v>
      </c>
      <c r="BCW9" s="146">
        <f t="shared" si="52"/>
        <v>0</v>
      </c>
      <c r="BCX9" s="146">
        <f t="shared" si="52"/>
        <v>0</v>
      </c>
      <c r="BCY9" s="146">
        <f t="shared" si="52"/>
        <v>0</v>
      </c>
      <c r="BCZ9" s="146">
        <f t="shared" si="52"/>
        <v>0</v>
      </c>
      <c r="BDA9" s="146">
        <f t="shared" si="52"/>
        <v>0</v>
      </c>
      <c r="BDB9" s="146">
        <f t="shared" si="52"/>
        <v>0</v>
      </c>
      <c r="BDC9" s="146">
        <f t="shared" si="52"/>
        <v>0</v>
      </c>
      <c r="BDD9" s="146">
        <f t="shared" si="52"/>
        <v>0</v>
      </c>
      <c r="BDE9" s="146">
        <f t="shared" si="52"/>
        <v>0</v>
      </c>
      <c r="BDF9" s="146">
        <f t="shared" si="52"/>
        <v>0</v>
      </c>
      <c r="BDG9" s="146">
        <f t="shared" si="52"/>
        <v>0</v>
      </c>
      <c r="BDH9" s="146">
        <f t="shared" si="52"/>
        <v>0</v>
      </c>
      <c r="BDI9" s="146">
        <f t="shared" si="52"/>
        <v>0</v>
      </c>
      <c r="BDJ9" s="146">
        <f t="shared" si="52"/>
        <v>0</v>
      </c>
      <c r="BDK9" s="146">
        <f t="shared" si="52"/>
        <v>0</v>
      </c>
      <c r="BDL9" s="146">
        <f t="shared" si="52"/>
        <v>0</v>
      </c>
      <c r="BDM9" s="146">
        <f t="shared" si="52"/>
        <v>0</v>
      </c>
      <c r="BDN9" s="146">
        <f t="shared" si="52"/>
        <v>0</v>
      </c>
      <c r="BDO9" s="146">
        <f t="shared" si="52"/>
        <v>0</v>
      </c>
      <c r="BDP9" s="146">
        <f t="shared" si="52"/>
        <v>0</v>
      </c>
      <c r="BDQ9" s="146">
        <f t="shared" si="52"/>
        <v>0</v>
      </c>
      <c r="BDR9" s="146">
        <f t="shared" si="52"/>
        <v>0</v>
      </c>
      <c r="BDS9" s="146">
        <f t="shared" si="52"/>
        <v>0</v>
      </c>
      <c r="BDT9" s="146">
        <f t="shared" si="52"/>
        <v>0</v>
      </c>
      <c r="BDU9" s="146">
        <f t="shared" si="52"/>
        <v>0</v>
      </c>
      <c r="BDV9" s="146">
        <f t="shared" si="52"/>
        <v>0</v>
      </c>
      <c r="BDW9" s="146">
        <f t="shared" si="52"/>
        <v>0</v>
      </c>
      <c r="BDX9" s="146">
        <f t="shared" si="52"/>
        <v>0</v>
      </c>
      <c r="BDY9" s="146">
        <f t="shared" si="52"/>
        <v>0</v>
      </c>
      <c r="BDZ9" s="146">
        <f t="shared" si="52"/>
        <v>0</v>
      </c>
      <c r="BEA9" s="146">
        <f t="shared" si="52"/>
        <v>0</v>
      </c>
      <c r="BEB9" s="146">
        <f t="shared" si="52"/>
        <v>0</v>
      </c>
      <c r="BEC9" s="146">
        <f t="shared" si="52"/>
        <v>0</v>
      </c>
      <c r="BED9" s="146">
        <f t="shared" si="52"/>
        <v>0</v>
      </c>
      <c r="BEE9" s="146">
        <f t="shared" si="52"/>
        <v>0</v>
      </c>
      <c r="BEF9" s="146">
        <f t="shared" si="52"/>
        <v>0</v>
      </c>
      <c r="BEG9" s="146">
        <f t="shared" si="52"/>
        <v>0</v>
      </c>
      <c r="BEH9" s="146">
        <f t="shared" si="52"/>
        <v>0</v>
      </c>
      <c r="BEI9" s="146">
        <f t="shared" si="52"/>
        <v>0</v>
      </c>
      <c r="BEJ9" s="146">
        <f t="shared" si="52"/>
        <v>0</v>
      </c>
      <c r="BEK9" s="146">
        <f t="shared" si="52"/>
        <v>0</v>
      </c>
      <c r="BEL9" s="146">
        <f t="shared" si="52"/>
        <v>0</v>
      </c>
      <c r="BEM9" s="146">
        <f t="shared" si="52"/>
        <v>0</v>
      </c>
      <c r="BEN9" s="146">
        <f t="shared" si="52"/>
        <v>0</v>
      </c>
      <c r="BEO9" s="146">
        <f t="shared" si="52"/>
        <v>0</v>
      </c>
      <c r="BEP9" s="146">
        <f t="shared" si="52"/>
        <v>0</v>
      </c>
      <c r="BEQ9" s="146">
        <f t="shared" si="52"/>
        <v>0</v>
      </c>
      <c r="BER9" s="146">
        <f t="shared" si="52"/>
        <v>0</v>
      </c>
      <c r="BES9" s="146">
        <f t="shared" si="52"/>
        <v>0</v>
      </c>
      <c r="BET9" s="146">
        <f t="shared" si="52"/>
        <v>0</v>
      </c>
      <c r="BEU9" s="146">
        <f t="shared" si="52"/>
        <v>0</v>
      </c>
      <c r="BEV9" s="146">
        <f t="shared" si="52"/>
        <v>0</v>
      </c>
      <c r="BEW9" s="146">
        <f t="shared" si="52"/>
        <v>0</v>
      </c>
      <c r="BEX9" s="146">
        <f t="shared" si="52"/>
        <v>0</v>
      </c>
      <c r="BEY9" s="146">
        <f t="shared" si="52"/>
        <v>0</v>
      </c>
      <c r="BEZ9" s="146">
        <f t="shared" si="52"/>
        <v>0</v>
      </c>
      <c r="BFA9" s="146">
        <f t="shared" si="52"/>
        <v>0</v>
      </c>
      <c r="BFB9" s="146">
        <f t="shared" si="52"/>
        <v>0</v>
      </c>
      <c r="BFC9" s="146">
        <f t="shared" si="52"/>
        <v>0</v>
      </c>
      <c r="BFD9" s="146">
        <f t="shared" si="52"/>
        <v>0</v>
      </c>
      <c r="BFE9" s="146">
        <f t="shared" si="52"/>
        <v>0</v>
      </c>
      <c r="BFF9" s="146">
        <f t="shared" si="52"/>
        <v>0</v>
      </c>
      <c r="BFG9" s="146">
        <f t="shared" ref="BFG9:BHR9" si="53">SUBTOTAL(9, BFG12:BFG9880)</f>
        <v>0</v>
      </c>
      <c r="BFH9" s="146">
        <f t="shared" si="53"/>
        <v>0</v>
      </c>
      <c r="BFI9" s="146">
        <f t="shared" si="53"/>
        <v>0</v>
      </c>
      <c r="BFJ9" s="146">
        <f t="shared" si="53"/>
        <v>0</v>
      </c>
      <c r="BFK9" s="146">
        <f t="shared" si="53"/>
        <v>0</v>
      </c>
      <c r="BFL9" s="146">
        <f t="shared" si="53"/>
        <v>0</v>
      </c>
      <c r="BFM9" s="146">
        <f t="shared" si="53"/>
        <v>0</v>
      </c>
      <c r="BFN9" s="146">
        <f t="shared" si="53"/>
        <v>0</v>
      </c>
      <c r="BFO9" s="146">
        <f t="shared" si="53"/>
        <v>0</v>
      </c>
      <c r="BFP9" s="146">
        <f t="shared" si="53"/>
        <v>0</v>
      </c>
      <c r="BFQ9" s="146">
        <f t="shared" si="53"/>
        <v>0</v>
      </c>
      <c r="BFR9" s="146">
        <f t="shared" si="53"/>
        <v>0</v>
      </c>
      <c r="BFS9" s="146">
        <f t="shared" si="53"/>
        <v>0</v>
      </c>
      <c r="BFT9" s="146">
        <f t="shared" si="53"/>
        <v>0</v>
      </c>
      <c r="BFU9" s="146">
        <f t="shared" si="53"/>
        <v>0</v>
      </c>
      <c r="BFV9" s="146">
        <f t="shared" si="53"/>
        <v>0</v>
      </c>
      <c r="BFW9" s="146">
        <f t="shared" si="53"/>
        <v>0</v>
      </c>
      <c r="BFX9" s="146">
        <f t="shared" si="53"/>
        <v>0</v>
      </c>
      <c r="BFY9" s="146">
        <f t="shared" si="53"/>
        <v>0</v>
      </c>
      <c r="BFZ9" s="146">
        <f t="shared" si="53"/>
        <v>0</v>
      </c>
      <c r="BGA9" s="146">
        <f t="shared" si="53"/>
        <v>0</v>
      </c>
      <c r="BGB9" s="146">
        <f t="shared" si="53"/>
        <v>0</v>
      </c>
      <c r="BGC9" s="146">
        <f t="shared" si="53"/>
        <v>0</v>
      </c>
      <c r="BGD9" s="146">
        <f t="shared" si="53"/>
        <v>0</v>
      </c>
      <c r="BGE9" s="146">
        <f t="shared" si="53"/>
        <v>0</v>
      </c>
      <c r="BGF9" s="146">
        <f t="shared" si="53"/>
        <v>0</v>
      </c>
      <c r="BGG9" s="146">
        <f t="shared" si="53"/>
        <v>0</v>
      </c>
      <c r="BGH9" s="146">
        <f t="shared" si="53"/>
        <v>0</v>
      </c>
      <c r="BGI9" s="146">
        <f t="shared" si="53"/>
        <v>0</v>
      </c>
      <c r="BGJ9" s="146">
        <f t="shared" si="53"/>
        <v>0</v>
      </c>
      <c r="BGK9" s="146">
        <f t="shared" si="53"/>
        <v>0</v>
      </c>
      <c r="BGL9" s="146">
        <f t="shared" si="53"/>
        <v>0</v>
      </c>
      <c r="BGM9" s="146">
        <f t="shared" si="53"/>
        <v>0</v>
      </c>
      <c r="BGN9" s="146">
        <f t="shared" si="53"/>
        <v>0</v>
      </c>
      <c r="BGO9" s="146">
        <f t="shared" si="53"/>
        <v>0</v>
      </c>
      <c r="BGP9" s="146">
        <f t="shared" si="53"/>
        <v>0</v>
      </c>
      <c r="BGQ9" s="146">
        <f t="shared" si="53"/>
        <v>0</v>
      </c>
      <c r="BGR9" s="146">
        <f t="shared" si="53"/>
        <v>0</v>
      </c>
      <c r="BGS9" s="146">
        <f t="shared" si="53"/>
        <v>0</v>
      </c>
      <c r="BGT9" s="146">
        <f t="shared" si="53"/>
        <v>0</v>
      </c>
      <c r="BGU9" s="146">
        <f t="shared" si="53"/>
        <v>0</v>
      </c>
      <c r="BGV9" s="146">
        <f t="shared" si="53"/>
        <v>0</v>
      </c>
      <c r="BGW9" s="146">
        <f t="shared" si="53"/>
        <v>0</v>
      </c>
      <c r="BGX9" s="146">
        <f t="shared" si="53"/>
        <v>0</v>
      </c>
      <c r="BGY9" s="146">
        <f t="shared" si="53"/>
        <v>0</v>
      </c>
      <c r="BGZ9" s="146">
        <f t="shared" si="53"/>
        <v>0</v>
      </c>
      <c r="BHA9" s="146">
        <f t="shared" si="53"/>
        <v>0</v>
      </c>
      <c r="BHB9" s="146">
        <f t="shared" si="53"/>
        <v>0</v>
      </c>
      <c r="BHC9" s="146">
        <f t="shared" si="53"/>
        <v>0</v>
      </c>
      <c r="BHD9" s="146">
        <f t="shared" si="53"/>
        <v>0</v>
      </c>
      <c r="BHE9" s="146">
        <f t="shared" si="53"/>
        <v>0</v>
      </c>
      <c r="BHF9" s="146">
        <f t="shared" si="53"/>
        <v>0</v>
      </c>
      <c r="BHG9" s="146">
        <f t="shared" si="53"/>
        <v>0</v>
      </c>
      <c r="BHH9" s="146">
        <f t="shared" si="53"/>
        <v>0</v>
      </c>
      <c r="BHI9" s="146">
        <f t="shared" si="53"/>
        <v>0</v>
      </c>
      <c r="BHJ9" s="146">
        <f t="shared" si="53"/>
        <v>0</v>
      </c>
      <c r="BHK9" s="146">
        <f t="shared" si="53"/>
        <v>0</v>
      </c>
      <c r="BHL9" s="146">
        <f t="shared" si="53"/>
        <v>0</v>
      </c>
      <c r="BHM9" s="146">
        <f t="shared" si="53"/>
        <v>0</v>
      </c>
      <c r="BHN9" s="146">
        <f t="shared" si="53"/>
        <v>0</v>
      </c>
      <c r="BHO9" s="146">
        <f t="shared" si="53"/>
        <v>0</v>
      </c>
      <c r="BHP9" s="146">
        <f t="shared" si="53"/>
        <v>0</v>
      </c>
      <c r="BHQ9" s="146">
        <f t="shared" si="53"/>
        <v>0</v>
      </c>
      <c r="BHR9" s="146">
        <f t="shared" si="53"/>
        <v>0</v>
      </c>
      <c r="BHS9" s="146">
        <f t="shared" ref="BHS9:BKD9" si="54">SUBTOTAL(9, BHS12:BHS9880)</f>
        <v>0</v>
      </c>
      <c r="BHT9" s="146">
        <f t="shared" si="54"/>
        <v>0</v>
      </c>
      <c r="BHU9" s="146">
        <f t="shared" si="54"/>
        <v>0</v>
      </c>
      <c r="BHV9" s="146">
        <f t="shared" si="54"/>
        <v>0</v>
      </c>
      <c r="BHW9" s="146">
        <f t="shared" si="54"/>
        <v>0</v>
      </c>
      <c r="BHX9" s="146">
        <f t="shared" si="54"/>
        <v>0</v>
      </c>
      <c r="BHY9" s="146">
        <f t="shared" si="54"/>
        <v>0</v>
      </c>
      <c r="BHZ9" s="146">
        <f t="shared" si="54"/>
        <v>0</v>
      </c>
      <c r="BIA9" s="146">
        <f t="shared" si="54"/>
        <v>0</v>
      </c>
      <c r="BIB9" s="146">
        <f t="shared" si="54"/>
        <v>0</v>
      </c>
      <c r="BIC9" s="146">
        <f t="shared" si="54"/>
        <v>0</v>
      </c>
      <c r="BID9" s="146">
        <f t="shared" si="54"/>
        <v>0</v>
      </c>
      <c r="BIE9" s="146">
        <f t="shared" si="54"/>
        <v>0</v>
      </c>
      <c r="BIF9" s="146">
        <f t="shared" si="54"/>
        <v>0</v>
      </c>
      <c r="BIG9" s="146">
        <f t="shared" si="54"/>
        <v>0</v>
      </c>
      <c r="BIH9" s="146">
        <f t="shared" si="54"/>
        <v>0</v>
      </c>
      <c r="BII9" s="146">
        <f t="shared" si="54"/>
        <v>0</v>
      </c>
      <c r="BIJ9" s="146">
        <f t="shared" si="54"/>
        <v>0</v>
      </c>
      <c r="BIK9" s="146">
        <f t="shared" si="54"/>
        <v>0</v>
      </c>
      <c r="BIL9" s="146">
        <f t="shared" si="54"/>
        <v>0</v>
      </c>
      <c r="BIM9" s="146">
        <f t="shared" si="54"/>
        <v>0</v>
      </c>
      <c r="BIN9" s="146">
        <f t="shared" si="54"/>
        <v>0</v>
      </c>
      <c r="BIO9" s="146">
        <f t="shared" si="54"/>
        <v>0</v>
      </c>
      <c r="BIP9" s="146">
        <f t="shared" si="54"/>
        <v>0</v>
      </c>
      <c r="BIQ9" s="146">
        <f t="shared" si="54"/>
        <v>0</v>
      </c>
      <c r="BIR9" s="146">
        <f t="shared" si="54"/>
        <v>0</v>
      </c>
      <c r="BIS9" s="146">
        <f t="shared" si="54"/>
        <v>0</v>
      </c>
      <c r="BIT9" s="146">
        <f t="shared" si="54"/>
        <v>0</v>
      </c>
      <c r="BIU9" s="146">
        <f t="shared" si="54"/>
        <v>0</v>
      </c>
      <c r="BIV9" s="146">
        <f t="shared" si="54"/>
        <v>0</v>
      </c>
      <c r="BIW9" s="146">
        <f t="shared" si="54"/>
        <v>0</v>
      </c>
      <c r="BIX9" s="146">
        <f t="shared" si="54"/>
        <v>0</v>
      </c>
      <c r="BIY9" s="146">
        <f t="shared" si="54"/>
        <v>0</v>
      </c>
      <c r="BIZ9" s="146">
        <f t="shared" si="54"/>
        <v>0</v>
      </c>
      <c r="BJA9" s="146">
        <f t="shared" si="54"/>
        <v>0</v>
      </c>
      <c r="BJB9" s="146">
        <f t="shared" si="54"/>
        <v>0</v>
      </c>
      <c r="BJC9" s="146">
        <f t="shared" si="54"/>
        <v>0</v>
      </c>
      <c r="BJD9" s="146">
        <f t="shared" si="54"/>
        <v>0</v>
      </c>
      <c r="BJE9" s="146">
        <f t="shared" si="54"/>
        <v>0</v>
      </c>
      <c r="BJF9" s="146">
        <f t="shared" si="54"/>
        <v>0</v>
      </c>
      <c r="BJG9" s="146">
        <f t="shared" si="54"/>
        <v>0</v>
      </c>
      <c r="BJH9" s="146">
        <f t="shared" si="54"/>
        <v>0</v>
      </c>
      <c r="BJI9" s="146">
        <f t="shared" si="54"/>
        <v>0</v>
      </c>
      <c r="BJJ9" s="146">
        <f t="shared" si="54"/>
        <v>0</v>
      </c>
      <c r="BJK9" s="146">
        <f t="shared" si="54"/>
        <v>0</v>
      </c>
      <c r="BJL9" s="146">
        <f t="shared" si="54"/>
        <v>0</v>
      </c>
      <c r="BJM9" s="146">
        <f t="shared" si="54"/>
        <v>0</v>
      </c>
      <c r="BJN9" s="146">
        <f t="shared" si="54"/>
        <v>0</v>
      </c>
      <c r="BJO9" s="146">
        <f t="shared" si="54"/>
        <v>0</v>
      </c>
      <c r="BJP9" s="146">
        <f t="shared" si="54"/>
        <v>0</v>
      </c>
      <c r="BJQ9" s="146">
        <f t="shared" si="54"/>
        <v>0</v>
      </c>
      <c r="BJR9" s="146">
        <f t="shared" si="54"/>
        <v>0</v>
      </c>
      <c r="BJS9" s="146">
        <f t="shared" si="54"/>
        <v>0</v>
      </c>
      <c r="BJT9" s="146">
        <f t="shared" si="54"/>
        <v>0</v>
      </c>
      <c r="BJU9" s="146">
        <f t="shared" si="54"/>
        <v>0</v>
      </c>
      <c r="BJV9" s="146">
        <f t="shared" si="54"/>
        <v>0</v>
      </c>
      <c r="BJW9" s="146">
        <f t="shared" si="54"/>
        <v>0</v>
      </c>
      <c r="BJX9" s="146">
        <f t="shared" si="54"/>
        <v>0</v>
      </c>
      <c r="BJY9" s="146">
        <f t="shared" si="54"/>
        <v>0</v>
      </c>
      <c r="BJZ9" s="146">
        <f t="shared" si="54"/>
        <v>0</v>
      </c>
      <c r="BKA9" s="146">
        <f t="shared" si="54"/>
        <v>0</v>
      </c>
      <c r="BKB9" s="146">
        <f t="shared" si="54"/>
        <v>0</v>
      </c>
      <c r="BKC9" s="146">
        <f t="shared" si="54"/>
        <v>0</v>
      </c>
      <c r="BKD9" s="146">
        <f t="shared" si="54"/>
        <v>0</v>
      </c>
      <c r="BKE9" s="146">
        <f t="shared" ref="BKE9:BMS9" si="55">SUBTOTAL(9, BKE12:BKE9880)</f>
        <v>0</v>
      </c>
      <c r="BKF9" s="146">
        <f t="shared" si="55"/>
        <v>0</v>
      </c>
      <c r="BKG9" s="146">
        <f t="shared" si="55"/>
        <v>0</v>
      </c>
      <c r="BKH9" s="146">
        <f t="shared" si="55"/>
        <v>0</v>
      </c>
      <c r="BKI9" s="146">
        <f t="shared" si="55"/>
        <v>0</v>
      </c>
      <c r="BKJ9" s="146">
        <f t="shared" si="55"/>
        <v>0</v>
      </c>
      <c r="BKK9" s="146">
        <f t="shared" si="55"/>
        <v>0</v>
      </c>
      <c r="BKL9" s="146">
        <f t="shared" si="55"/>
        <v>0</v>
      </c>
      <c r="BKM9" s="146">
        <f t="shared" si="55"/>
        <v>0</v>
      </c>
      <c r="BKN9" s="146">
        <f t="shared" si="55"/>
        <v>0</v>
      </c>
      <c r="BKO9" s="146">
        <f t="shared" si="55"/>
        <v>0</v>
      </c>
      <c r="BKP9" s="146">
        <f t="shared" si="55"/>
        <v>0</v>
      </c>
      <c r="BKQ9" s="146">
        <f t="shared" si="55"/>
        <v>0</v>
      </c>
      <c r="BKR9" s="146">
        <f t="shared" si="55"/>
        <v>0</v>
      </c>
      <c r="BKS9" s="146">
        <f t="shared" si="55"/>
        <v>0</v>
      </c>
      <c r="BKT9" s="146">
        <f t="shared" si="55"/>
        <v>0</v>
      </c>
      <c r="BKU9" s="146">
        <f t="shared" si="55"/>
        <v>0</v>
      </c>
      <c r="BKV9" s="146">
        <f t="shared" si="55"/>
        <v>0</v>
      </c>
      <c r="BKW9" s="146">
        <f t="shared" si="55"/>
        <v>0</v>
      </c>
      <c r="BKX9" s="146">
        <f t="shared" si="55"/>
        <v>0</v>
      </c>
      <c r="BKY9" s="146">
        <f t="shared" si="55"/>
        <v>0</v>
      </c>
      <c r="BKZ9" s="146">
        <f t="shared" si="55"/>
        <v>0</v>
      </c>
      <c r="BLA9" s="146">
        <f t="shared" si="55"/>
        <v>0</v>
      </c>
      <c r="BLB9" s="146">
        <f t="shared" si="55"/>
        <v>0</v>
      </c>
      <c r="BLC9" s="146">
        <f t="shared" si="55"/>
        <v>0</v>
      </c>
      <c r="BLD9" s="146">
        <f t="shared" si="55"/>
        <v>0</v>
      </c>
      <c r="BLE9" s="146">
        <f t="shared" si="55"/>
        <v>0</v>
      </c>
      <c r="BLF9" s="146">
        <f t="shared" si="55"/>
        <v>0</v>
      </c>
      <c r="BLG9" s="146">
        <f t="shared" si="55"/>
        <v>0</v>
      </c>
      <c r="BLH9" s="146">
        <f t="shared" si="55"/>
        <v>0</v>
      </c>
      <c r="BLI9" s="146">
        <f t="shared" si="55"/>
        <v>0</v>
      </c>
      <c r="BLJ9" s="146">
        <f t="shared" si="55"/>
        <v>0</v>
      </c>
      <c r="BLK9" s="146">
        <f t="shared" si="55"/>
        <v>0</v>
      </c>
      <c r="BLL9" s="146">
        <f t="shared" si="55"/>
        <v>0</v>
      </c>
      <c r="BLM9" s="146">
        <f t="shared" si="55"/>
        <v>0</v>
      </c>
      <c r="BLN9" s="146">
        <f t="shared" si="55"/>
        <v>0</v>
      </c>
      <c r="BLO9" s="146">
        <f t="shared" si="55"/>
        <v>0</v>
      </c>
      <c r="BLP9" s="146">
        <f t="shared" si="55"/>
        <v>0</v>
      </c>
      <c r="BLQ9" s="146">
        <f t="shared" si="55"/>
        <v>0</v>
      </c>
      <c r="BLR9" s="146">
        <f t="shared" si="55"/>
        <v>0</v>
      </c>
      <c r="BLS9" s="146">
        <f t="shared" si="55"/>
        <v>0</v>
      </c>
      <c r="BLT9" s="146">
        <f t="shared" si="55"/>
        <v>0</v>
      </c>
      <c r="BLU9" s="146">
        <f t="shared" si="55"/>
        <v>0</v>
      </c>
      <c r="BLV9" s="146">
        <f t="shared" si="55"/>
        <v>0</v>
      </c>
      <c r="BLW9" s="146">
        <f t="shared" si="55"/>
        <v>0</v>
      </c>
      <c r="BLX9" s="146">
        <f t="shared" si="55"/>
        <v>0</v>
      </c>
      <c r="BLY9" s="146">
        <f t="shared" si="55"/>
        <v>0</v>
      </c>
      <c r="BLZ9" s="146">
        <f t="shared" si="55"/>
        <v>0</v>
      </c>
      <c r="BMA9" s="146">
        <f t="shared" si="55"/>
        <v>0</v>
      </c>
      <c r="BMB9" s="146">
        <f t="shared" si="55"/>
        <v>0</v>
      </c>
      <c r="BMC9" s="146">
        <f t="shared" si="55"/>
        <v>0</v>
      </c>
      <c r="BMD9" s="146">
        <f t="shared" si="55"/>
        <v>0</v>
      </c>
      <c r="BME9" s="146">
        <f t="shared" si="55"/>
        <v>0</v>
      </c>
      <c r="BMF9" s="146">
        <f t="shared" si="55"/>
        <v>0</v>
      </c>
      <c r="BMG9" s="146">
        <f t="shared" si="55"/>
        <v>0</v>
      </c>
      <c r="BMH9" s="146">
        <f t="shared" si="55"/>
        <v>0</v>
      </c>
      <c r="BMI9" s="146">
        <f t="shared" si="55"/>
        <v>0</v>
      </c>
      <c r="BMJ9" s="146">
        <f t="shared" si="55"/>
        <v>0</v>
      </c>
      <c r="BMK9" s="146">
        <f t="shared" si="55"/>
        <v>0</v>
      </c>
      <c r="BML9" s="146">
        <f t="shared" si="55"/>
        <v>0</v>
      </c>
      <c r="BMM9" s="146">
        <f t="shared" si="55"/>
        <v>0</v>
      </c>
      <c r="BMN9" s="146">
        <f t="shared" si="55"/>
        <v>0</v>
      </c>
      <c r="BMO9" s="146">
        <f t="shared" si="55"/>
        <v>0</v>
      </c>
      <c r="BMP9" s="146">
        <f t="shared" si="55"/>
        <v>0</v>
      </c>
      <c r="BMQ9" s="146">
        <f t="shared" si="55"/>
        <v>0</v>
      </c>
      <c r="BMR9" s="146">
        <f t="shared" si="55"/>
        <v>0</v>
      </c>
      <c r="BMS9" s="149">
        <f t="shared" si="55"/>
        <v>0</v>
      </c>
      <c r="BMW9" s="150" t="s">
        <v>2132</v>
      </c>
    </row>
    <row r="10" spans="1:1713" ht="29.25" customHeight="1" x14ac:dyDescent="0.35">
      <c r="A10" s="44" t="s">
        <v>38</v>
      </c>
      <c r="B10" s="44" t="s">
        <v>39</v>
      </c>
      <c r="C10" s="44" t="s">
        <v>40</v>
      </c>
      <c r="D10" s="39" t="s">
        <v>134</v>
      </c>
      <c r="E10" s="39" t="s">
        <v>41</v>
      </c>
      <c r="F10" s="39" t="s">
        <v>42</v>
      </c>
      <c r="G10" s="39" t="s">
        <v>43</v>
      </c>
      <c r="H10" s="39" t="s">
        <v>44</v>
      </c>
      <c r="I10" s="39" t="s">
        <v>45</v>
      </c>
      <c r="J10" s="49" t="s">
        <v>46</v>
      </c>
      <c r="K10" s="39" t="s">
        <v>47</v>
      </c>
      <c r="L10" s="39" t="s">
        <v>48</v>
      </c>
      <c r="M10" s="39" t="s">
        <v>374</v>
      </c>
      <c r="N10" s="39" t="s">
        <v>50</v>
      </c>
      <c r="O10" s="39" t="s">
        <v>344</v>
      </c>
      <c r="P10" s="47" t="s">
        <v>375</v>
      </c>
      <c r="Q10" s="47" t="s">
        <v>376</v>
      </c>
      <c r="R10" s="47" t="s">
        <v>377</v>
      </c>
      <c r="S10" s="47" t="s">
        <v>378</v>
      </c>
      <c r="T10" s="47" t="s">
        <v>379</v>
      </c>
      <c r="U10" s="47" t="s">
        <v>1910</v>
      </c>
      <c r="V10" s="47" t="s">
        <v>380</v>
      </c>
      <c r="W10" s="47" t="s">
        <v>381</v>
      </c>
      <c r="X10" s="47" t="s">
        <v>382</v>
      </c>
      <c r="Y10" s="47" t="s">
        <v>383</v>
      </c>
      <c r="Z10" s="47" t="s">
        <v>384</v>
      </c>
      <c r="AA10" s="47" t="s">
        <v>385</v>
      </c>
      <c r="AB10" s="47" t="s">
        <v>386</v>
      </c>
      <c r="AC10" s="47" t="s">
        <v>387</v>
      </c>
      <c r="AD10" s="47" t="s">
        <v>388</v>
      </c>
      <c r="AE10" s="47" t="s">
        <v>389</v>
      </c>
      <c r="AF10" s="47" t="s">
        <v>390</v>
      </c>
      <c r="AG10" s="47" t="s">
        <v>391</v>
      </c>
      <c r="AH10" s="47" t="s">
        <v>392</v>
      </c>
      <c r="AI10" s="47" t="s">
        <v>393</v>
      </c>
      <c r="AJ10" s="47" t="s">
        <v>394</v>
      </c>
      <c r="AK10" s="47" t="s">
        <v>395</v>
      </c>
      <c r="AL10" s="47" t="s">
        <v>396</v>
      </c>
      <c r="AM10" s="47" t="s">
        <v>397</v>
      </c>
      <c r="AN10" s="47" t="s">
        <v>398</v>
      </c>
      <c r="AO10" s="47" t="s">
        <v>399</v>
      </c>
      <c r="AP10" s="47" t="s">
        <v>400</v>
      </c>
      <c r="AQ10" s="47" t="s">
        <v>401</v>
      </c>
      <c r="AR10" s="47" t="s">
        <v>402</v>
      </c>
      <c r="AS10" s="47" t="s">
        <v>403</v>
      </c>
      <c r="AT10" s="47" t="s">
        <v>404</v>
      </c>
      <c r="AU10" s="47" t="s">
        <v>405</v>
      </c>
      <c r="AV10" s="47" t="s">
        <v>406</v>
      </c>
      <c r="AW10" s="47" t="s">
        <v>407</v>
      </c>
      <c r="AX10" s="47" t="s">
        <v>408</v>
      </c>
      <c r="AY10" s="47" t="s">
        <v>409</v>
      </c>
      <c r="AZ10" s="47" t="s">
        <v>1929</v>
      </c>
      <c r="BA10" s="47" t="s">
        <v>1913</v>
      </c>
      <c r="BB10" s="47" t="s">
        <v>1914</v>
      </c>
      <c r="BC10" s="47" t="s">
        <v>1915</v>
      </c>
      <c r="BD10" s="47" t="s">
        <v>1916</v>
      </c>
      <c r="BE10" s="47" t="s">
        <v>1917</v>
      </c>
      <c r="BF10" s="47" t="s">
        <v>1918</v>
      </c>
      <c r="BG10" s="47" t="s">
        <v>1919</v>
      </c>
      <c r="BH10" s="47" t="s">
        <v>1920</v>
      </c>
      <c r="BI10" s="47" t="s">
        <v>1921</v>
      </c>
      <c r="BJ10" s="47" t="s">
        <v>1922</v>
      </c>
      <c r="BK10" s="47" t="s">
        <v>1998</v>
      </c>
      <c r="BL10" s="47" t="s">
        <v>1999</v>
      </c>
      <c r="BM10" s="47" t="s">
        <v>2000</v>
      </c>
      <c r="BN10" s="47" t="s">
        <v>410</v>
      </c>
      <c r="BO10" s="47" t="s">
        <v>411</v>
      </c>
      <c r="BP10" s="47" t="s">
        <v>412</v>
      </c>
      <c r="BQ10" s="47" t="s">
        <v>413</v>
      </c>
      <c r="BR10" s="47" t="s">
        <v>414</v>
      </c>
      <c r="BS10" s="47" t="s">
        <v>415</v>
      </c>
      <c r="BT10" s="47" t="s">
        <v>416</v>
      </c>
      <c r="BU10" s="47" t="s">
        <v>417</v>
      </c>
      <c r="BV10" s="47" t="s">
        <v>418</v>
      </c>
      <c r="BW10" s="47" t="s">
        <v>419</v>
      </c>
      <c r="BX10" s="47" t="s">
        <v>420</v>
      </c>
      <c r="BY10" s="47" t="s">
        <v>421</v>
      </c>
      <c r="BZ10" s="47" t="s">
        <v>422</v>
      </c>
      <c r="CA10" s="47" t="s">
        <v>423</v>
      </c>
      <c r="CB10" s="47" t="s">
        <v>424</v>
      </c>
      <c r="CC10" s="47" t="s">
        <v>425</v>
      </c>
      <c r="CD10" s="47" t="s">
        <v>426</v>
      </c>
      <c r="CE10" s="47" t="s">
        <v>427</v>
      </c>
      <c r="CF10" s="47" t="s">
        <v>428</v>
      </c>
      <c r="CG10" s="100" t="s">
        <v>429</v>
      </c>
      <c r="CH10" s="100" t="s">
        <v>430</v>
      </c>
      <c r="CI10" s="100" t="s">
        <v>431</v>
      </c>
      <c r="CJ10" s="47" t="s">
        <v>432</v>
      </c>
      <c r="CK10" s="47" t="s">
        <v>433</v>
      </c>
      <c r="CL10" s="47" t="s">
        <v>434</v>
      </c>
      <c r="CM10" s="47" t="s">
        <v>435</v>
      </c>
      <c r="CN10" s="47" t="s">
        <v>436</v>
      </c>
      <c r="CO10" s="47" t="s">
        <v>437</v>
      </c>
      <c r="CP10" s="47" t="s">
        <v>438</v>
      </c>
      <c r="CQ10" s="47" t="s">
        <v>439</v>
      </c>
      <c r="CR10" s="47" t="s">
        <v>440</v>
      </c>
      <c r="CS10" s="47" t="s">
        <v>441</v>
      </c>
      <c r="CT10" s="47" t="s">
        <v>442</v>
      </c>
      <c r="CU10" s="47" t="s">
        <v>443</v>
      </c>
      <c r="CV10" s="47" t="s">
        <v>444</v>
      </c>
      <c r="CW10" s="47" t="s">
        <v>445</v>
      </c>
      <c r="CX10" s="47" t="s">
        <v>446</v>
      </c>
      <c r="CY10" s="47" t="s">
        <v>447</v>
      </c>
      <c r="CZ10" s="47" t="s">
        <v>448</v>
      </c>
      <c r="DA10" s="47" t="s">
        <v>449</v>
      </c>
      <c r="DB10" s="47" t="s">
        <v>450</v>
      </c>
      <c r="DC10" s="47" t="s">
        <v>451</v>
      </c>
      <c r="DD10" s="47" t="s">
        <v>452</v>
      </c>
      <c r="DE10" s="47" t="s">
        <v>453</v>
      </c>
      <c r="DF10" s="47" t="s">
        <v>454</v>
      </c>
      <c r="DG10" s="47" t="s">
        <v>455</v>
      </c>
      <c r="DH10" s="47" t="s">
        <v>456</v>
      </c>
      <c r="DI10" s="47" t="s">
        <v>457</v>
      </c>
      <c r="DJ10" s="47" t="s">
        <v>458</v>
      </c>
      <c r="DK10" s="47" t="s">
        <v>459</v>
      </c>
      <c r="DL10" s="47" t="s">
        <v>460</v>
      </c>
      <c r="DM10" s="47" t="s">
        <v>461</v>
      </c>
      <c r="DN10" s="47" t="s">
        <v>462</v>
      </c>
      <c r="DO10" s="47" t="s">
        <v>463</v>
      </c>
      <c r="DP10" s="47" t="s">
        <v>464</v>
      </c>
      <c r="DQ10" s="47" t="s">
        <v>465</v>
      </c>
      <c r="DR10" s="47" t="s">
        <v>466</v>
      </c>
      <c r="DS10" s="47" t="s">
        <v>467</v>
      </c>
      <c r="DT10" s="47" t="s">
        <v>468</v>
      </c>
      <c r="DU10" s="47" t="s">
        <v>469</v>
      </c>
      <c r="DV10" s="47" t="s">
        <v>470</v>
      </c>
      <c r="DW10" s="47" t="s">
        <v>471</v>
      </c>
      <c r="DX10" s="47" t="s">
        <v>472</v>
      </c>
      <c r="DY10" s="47" t="s">
        <v>473</v>
      </c>
      <c r="DZ10" s="47" t="s">
        <v>474</v>
      </c>
      <c r="EA10" s="47" t="s">
        <v>475</v>
      </c>
      <c r="EB10" s="47" t="s">
        <v>476</v>
      </c>
      <c r="EC10" s="47" t="s">
        <v>477</v>
      </c>
      <c r="ED10" s="47" t="s">
        <v>478</v>
      </c>
      <c r="EE10" s="47" t="s">
        <v>479</v>
      </c>
      <c r="EF10" s="47" t="s">
        <v>480</v>
      </c>
      <c r="EG10" s="47" t="s">
        <v>481</v>
      </c>
      <c r="EH10" s="47" t="s">
        <v>482</v>
      </c>
      <c r="EI10" s="47" t="s">
        <v>483</v>
      </c>
      <c r="EJ10" s="47" t="s">
        <v>484</v>
      </c>
      <c r="EK10" s="47" t="s">
        <v>485</v>
      </c>
      <c r="EL10" s="47" t="s">
        <v>486</v>
      </c>
      <c r="EM10" s="47" t="s">
        <v>487</v>
      </c>
      <c r="EN10" s="47" t="s">
        <v>488</v>
      </c>
      <c r="EO10" s="47" t="s">
        <v>489</v>
      </c>
      <c r="EP10" s="47" t="s">
        <v>490</v>
      </c>
      <c r="EQ10" s="47" t="s">
        <v>491</v>
      </c>
      <c r="ER10" s="47" t="s">
        <v>492</v>
      </c>
      <c r="ES10" s="47" t="s">
        <v>493</v>
      </c>
      <c r="ET10" s="47" t="s">
        <v>494</v>
      </c>
      <c r="EU10" s="47" t="s">
        <v>495</v>
      </c>
      <c r="EV10" s="47" t="s">
        <v>496</v>
      </c>
      <c r="EW10" s="47" t="s">
        <v>497</v>
      </c>
      <c r="EX10" s="47" t="s">
        <v>498</v>
      </c>
      <c r="EY10" s="47" t="s">
        <v>499</v>
      </c>
      <c r="EZ10" s="47" t="s">
        <v>500</v>
      </c>
      <c r="FA10" s="47" t="s">
        <v>501</v>
      </c>
      <c r="FB10" s="47" t="s">
        <v>502</v>
      </c>
      <c r="FC10" s="47" t="s">
        <v>503</v>
      </c>
      <c r="FD10" s="47" t="s">
        <v>504</v>
      </c>
      <c r="FE10" s="47" t="s">
        <v>505</v>
      </c>
      <c r="FF10" s="47" t="s">
        <v>506</v>
      </c>
      <c r="FG10" s="47" t="s">
        <v>507</v>
      </c>
      <c r="FH10" s="47" t="s">
        <v>508</v>
      </c>
      <c r="FI10" s="47" t="s">
        <v>509</v>
      </c>
      <c r="FJ10" s="47" t="s">
        <v>510</v>
      </c>
      <c r="FK10" s="47" t="s">
        <v>511</v>
      </c>
      <c r="FL10" s="47" t="s">
        <v>512</v>
      </c>
      <c r="FM10" s="47" t="s">
        <v>513</v>
      </c>
      <c r="FN10" s="47" t="s">
        <v>514</v>
      </c>
      <c r="FO10" s="47" t="s">
        <v>515</v>
      </c>
      <c r="FP10" s="47" t="s">
        <v>516</v>
      </c>
      <c r="FQ10" s="47" t="s">
        <v>517</v>
      </c>
      <c r="FR10" s="47" t="s">
        <v>518</v>
      </c>
      <c r="FS10" s="47" t="s">
        <v>519</v>
      </c>
      <c r="FT10" s="47" t="s">
        <v>520</v>
      </c>
      <c r="FU10" s="47" t="s">
        <v>521</v>
      </c>
      <c r="FV10" s="47" t="s">
        <v>522</v>
      </c>
      <c r="FW10" s="47" t="s">
        <v>523</v>
      </c>
      <c r="FX10" s="47" t="s">
        <v>524</v>
      </c>
      <c r="FY10" s="47" t="s">
        <v>525</v>
      </c>
      <c r="FZ10" s="47" t="s">
        <v>526</v>
      </c>
      <c r="GA10" s="47" t="s">
        <v>527</v>
      </c>
      <c r="GB10" s="47" t="s">
        <v>528</v>
      </c>
      <c r="GC10" s="47" t="s">
        <v>529</v>
      </c>
      <c r="GD10" s="47" t="s">
        <v>530</v>
      </c>
      <c r="GE10" s="47" t="s">
        <v>531</v>
      </c>
      <c r="GF10" s="47" t="s">
        <v>532</v>
      </c>
      <c r="GG10" s="47" t="s">
        <v>533</v>
      </c>
      <c r="GH10" s="47" t="s">
        <v>534</v>
      </c>
      <c r="GI10" s="47" t="s">
        <v>535</v>
      </c>
      <c r="GJ10" s="47" t="s">
        <v>536</v>
      </c>
      <c r="GK10" s="47" t="s">
        <v>537</v>
      </c>
      <c r="GL10" s="47" t="s">
        <v>538</v>
      </c>
      <c r="GM10" s="47" t="s">
        <v>539</v>
      </c>
      <c r="GN10" s="47" t="s">
        <v>540</v>
      </c>
      <c r="GO10" s="47" t="s">
        <v>541</v>
      </c>
      <c r="GP10" s="47" t="s">
        <v>542</v>
      </c>
      <c r="GQ10" s="47" t="s">
        <v>543</v>
      </c>
      <c r="GR10" s="47" t="s">
        <v>544</v>
      </c>
      <c r="GS10" s="47" t="s">
        <v>545</v>
      </c>
      <c r="GT10" s="47" t="s">
        <v>546</v>
      </c>
      <c r="GU10" s="47" t="s">
        <v>547</v>
      </c>
      <c r="GV10" s="47" t="s">
        <v>548</v>
      </c>
      <c r="GW10" s="47" t="s">
        <v>549</v>
      </c>
      <c r="GX10" s="47" t="s">
        <v>550</v>
      </c>
      <c r="GY10" s="47" t="s">
        <v>551</v>
      </c>
      <c r="GZ10" s="47" t="s">
        <v>552</v>
      </c>
      <c r="HA10" s="47" t="s">
        <v>553</v>
      </c>
      <c r="HB10" s="47" t="s">
        <v>554</v>
      </c>
      <c r="HC10" s="47" t="s">
        <v>555</v>
      </c>
      <c r="HD10" s="47" t="s">
        <v>556</v>
      </c>
      <c r="HE10" s="47" t="s">
        <v>557</v>
      </c>
      <c r="HF10" s="47" t="s">
        <v>558</v>
      </c>
      <c r="HG10" s="47" t="s">
        <v>559</v>
      </c>
      <c r="HH10" s="47" t="s">
        <v>560</v>
      </c>
      <c r="HI10" s="47" t="s">
        <v>561</v>
      </c>
      <c r="HJ10" s="47" t="s">
        <v>562</v>
      </c>
      <c r="HK10" s="47" t="s">
        <v>563</v>
      </c>
      <c r="HL10" s="47" t="s">
        <v>564</v>
      </c>
      <c r="HM10" s="47" t="s">
        <v>565</v>
      </c>
      <c r="HN10" s="47" t="s">
        <v>566</v>
      </c>
      <c r="HO10" s="47" t="s">
        <v>567</v>
      </c>
      <c r="HP10" s="47" t="s">
        <v>568</v>
      </c>
      <c r="HQ10" s="47" t="s">
        <v>569</v>
      </c>
      <c r="HR10" s="47" t="s">
        <v>570</v>
      </c>
      <c r="HS10" s="47" t="s">
        <v>571</v>
      </c>
      <c r="HT10" s="47" t="s">
        <v>572</v>
      </c>
      <c r="HU10" s="47" t="s">
        <v>573</v>
      </c>
      <c r="HV10" s="47" t="s">
        <v>574</v>
      </c>
      <c r="HW10" s="47" t="s">
        <v>575</v>
      </c>
      <c r="HX10" s="47" t="s">
        <v>576</v>
      </c>
      <c r="HY10" s="47" t="s">
        <v>577</v>
      </c>
      <c r="HZ10" s="47" t="s">
        <v>578</v>
      </c>
      <c r="IA10" s="47" t="s">
        <v>579</v>
      </c>
      <c r="IB10" s="47" t="s">
        <v>580</v>
      </c>
      <c r="IC10" s="47" t="s">
        <v>581</v>
      </c>
      <c r="ID10" s="47" t="s">
        <v>582</v>
      </c>
      <c r="IE10" s="47" t="s">
        <v>583</v>
      </c>
      <c r="IF10" s="47" t="s">
        <v>584</v>
      </c>
      <c r="IG10" s="47" t="s">
        <v>585</v>
      </c>
      <c r="IH10" s="47" t="s">
        <v>586</v>
      </c>
      <c r="II10" s="47" t="s">
        <v>587</v>
      </c>
      <c r="IJ10" s="47" t="s">
        <v>588</v>
      </c>
      <c r="IK10" s="47" t="s">
        <v>589</v>
      </c>
      <c r="IL10" s="47" t="s">
        <v>590</v>
      </c>
      <c r="IM10" s="47" t="s">
        <v>591</v>
      </c>
      <c r="IN10" s="47" t="s">
        <v>592</v>
      </c>
      <c r="IO10" s="47" t="s">
        <v>593</v>
      </c>
      <c r="IP10" s="47" t="s">
        <v>594</v>
      </c>
      <c r="IQ10" s="47" t="s">
        <v>595</v>
      </c>
      <c r="IR10" s="47" t="s">
        <v>596</v>
      </c>
      <c r="IS10" s="47" t="s">
        <v>597</v>
      </c>
      <c r="IT10" s="47" t="s">
        <v>598</v>
      </c>
      <c r="IU10" s="47" t="s">
        <v>599</v>
      </c>
      <c r="IV10" s="47" t="s">
        <v>600</v>
      </c>
      <c r="IW10" s="47" t="s">
        <v>601</v>
      </c>
      <c r="IX10" s="47" t="s">
        <v>602</v>
      </c>
      <c r="IY10" s="47" t="s">
        <v>603</v>
      </c>
      <c r="IZ10" s="47" t="s">
        <v>604</v>
      </c>
      <c r="JA10" s="47" t="s">
        <v>605</v>
      </c>
      <c r="JB10" s="47" t="s">
        <v>606</v>
      </c>
      <c r="JC10" s="47" t="s">
        <v>607</v>
      </c>
      <c r="JD10" s="47" t="s">
        <v>608</v>
      </c>
      <c r="JE10" s="47" t="s">
        <v>609</v>
      </c>
      <c r="JF10" s="47" t="s">
        <v>610</v>
      </c>
      <c r="JG10" s="47" t="s">
        <v>611</v>
      </c>
      <c r="JH10" s="47" t="s">
        <v>612</v>
      </c>
      <c r="JI10" s="47" t="s">
        <v>613</v>
      </c>
      <c r="JJ10" s="47" t="s">
        <v>614</v>
      </c>
      <c r="JK10" s="47" t="s">
        <v>615</v>
      </c>
      <c r="JL10" s="47" t="s">
        <v>616</v>
      </c>
      <c r="JM10" s="47" t="s">
        <v>617</v>
      </c>
      <c r="JN10" s="47" t="s">
        <v>618</v>
      </c>
      <c r="JO10" s="47" t="s">
        <v>619</v>
      </c>
      <c r="JP10" s="47" t="s">
        <v>620</v>
      </c>
      <c r="JQ10" s="47" t="s">
        <v>621</v>
      </c>
      <c r="JR10" s="47" t="s">
        <v>622</v>
      </c>
      <c r="JS10" s="47" t="s">
        <v>623</v>
      </c>
      <c r="JT10" s="47" t="s">
        <v>624</v>
      </c>
      <c r="JU10" s="47" t="s">
        <v>625</v>
      </c>
      <c r="JV10" s="47" t="s">
        <v>626</v>
      </c>
      <c r="JW10" s="47" t="s">
        <v>627</v>
      </c>
      <c r="JX10" s="47" t="s">
        <v>628</v>
      </c>
      <c r="JY10" s="47" t="s">
        <v>629</v>
      </c>
      <c r="JZ10" s="47" t="s">
        <v>630</v>
      </c>
      <c r="KA10" s="47" t="s">
        <v>631</v>
      </c>
      <c r="KB10" s="47" t="s">
        <v>632</v>
      </c>
      <c r="KC10" s="64" t="s">
        <v>2004</v>
      </c>
      <c r="KD10" s="64" t="s">
        <v>2005</v>
      </c>
      <c r="KE10" s="64" t="s">
        <v>2006</v>
      </c>
      <c r="KF10" s="64" t="s">
        <v>2007</v>
      </c>
      <c r="KG10" s="64" t="s">
        <v>2008</v>
      </c>
      <c r="KH10" s="64" t="s">
        <v>2009</v>
      </c>
      <c r="KI10" s="64" t="s">
        <v>2010</v>
      </c>
      <c r="KJ10" s="64" t="s">
        <v>2011</v>
      </c>
      <c r="KK10" s="64" t="s">
        <v>2012</v>
      </c>
      <c r="KL10" s="64" t="s">
        <v>2013</v>
      </c>
      <c r="KM10" s="64" t="s">
        <v>2014</v>
      </c>
      <c r="KN10" s="64" t="s">
        <v>2015</v>
      </c>
      <c r="KO10" s="64" t="s">
        <v>2016</v>
      </c>
      <c r="KP10" s="64" t="s">
        <v>2017</v>
      </c>
      <c r="KQ10" s="64" t="s">
        <v>2018</v>
      </c>
      <c r="KR10" s="64" t="s">
        <v>2019</v>
      </c>
      <c r="KS10" s="64" t="s">
        <v>2020</v>
      </c>
      <c r="KT10" s="64" t="s">
        <v>2021</v>
      </c>
      <c r="KU10" s="64" t="s">
        <v>2022</v>
      </c>
      <c r="KV10" s="64" t="s">
        <v>2023</v>
      </c>
      <c r="KW10" s="64" t="s">
        <v>2024</v>
      </c>
      <c r="KX10" s="64" t="s">
        <v>2025</v>
      </c>
      <c r="KY10" s="64" t="s">
        <v>2026</v>
      </c>
      <c r="KZ10" s="64" t="s">
        <v>2027</v>
      </c>
      <c r="LA10" s="64" t="s">
        <v>2028</v>
      </c>
      <c r="LB10" s="64" t="s">
        <v>2029</v>
      </c>
      <c r="LC10" s="64" t="s">
        <v>2030</v>
      </c>
      <c r="LD10" s="64" t="s">
        <v>2031</v>
      </c>
      <c r="LE10" s="64" t="s">
        <v>2032</v>
      </c>
      <c r="LF10" s="64" t="s">
        <v>2033</v>
      </c>
      <c r="LG10" s="64" t="s">
        <v>2034</v>
      </c>
      <c r="LH10" s="64" t="s">
        <v>2035</v>
      </c>
      <c r="LI10" s="64" t="s">
        <v>2036</v>
      </c>
      <c r="LJ10" s="64" t="s">
        <v>2037</v>
      </c>
      <c r="LK10" s="64" t="s">
        <v>2038</v>
      </c>
      <c r="LL10" s="64" t="s">
        <v>2039</v>
      </c>
      <c r="LM10" s="64" t="s">
        <v>2040</v>
      </c>
      <c r="LN10" s="64" t="s">
        <v>2041</v>
      </c>
      <c r="LO10" s="64" t="s">
        <v>2042</v>
      </c>
      <c r="LP10" s="64" t="s">
        <v>2043</v>
      </c>
      <c r="LQ10" s="64" t="s">
        <v>2044</v>
      </c>
      <c r="LR10" s="64" t="s">
        <v>2045</v>
      </c>
      <c r="LS10" s="47" t="s">
        <v>633</v>
      </c>
      <c r="LT10" s="47" t="s">
        <v>634</v>
      </c>
      <c r="LU10" s="47" t="s">
        <v>635</v>
      </c>
      <c r="LV10" s="47" t="s">
        <v>636</v>
      </c>
      <c r="LW10" s="47" t="s">
        <v>637</v>
      </c>
      <c r="LX10" s="47" t="s">
        <v>638</v>
      </c>
      <c r="LY10" s="47" t="s">
        <v>639</v>
      </c>
      <c r="LZ10" s="47" t="s">
        <v>640</v>
      </c>
      <c r="MA10" s="47" t="s">
        <v>641</v>
      </c>
      <c r="MB10" s="47" t="s">
        <v>642</v>
      </c>
      <c r="MC10" s="47" t="s">
        <v>643</v>
      </c>
      <c r="MD10" s="47" t="s">
        <v>644</v>
      </c>
      <c r="ME10" s="47" t="s">
        <v>645</v>
      </c>
      <c r="MF10" s="47" t="s">
        <v>646</v>
      </c>
      <c r="MG10" s="47" t="s">
        <v>647</v>
      </c>
      <c r="MH10" s="47" t="s">
        <v>648</v>
      </c>
      <c r="MI10" s="47" t="s">
        <v>649</v>
      </c>
      <c r="MJ10" s="47" t="s">
        <v>650</v>
      </c>
      <c r="MK10" s="47" t="s">
        <v>651</v>
      </c>
      <c r="ML10" s="47" t="s">
        <v>652</v>
      </c>
      <c r="MM10" s="47" t="s">
        <v>653</v>
      </c>
      <c r="MN10" s="47" t="s">
        <v>654</v>
      </c>
      <c r="MO10" s="47" t="s">
        <v>655</v>
      </c>
      <c r="MP10" s="47" t="s">
        <v>656</v>
      </c>
      <c r="MQ10" s="47" t="s">
        <v>657</v>
      </c>
      <c r="MR10" s="47" t="s">
        <v>658</v>
      </c>
      <c r="MS10" s="47" t="s">
        <v>659</v>
      </c>
      <c r="MT10" s="47" t="s">
        <v>660</v>
      </c>
      <c r="MU10" s="47" t="s">
        <v>661</v>
      </c>
      <c r="MV10" s="47" t="s">
        <v>662</v>
      </c>
      <c r="MW10" s="47" t="s">
        <v>663</v>
      </c>
      <c r="MX10" s="47" t="s">
        <v>664</v>
      </c>
      <c r="MY10" s="47" t="s">
        <v>665</v>
      </c>
      <c r="MZ10" s="47" t="s">
        <v>666</v>
      </c>
      <c r="NA10" s="47" t="s">
        <v>667</v>
      </c>
      <c r="NB10" s="47" t="s">
        <v>668</v>
      </c>
      <c r="NC10" s="47" t="s">
        <v>669</v>
      </c>
      <c r="ND10" s="47" t="s">
        <v>670</v>
      </c>
      <c r="NE10" s="47" t="s">
        <v>671</v>
      </c>
      <c r="NF10" s="47" t="s">
        <v>672</v>
      </c>
      <c r="NG10" s="47" t="s">
        <v>673</v>
      </c>
      <c r="NH10" s="47" t="s">
        <v>674</v>
      </c>
      <c r="NI10" s="47" t="s">
        <v>675</v>
      </c>
      <c r="NJ10" s="47" t="s">
        <v>676</v>
      </c>
      <c r="NK10" s="47" t="s">
        <v>677</v>
      </c>
      <c r="NL10" s="47" t="s">
        <v>678</v>
      </c>
      <c r="NM10" s="47" t="s">
        <v>679</v>
      </c>
      <c r="NN10" s="47" t="s">
        <v>680</v>
      </c>
      <c r="NO10" s="47" t="s">
        <v>681</v>
      </c>
      <c r="NP10" s="47" t="s">
        <v>682</v>
      </c>
      <c r="NQ10" s="47" t="s">
        <v>683</v>
      </c>
      <c r="NR10" s="47" t="s">
        <v>684</v>
      </c>
      <c r="NS10" s="47" t="s">
        <v>685</v>
      </c>
      <c r="NT10" s="47" t="s">
        <v>686</v>
      </c>
      <c r="NU10" s="47" t="s">
        <v>687</v>
      </c>
      <c r="NV10" s="47" t="s">
        <v>688</v>
      </c>
      <c r="NW10" s="47" t="s">
        <v>689</v>
      </c>
      <c r="NX10" s="47" t="s">
        <v>690</v>
      </c>
      <c r="NY10" s="47" t="s">
        <v>691</v>
      </c>
      <c r="NZ10" s="47" t="s">
        <v>692</v>
      </c>
      <c r="OA10" s="47" t="s">
        <v>693</v>
      </c>
      <c r="OB10" s="47" t="s">
        <v>694</v>
      </c>
      <c r="OC10" s="47" t="s">
        <v>695</v>
      </c>
      <c r="OD10" s="47" t="s">
        <v>696</v>
      </c>
      <c r="OE10" s="47" t="s">
        <v>697</v>
      </c>
      <c r="OF10" s="47" t="s">
        <v>698</v>
      </c>
      <c r="OG10" s="47" t="s">
        <v>699</v>
      </c>
      <c r="OH10" s="47" t="s">
        <v>700</v>
      </c>
      <c r="OI10" s="47" t="s">
        <v>701</v>
      </c>
      <c r="OJ10" s="47" t="s">
        <v>702</v>
      </c>
      <c r="OK10" s="47" t="s">
        <v>703</v>
      </c>
      <c r="OL10" s="47" t="s">
        <v>704</v>
      </c>
      <c r="OM10" s="47" t="s">
        <v>705</v>
      </c>
      <c r="ON10" s="47" t="s">
        <v>706</v>
      </c>
      <c r="OO10" s="47" t="s">
        <v>707</v>
      </c>
      <c r="OP10" s="47" t="s">
        <v>708</v>
      </c>
      <c r="OQ10" s="47" t="s">
        <v>709</v>
      </c>
      <c r="OR10" s="47" t="s">
        <v>710</v>
      </c>
      <c r="OS10" s="47" t="s">
        <v>711</v>
      </c>
      <c r="OT10" s="47" t="s">
        <v>712</v>
      </c>
      <c r="OU10" s="47" t="s">
        <v>713</v>
      </c>
      <c r="OV10" s="47" t="s">
        <v>714</v>
      </c>
      <c r="OW10" s="47" t="s">
        <v>715</v>
      </c>
      <c r="OX10" s="47" t="s">
        <v>716</v>
      </c>
      <c r="OY10" s="47" t="s">
        <v>717</v>
      </c>
      <c r="OZ10" s="47" t="s">
        <v>718</v>
      </c>
      <c r="PA10" s="47" t="s">
        <v>719</v>
      </c>
      <c r="PB10" s="47" t="s">
        <v>720</v>
      </c>
      <c r="PC10" s="47" t="s">
        <v>721</v>
      </c>
      <c r="PD10" s="47" t="s">
        <v>722</v>
      </c>
      <c r="PE10" s="47" t="s">
        <v>723</v>
      </c>
      <c r="PF10" s="47" t="s">
        <v>724</v>
      </c>
      <c r="PG10" s="47" t="s">
        <v>725</v>
      </c>
      <c r="PH10" s="47" t="s">
        <v>726</v>
      </c>
      <c r="PI10" s="47" t="s">
        <v>727</v>
      </c>
      <c r="PJ10" s="47" t="s">
        <v>728</v>
      </c>
      <c r="PK10" s="47" t="s">
        <v>729</v>
      </c>
      <c r="PL10" s="47" t="s">
        <v>730</v>
      </c>
      <c r="PM10" s="47" t="s">
        <v>731</v>
      </c>
      <c r="PN10" s="47" t="s">
        <v>732</v>
      </c>
      <c r="PO10" s="47" t="s">
        <v>733</v>
      </c>
      <c r="PP10" s="47" t="s">
        <v>734</v>
      </c>
      <c r="PQ10" s="47" t="s">
        <v>735</v>
      </c>
      <c r="PR10" s="47" t="s">
        <v>736</v>
      </c>
      <c r="PS10" s="47" t="s">
        <v>737</v>
      </c>
      <c r="PT10" s="47" t="s">
        <v>738</v>
      </c>
      <c r="PU10" s="47" t="s">
        <v>739</v>
      </c>
      <c r="PV10" s="47" t="s">
        <v>740</v>
      </c>
      <c r="PW10" s="47" t="s">
        <v>741</v>
      </c>
      <c r="PX10" s="47" t="s">
        <v>742</v>
      </c>
      <c r="PY10" s="47" t="s">
        <v>743</v>
      </c>
      <c r="PZ10" s="47" t="s">
        <v>744</v>
      </c>
      <c r="QA10" s="47" t="s">
        <v>745</v>
      </c>
      <c r="QB10" s="47" t="s">
        <v>746</v>
      </c>
      <c r="QC10" s="47" t="s">
        <v>747</v>
      </c>
      <c r="QD10" s="47" t="s">
        <v>748</v>
      </c>
      <c r="QE10" s="47" t="s">
        <v>749</v>
      </c>
      <c r="QF10" s="47" t="s">
        <v>750</v>
      </c>
      <c r="QG10" s="47" t="s">
        <v>751</v>
      </c>
      <c r="QH10" s="47" t="s">
        <v>752</v>
      </c>
      <c r="QI10" s="47" t="s">
        <v>753</v>
      </c>
      <c r="QJ10" s="47" t="s">
        <v>754</v>
      </c>
      <c r="QK10" s="47" t="s">
        <v>755</v>
      </c>
      <c r="QL10" s="47" t="s">
        <v>756</v>
      </c>
      <c r="QM10" s="47" t="s">
        <v>757</v>
      </c>
      <c r="QN10" s="47" t="s">
        <v>758</v>
      </c>
      <c r="QO10" s="47" t="s">
        <v>759</v>
      </c>
      <c r="QP10" s="47" t="s">
        <v>760</v>
      </c>
      <c r="QQ10" s="47" t="s">
        <v>761</v>
      </c>
      <c r="QR10" s="47" t="s">
        <v>762</v>
      </c>
      <c r="QS10" s="47" t="s">
        <v>763</v>
      </c>
      <c r="QT10" s="47" t="s">
        <v>764</v>
      </c>
      <c r="QU10" s="47" t="s">
        <v>765</v>
      </c>
      <c r="QV10" s="47" t="s">
        <v>766</v>
      </c>
      <c r="QW10" s="47" t="s">
        <v>767</v>
      </c>
      <c r="QX10" s="47" t="s">
        <v>768</v>
      </c>
      <c r="QY10" s="47" t="s">
        <v>769</v>
      </c>
      <c r="QZ10" s="47" t="s">
        <v>770</v>
      </c>
      <c r="RA10" s="47" t="s">
        <v>771</v>
      </c>
      <c r="RB10" s="47" t="s">
        <v>772</v>
      </c>
      <c r="RC10" s="47" t="s">
        <v>773</v>
      </c>
      <c r="RD10" s="47" t="s">
        <v>774</v>
      </c>
      <c r="RE10" s="47" t="s">
        <v>775</v>
      </c>
      <c r="RF10" s="47" t="s">
        <v>776</v>
      </c>
      <c r="RG10" s="47" t="s">
        <v>777</v>
      </c>
      <c r="RH10" s="47" t="s">
        <v>778</v>
      </c>
      <c r="RI10" s="47" t="s">
        <v>779</v>
      </c>
      <c r="RJ10" s="47" t="s">
        <v>780</v>
      </c>
      <c r="RK10" s="47" t="s">
        <v>781</v>
      </c>
      <c r="RL10" s="47" t="s">
        <v>782</v>
      </c>
      <c r="RM10" s="47" t="s">
        <v>783</v>
      </c>
      <c r="RN10" s="47" t="s">
        <v>784</v>
      </c>
      <c r="RO10" s="47" t="s">
        <v>785</v>
      </c>
      <c r="RP10" s="47" t="s">
        <v>786</v>
      </c>
      <c r="RQ10" s="47" t="s">
        <v>787</v>
      </c>
      <c r="RR10" s="47" t="s">
        <v>788</v>
      </c>
      <c r="RS10" s="47" t="s">
        <v>789</v>
      </c>
      <c r="RT10" s="47" t="s">
        <v>790</v>
      </c>
      <c r="RU10" s="47" t="s">
        <v>791</v>
      </c>
      <c r="RV10" s="47" t="s">
        <v>792</v>
      </c>
      <c r="RW10" s="47" t="s">
        <v>793</v>
      </c>
      <c r="RX10" s="47" t="s">
        <v>794</v>
      </c>
      <c r="RY10" s="47" t="s">
        <v>795</v>
      </c>
      <c r="RZ10" s="47" t="s">
        <v>796</v>
      </c>
      <c r="SA10" s="47" t="s">
        <v>797</v>
      </c>
      <c r="SB10" s="47" t="s">
        <v>798</v>
      </c>
      <c r="SC10" s="47" t="s">
        <v>799</v>
      </c>
      <c r="SD10" s="47" t="s">
        <v>800</v>
      </c>
      <c r="SE10" s="47" t="s">
        <v>801</v>
      </c>
      <c r="SF10" s="47" t="s">
        <v>802</v>
      </c>
      <c r="SG10" s="47" t="s">
        <v>803</v>
      </c>
      <c r="SH10" s="47" t="s">
        <v>804</v>
      </c>
      <c r="SI10" s="47" t="s">
        <v>805</v>
      </c>
      <c r="SJ10" s="47" t="s">
        <v>806</v>
      </c>
      <c r="SK10" s="47" t="s">
        <v>807</v>
      </c>
      <c r="SL10" s="47" t="s">
        <v>808</v>
      </c>
      <c r="SM10" s="47" t="s">
        <v>809</v>
      </c>
      <c r="SN10" s="47" t="s">
        <v>810</v>
      </c>
      <c r="SO10" s="47" t="s">
        <v>811</v>
      </c>
      <c r="SP10" s="47" t="s">
        <v>812</v>
      </c>
      <c r="SQ10" s="47" t="s">
        <v>813</v>
      </c>
      <c r="SR10" s="47" t="s">
        <v>814</v>
      </c>
      <c r="SS10" s="47" t="s">
        <v>815</v>
      </c>
      <c r="ST10" s="47" t="s">
        <v>816</v>
      </c>
      <c r="SU10" s="47" t="s">
        <v>817</v>
      </c>
      <c r="SV10" s="47" t="s">
        <v>818</v>
      </c>
      <c r="SW10" s="47" t="s">
        <v>819</v>
      </c>
      <c r="SX10" s="47" t="s">
        <v>820</v>
      </c>
      <c r="SY10" s="47" t="s">
        <v>821</v>
      </c>
      <c r="SZ10" s="47" t="s">
        <v>822</v>
      </c>
      <c r="TA10" s="47" t="s">
        <v>823</v>
      </c>
      <c r="TB10" s="47" t="s">
        <v>824</v>
      </c>
      <c r="TC10" s="47" t="s">
        <v>825</v>
      </c>
      <c r="TD10" s="47" t="s">
        <v>826</v>
      </c>
      <c r="TE10" s="47" t="s">
        <v>827</v>
      </c>
      <c r="TF10" s="47" t="s">
        <v>828</v>
      </c>
      <c r="TG10" s="47" t="s">
        <v>829</v>
      </c>
      <c r="TH10" s="47" t="s">
        <v>830</v>
      </c>
      <c r="TI10" s="47" t="s">
        <v>831</v>
      </c>
      <c r="TJ10" s="47" t="s">
        <v>832</v>
      </c>
      <c r="TK10" s="47" t="s">
        <v>833</v>
      </c>
      <c r="TL10" s="47" t="s">
        <v>834</v>
      </c>
      <c r="TM10" s="47" t="s">
        <v>835</v>
      </c>
      <c r="TN10" s="47" t="s">
        <v>836</v>
      </c>
      <c r="TO10" s="47" t="s">
        <v>837</v>
      </c>
      <c r="TP10" s="47" t="s">
        <v>838</v>
      </c>
      <c r="TQ10" s="47" t="s">
        <v>839</v>
      </c>
      <c r="TR10" s="47" t="s">
        <v>840</v>
      </c>
      <c r="TS10" s="47" t="s">
        <v>841</v>
      </c>
      <c r="TT10" s="47" t="s">
        <v>842</v>
      </c>
      <c r="TU10" s="47" t="s">
        <v>843</v>
      </c>
      <c r="TV10" s="47" t="s">
        <v>844</v>
      </c>
      <c r="TW10" s="47" t="s">
        <v>845</v>
      </c>
      <c r="TX10" s="47" t="s">
        <v>846</v>
      </c>
      <c r="TY10" s="47" t="s">
        <v>847</v>
      </c>
      <c r="TZ10" s="47" t="s">
        <v>848</v>
      </c>
      <c r="UA10" s="47" t="s">
        <v>849</v>
      </c>
      <c r="UB10" s="47" t="s">
        <v>850</v>
      </c>
      <c r="UC10" s="47" t="s">
        <v>851</v>
      </c>
      <c r="UD10" s="47" t="s">
        <v>852</v>
      </c>
      <c r="UE10" s="47" t="s">
        <v>853</v>
      </c>
      <c r="UF10" s="47" t="s">
        <v>854</v>
      </c>
      <c r="UG10" s="47" t="s">
        <v>855</v>
      </c>
      <c r="UH10" s="47" t="s">
        <v>856</v>
      </c>
      <c r="UI10" s="47" t="s">
        <v>857</v>
      </c>
      <c r="UJ10" s="47" t="s">
        <v>858</v>
      </c>
      <c r="UK10" s="47" t="s">
        <v>859</v>
      </c>
      <c r="UL10" s="47" t="s">
        <v>860</v>
      </c>
      <c r="UM10" s="47" t="s">
        <v>861</v>
      </c>
      <c r="UN10" s="47" t="s">
        <v>862</v>
      </c>
      <c r="UO10" s="47" t="s">
        <v>863</v>
      </c>
      <c r="UP10" s="47" t="s">
        <v>864</v>
      </c>
      <c r="UQ10" s="47" t="s">
        <v>865</v>
      </c>
      <c r="UR10" s="47" t="s">
        <v>866</v>
      </c>
      <c r="US10" s="47" t="s">
        <v>867</v>
      </c>
      <c r="UT10" s="47" t="s">
        <v>868</v>
      </c>
      <c r="UU10" s="47" t="s">
        <v>869</v>
      </c>
      <c r="UV10" s="47" t="s">
        <v>870</v>
      </c>
      <c r="UW10" s="47" t="s">
        <v>871</v>
      </c>
      <c r="UX10" s="47" t="s">
        <v>872</v>
      </c>
      <c r="UY10" s="47" t="s">
        <v>873</v>
      </c>
      <c r="UZ10" s="47" t="s">
        <v>874</v>
      </c>
      <c r="VA10" s="47" t="s">
        <v>875</v>
      </c>
      <c r="VB10" s="47" t="s">
        <v>876</v>
      </c>
      <c r="VC10" s="47" t="s">
        <v>877</v>
      </c>
      <c r="VD10" s="47" t="s">
        <v>878</v>
      </c>
      <c r="VE10" s="47" t="s">
        <v>879</v>
      </c>
      <c r="VF10" s="47" t="s">
        <v>880</v>
      </c>
      <c r="VG10" s="47" t="s">
        <v>881</v>
      </c>
      <c r="VH10" s="47" t="s">
        <v>882</v>
      </c>
      <c r="VI10" s="47" t="s">
        <v>883</v>
      </c>
      <c r="VJ10" s="47" t="s">
        <v>884</v>
      </c>
      <c r="VK10" s="47" t="s">
        <v>885</v>
      </c>
      <c r="VL10" s="47" t="s">
        <v>886</v>
      </c>
      <c r="VM10" s="47" t="s">
        <v>887</v>
      </c>
      <c r="VN10" s="47" t="s">
        <v>888</v>
      </c>
      <c r="VO10" s="47" t="s">
        <v>889</v>
      </c>
      <c r="VP10" s="47" t="s">
        <v>890</v>
      </c>
      <c r="VQ10" s="47" t="s">
        <v>891</v>
      </c>
      <c r="VR10" s="47" t="s">
        <v>892</v>
      </c>
      <c r="VS10" s="47" t="s">
        <v>893</v>
      </c>
      <c r="VT10" s="47" t="s">
        <v>894</v>
      </c>
      <c r="VU10" s="47" t="s">
        <v>895</v>
      </c>
      <c r="VV10" s="47" t="s">
        <v>896</v>
      </c>
      <c r="VW10" s="47" t="s">
        <v>897</v>
      </c>
      <c r="VX10" s="47" t="s">
        <v>898</v>
      </c>
      <c r="VY10" s="47" t="s">
        <v>899</v>
      </c>
      <c r="VZ10" s="47" t="s">
        <v>900</v>
      </c>
      <c r="WA10" s="47" t="s">
        <v>901</v>
      </c>
      <c r="WB10" s="47" t="s">
        <v>902</v>
      </c>
      <c r="WC10" s="47" t="s">
        <v>903</v>
      </c>
      <c r="WD10" s="47" t="s">
        <v>904</v>
      </c>
      <c r="WE10" s="47" t="s">
        <v>905</v>
      </c>
      <c r="WF10" s="47" t="s">
        <v>906</v>
      </c>
      <c r="WG10" s="47" t="s">
        <v>907</v>
      </c>
      <c r="WH10" s="47" t="s">
        <v>908</v>
      </c>
      <c r="WI10" s="47" t="s">
        <v>909</v>
      </c>
      <c r="WJ10" s="47" t="s">
        <v>910</v>
      </c>
      <c r="WK10" s="47" t="s">
        <v>911</v>
      </c>
      <c r="WL10" s="47" t="s">
        <v>912</v>
      </c>
      <c r="WM10" s="47" t="s">
        <v>913</v>
      </c>
      <c r="WN10" s="47" t="s">
        <v>914</v>
      </c>
      <c r="WO10" s="47" t="s">
        <v>915</v>
      </c>
      <c r="WP10" s="47" t="s">
        <v>916</v>
      </c>
      <c r="WQ10" s="47" t="s">
        <v>917</v>
      </c>
      <c r="WR10" s="47" t="s">
        <v>918</v>
      </c>
      <c r="WS10" s="47" t="s">
        <v>919</v>
      </c>
      <c r="WT10" s="47" t="s">
        <v>920</v>
      </c>
      <c r="WU10" s="47" t="s">
        <v>921</v>
      </c>
      <c r="WV10" s="47" t="s">
        <v>922</v>
      </c>
      <c r="WW10" s="47" t="s">
        <v>923</v>
      </c>
      <c r="WX10" s="47" t="s">
        <v>924</v>
      </c>
      <c r="WY10" s="47" t="s">
        <v>925</v>
      </c>
      <c r="WZ10" s="47" t="s">
        <v>926</v>
      </c>
      <c r="XA10" s="47" t="s">
        <v>927</v>
      </c>
      <c r="XB10" s="47" t="s">
        <v>928</v>
      </c>
      <c r="XC10" s="47" t="s">
        <v>929</v>
      </c>
      <c r="XD10" s="47" t="s">
        <v>930</v>
      </c>
      <c r="XE10" s="47" t="s">
        <v>931</v>
      </c>
      <c r="XF10" s="47" t="s">
        <v>932</v>
      </c>
      <c r="XG10" s="47" t="s">
        <v>933</v>
      </c>
      <c r="XH10" s="47" t="s">
        <v>934</v>
      </c>
      <c r="XI10" s="47" t="s">
        <v>935</v>
      </c>
      <c r="XJ10" s="47" t="s">
        <v>936</v>
      </c>
      <c r="XK10" s="47" t="s">
        <v>937</v>
      </c>
      <c r="XL10" s="47" t="s">
        <v>938</v>
      </c>
      <c r="XM10" s="47" t="s">
        <v>939</v>
      </c>
      <c r="XN10" s="47" t="s">
        <v>940</v>
      </c>
      <c r="XO10" s="47" t="s">
        <v>941</v>
      </c>
      <c r="XP10" s="47" t="s">
        <v>942</v>
      </c>
      <c r="XQ10" s="47" t="s">
        <v>943</v>
      </c>
      <c r="XR10" s="47" t="s">
        <v>944</v>
      </c>
      <c r="XS10" s="47" t="s">
        <v>945</v>
      </c>
      <c r="XT10" s="47" t="s">
        <v>946</v>
      </c>
      <c r="XU10" s="47" t="s">
        <v>947</v>
      </c>
      <c r="XV10" s="47" t="s">
        <v>948</v>
      </c>
      <c r="XW10" s="47" t="s">
        <v>949</v>
      </c>
      <c r="XX10" s="47" t="s">
        <v>950</v>
      </c>
      <c r="XY10" s="47" t="s">
        <v>951</v>
      </c>
      <c r="XZ10" s="47" t="s">
        <v>952</v>
      </c>
      <c r="YA10" s="47" t="s">
        <v>953</v>
      </c>
      <c r="YB10" s="47" t="s">
        <v>954</v>
      </c>
      <c r="YC10" s="47" t="s">
        <v>955</v>
      </c>
      <c r="YD10" s="47" t="s">
        <v>956</v>
      </c>
      <c r="YE10" s="47" t="s">
        <v>957</v>
      </c>
      <c r="YF10" s="47" t="s">
        <v>958</v>
      </c>
      <c r="YG10" s="47" t="s">
        <v>959</v>
      </c>
      <c r="YH10" s="47" t="s">
        <v>960</v>
      </c>
      <c r="YI10" s="47" t="s">
        <v>961</v>
      </c>
      <c r="YJ10" s="47" t="s">
        <v>962</v>
      </c>
      <c r="YK10" s="47" t="s">
        <v>963</v>
      </c>
      <c r="YL10" s="47" t="s">
        <v>964</v>
      </c>
      <c r="YM10" s="47" t="s">
        <v>965</v>
      </c>
      <c r="YN10" s="47" t="s">
        <v>966</v>
      </c>
      <c r="YO10" s="47" t="s">
        <v>967</v>
      </c>
      <c r="YP10" s="47" t="s">
        <v>968</v>
      </c>
      <c r="YQ10" s="47" t="s">
        <v>969</v>
      </c>
      <c r="YR10" s="47" t="s">
        <v>970</v>
      </c>
      <c r="YS10" s="47" t="s">
        <v>971</v>
      </c>
      <c r="YT10" s="47" t="s">
        <v>972</v>
      </c>
      <c r="YU10" s="47" t="s">
        <v>973</v>
      </c>
      <c r="YV10" s="47" t="s">
        <v>974</v>
      </c>
      <c r="YW10" s="47" t="s">
        <v>975</v>
      </c>
      <c r="YX10" s="47" t="s">
        <v>976</v>
      </c>
      <c r="YY10" s="47" t="s">
        <v>977</v>
      </c>
      <c r="YZ10" s="47" t="s">
        <v>978</v>
      </c>
      <c r="ZA10" s="47" t="s">
        <v>979</v>
      </c>
      <c r="ZB10" s="47" t="s">
        <v>980</v>
      </c>
      <c r="ZC10" s="47" t="s">
        <v>981</v>
      </c>
      <c r="ZD10" s="47" t="s">
        <v>982</v>
      </c>
      <c r="ZE10" s="47" t="s">
        <v>983</v>
      </c>
      <c r="ZF10" s="47" t="s">
        <v>984</v>
      </c>
      <c r="ZG10" s="47" t="s">
        <v>985</v>
      </c>
      <c r="ZH10" s="47" t="s">
        <v>986</v>
      </c>
      <c r="ZI10" s="47" t="s">
        <v>987</v>
      </c>
      <c r="ZJ10" s="47" t="s">
        <v>988</v>
      </c>
      <c r="ZK10" s="47" t="s">
        <v>989</v>
      </c>
      <c r="ZL10" s="47" t="s">
        <v>990</v>
      </c>
      <c r="ZM10" s="47" t="s">
        <v>991</v>
      </c>
      <c r="ZN10" s="47" t="s">
        <v>992</v>
      </c>
      <c r="ZO10" s="47" t="s">
        <v>993</v>
      </c>
      <c r="ZP10" s="47" t="s">
        <v>994</v>
      </c>
      <c r="ZQ10" s="47" t="s">
        <v>995</v>
      </c>
      <c r="ZR10" s="47" t="s">
        <v>996</v>
      </c>
      <c r="ZS10" s="47" t="s">
        <v>997</v>
      </c>
      <c r="ZT10" s="47" t="s">
        <v>998</v>
      </c>
      <c r="ZU10" s="47" t="s">
        <v>999</v>
      </c>
      <c r="ZV10" s="47" t="s">
        <v>1000</v>
      </c>
      <c r="ZW10" s="47" t="s">
        <v>1001</v>
      </c>
      <c r="ZX10" s="47" t="s">
        <v>1002</v>
      </c>
      <c r="ZY10" s="47" t="s">
        <v>1003</v>
      </c>
      <c r="ZZ10" s="47" t="s">
        <v>1004</v>
      </c>
      <c r="AAA10" s="47" t="s">
        <v>1005</v>
      </c>
      <c r="AAB10" s="47" t="s">
        <v>1006</v>
      </c>
      <c r="AAC10" s="47" t="s">
        <v>1007</v>
      </c>
      <c r="AAD10" s="47" t="s">
        <v>1008</v>
      </c>
      <c r="AAE10" s="47" t="s">
        <v>1009</v>
      </c>
      <c r="AAF10" s="47" t="s">
        <v>1010</v>
      </c>
      <c r="AAG10" s="47" t="s">
        <v>1011</v>
      </c>
      <c r="AAH10" s="47" t="s">
        <v>1012</v>
      </c>
      <c r="AAI10" s="47" t="s">
        <v>2465</v>
      </c>
      <c r="AAJ10" s="47" t="s">
        <v>2466</v>
      </c>
      <c r="AAK10" s="47" t="s">
        <v>2467</v>
      </c>
      <c r="AAL10" s="47" t="s">
        <v>2468</v>
      </c>
      <c r="AAM10" s="47" t="s">
        <v>2469</v>
      </c>
      <c r="AAN10" s="47" t="s">
        <v>1013</v>
      </c>
      <c r="AAO10" s="47" t="s">
        <v>1014</v>
      </c>
      <c r="AAP10" s="47" t="s">
        <v>1015</v>
      </c>
      <c r="AAQ10" s="47" t="s">
        <v>1016</v>
      </c>
      <c r="AAR10" s="47" t="s">
        <v>1017</v>
      </c>
      <c r="AAS10" s="47" t="s">
        <v>1018</v>
      </c>
      <c r="AAT10" s="47" t="s">
        <v>1019</v>
      </c>
      <c r="AAU10" s="47" t="s">
        <v>1020</v>
      </c>
      <c r="AAV10" s="47" t="s">
        <v>1021</v>
      </c>
      <c r="AAW10" s="47" t="s">
        <v>1022</v>
      </c>
      <c r="AAX10" s="47" t="s">
        <v>1023</v>
      </c>
      <c r="AAY10" s="47" t="s">
        <v>1024</v>
      </c>
      <c r="AAZ10" s="47" t="s">
        <v>1025</v>
      </c>
      <c r="ABA10" s="47" t="s">
        <v>1026</v>
      </c>
      <c r="ABB10" s="47" t="s">
        <v>1027</v>
      </c>
      <c r="ABC10" s="47" t="s">
        <v>1028</v>
      </c>
      <c r="ABD10" s="47" t="s">
        <v>1029</v>
      </c>
      <c r="ABE10" s="47" t="s">
        <v>1030</v>
      </c>
      <c r="ABF10" s="47" t="s">
        <v>1031</v>
      </c>
      <c r="ABG10" s="47" t="s">
        <v>1032</v>
      </c>
      <c r="ABH10" s="47" t="s">
        <v>1962</v>
      </c>
      <c r="ABI10" s="47" t="s">
        <v>1963</v>
      </c>
      <c r="ABJ10" s="47" t="s">
        <v>1964</v>
      </c>
      <c r="ABK10" s="47" t="s">
        <v>1965</v>
      </c>
      <c r="ABL10" s="47" t="s">
        <v>1966</v>
      </c>
      <c r="ABM10" s="47" t="s">
        <v>1033</v>
      </c>
      <c r="ABN10" s="47" t="s">
        <v>1034</v>
      </c>
      <c r="ABO10" s="47" t="s">
        <v>1035</v>
      </c>
      <c r="ABP10" s="47" t="s">
        <v>1036</v>
      </c>
      <c r="ABQ10" s="47" t="s">
        <v>1037</v>
      </c>
      <c r="ABR10" s="47" t="s">
        <v>1038</v>
      </c>
      <c r="ABS10" s="47" t="s">
        <v>1039</v>
      </c>
      <c r="ABT10" s="47" t="s">
        <v>1040</v>
      </c>
      <c r="ABU10" s="47" t="s">
        <v>1041</v>
      </c>
      <c r="ABV10" s="47" t="s">
        <v>1042</v>
      </c>
      <c r="ABW10" s="47" t="s">
        <v>1968</v>
      </c>
      <c r="ABX10" s="47" t="s">
        <v>1969</v>
      </c>
      <c r="ABY10" s="47" t="s">
        <v>1970</v>
      </c>
      <c r="ABZ10" s="47" t="s">
        <v>1971</v>
      </c>
      <c r="ACA10" s="47" t="s">
        <v>1972</v>
      </c>
      <c r="ACB10" s="47" t="s">
        <v>1973</v>
      </c>
      <c r="ACC10" s="47" t="s">
        <v>1974</v>
      </c>
      <c r="ACD10" s="47" t="s">
        <v>1975</v>
      </c>
      <c r="ACE10" s="47" t="s">
        <v>1976</v>
      </c>
      <c r="ACF10" s="47" t="s">
        <v>1977</v>
      </c>
      <c r="ACG10" s="47" t="s">
        <v>1978</v>
      </c>
      <c r="ACH10" s="47" t="s">
        <v>1979</v>
      </c>
      <c r="ACI10" s="47" t="s">
        <v>1980</v>
      </c>
      <c r="ACJ10" s="47" t="s">
        <v>1992</v>
      </c>
      <c r="ACK10" s="47" t="s">
        <v>1981</v>
      </c>
      <c r="ACL10" s="47" t="s">
        <v>1982</v>
      </c>
      <c r="ACM10" s="47" t="s">
        <v>1983</v>
      </c>
      <c r="ACN10" s="47" t="s">
        <v>1984</v>
      </c>
      <c r="ACO10" s="47" t="s">
        <v>1985</v>
      </c>
      <c r="ACP10" s="47" t="s">
        <v>1986</v>
      </c>
      <c r="ACQ10" s="47" t="s">
        <v>1987</v>
      </c>
      <c r="ACR10" s="47" t="s">
        <v>1988</v>
      </c>
      <c r="ACS10" s="47" t="s">
        <v>1989</v>
      </c>
      <c r="ACT10" s="47" t="s">
        <v>1990</v>
      </c>
      <c r="ACU10" s="47" t="s">
        <v>1991</v>
      </c>
      <c r="ACV10" s="47" t="s">
        <v>1043</v>
      </c>
      <c r="ACW10" s="47" t="s">
        <v>1044</v>
      </c>
      <c r="ACX10" s="47" t="s">
        <v>1045</v>
      </c>
      <c r="ACY10" s="47" t="s">
        <v>1046</v>
      </c>
      <c r="ACZ10" s="47" t="s">
        <v>1047</v>
      </c>
      <c r="ADA10" s="47" t="s">
        <v>1048</v>
      </c>
      <c r="ADB10" s="47" t="s">
        <v>1049</v>
      </c>
      <c r="ADC10" s="47" t="s">
        <v>1050</v>
      </c>
      <c r="ADD10" s="47" t="s">
        <v>1051</v>
      </c>
      <c r="ADE10" s="47" t="s">
        <v>1052</v>
      </c>
      <c r="ADF10" s="47" t="s">
        <v>1053</v>
      </c>
      <c r="ADG10" s="47" t="s">
        <v>1054</v>
      </c>
      <c r="ADH10" s="47" t="s">
        <v>1055</v>
      </c>
      <c r="ADI10" s="47" t="s">
        <v>1056</v>
      </c>
      <c r="ADJ10" s="47" t="s">
        <v>1057</v>
      </c>
      <c r="ADK10" s="47" t="s">
        <v>1058</v>
      </c>
      <c r="ADL10" s="47" t="s">
        <v>1059</v>
      </c>
      <c r="ADM10" s="47" t="s">
        <v>1060</v>
      </c>
      <c r="ADN10" s="47" t="s">
        <v>1061</v>
      </c>
      <c r="ADO10" s="47" t="s">
        <v>1062</v>
      </c>
      <c r="ADP10" s="47" t="s">
        <v>1063</v>
      </c>
      <c r="ADQ10" s="47" t="s">
        <v>1064</v>
      </c>
      <c r="ADR10" s="47" t="s">
        <v>1065</v>
      </c>
      <c r="ADS10" s="47" t="s">
        <v>1066</v>
      </c>
      <c r="ADT10" s="47" t="s">
        <v>1067</v>
      </c>
      <c r="ADU10" s="47" t="s">
        <v>1068</v>
      </c>
      <c r="ADV10" s="47" t="s">
        <v>1069</v>
      </c>
      <c r="ADW10" s="47" t="s">
        <v>1070</v>
      </c>
      <c r="ADX10" s="47" t="s">
        <v>1071</v>
      </c>
      <c r="ADY10" s="47" t="s">
        <v>1072</v>
      </c>
      <c r="ADZ10" s="47" t="s">
        <v>1073</v>
      </c>
      <c r="AEA10" s="47" t="s">
        <v>1074</v>
      </c>
      <c r="AEB10" s="47" t="s">
        <v>1075</v>
      </c>
      <c r="AEC10" s="47" t="s">
        <v>1076</v>
      </c>
      <c r="AED10" s="47" t="s">
        <v>1077</v>
      </c>
      <c r="AEE10" s="47" t="s">
        <v>1078</v>
      </c>
      <c r="AEF10" s="47" t="s">
        <v>1079</v>
      </c>
      <c r="AEG10" s="47" t="s">
        <v>1080</v>
      </c>
      <c r="AEH10" s="47" t="s">
        <v>1081</v>
      </c>
      <c r="AEI10" s="47" t="s">
        <v>1082</v>
      </c>
      <c r="AEJ10" s="47" t="s">
        <v>1083</v>
      </c>
      <c r="AEK10" s="47" t="s">
        <v>1084</v>
      </c>
      <c r="AEL10" s="47" t="s">
        <v>1085</v>
      </c>
      <c r="AEM10" s="47" t="s">
        <v>1086</v>
      </c>
      <c r="AEN10" s="47" t="s">
        <v>1087</v>
      </c>
      <c r="AEO10" s="47" t="s">
        <v>1088</v>
      </c>
      <c r="AEP10" s="47" t="s">
        <v>1089</v>
      </c>
      <c r="AEQ10" s="47" t="s">
        <v>1090</v>
      </c>
      <c r="AER10" s="47" t="s">
        <v>1091</v>
      </c>
      <c r="AES10" s="47" t="s">
        <v>1092</v>
      </c>
      <c r="AET10" s="47" t="s">
        <v>1093</v>
      </c>
      <c r="AEU10" s="47" t="s">
        <v>1094</v>
      </c>
      <c r="AEV10" s="47" t="s">
        <v>1095</v>
      </c>
      <c r="AEW10" s="47" t="s">
        <v>1096</v>
      </c>
      <c r="AEX10" s="47" t="s">
        <v>1097</v>
      </c>
      <c r="AEY10" s="47" t="s">
        <v>1098</v>
      </c>
      <c r="AEZ10" s="47" t="s">
        <v>1099</v>
      </c>
      <c r="AFA10" s="47" t="s">
        <v>1100</v>
      </c>
      <c r="AFB10" s="47" t="s">
        <v>1101</v>
      </c>
      <c r="AFC10" s="47" t="s">
        <v>1102</v>
      </c>
      <c r="AFD10" s="47" t="s">
        <v>1103</v>
      </c>
      <c r="AFE10" s="47" t="s">
        <v>1104</v>
      </c>
      <c r="AFF10" s="47" t="s">
        <v>1105</v>
      </c>
      <c r="AFG10" s="47" t="s">
        <v>1106</v>
      </c>
      <c r="AFH10" s="47" t="s">
        <v>1107</v>
      </c>
      <c r="AFI10" s="47" t="s">
        <v>1108</v>
      </c>
      <c r="AFJ10" s="47" t="s">
        <v>1109</v>
      </c>
      <c r="AFK10" s="47" t="s">
        <v>1110</v>
      </c>
      <c r="AFL10" s="47" t="s">
        <v>1111</v>
      </c>
      <c r="AFM10" s="47" t="s">
        <v>1112</v>
      </c>
      <c r="AFN10" s="47" t="s">
        <v>1113</v>
      </c>
      <c r="AFO10" s="47" t="s">
        <v>1114</v>
      </c>
      <c r="AFP10" s="47" t="s">
        <v>1115</v>
      </c>
      <c r="AFQ10" s="47" t="s">
        <v>1116</v>
      </c>
      <c r="AFR10" s="47" t="s">
        <v>1117</v>
      </c>
      <c r="AFS10" s="47" t="s">
        <v>1118</v>
      </c>
      <c r="AFT10" s="47" t="s">
        <v>1119</v>
      </c>
      <c r="AFU10" s="47" t="s">
        <v>1120</v>
      </c>
      <c r="AFV10" s="47" t="s">
        <v>1121</v>
      </c>
      <c r="AFW10" s="47" t="s">
        <v>1122</v>
      </c>
      <c r="AFX10" s="47" t="s">
        <v>1123</v>
      </c>
      <c r="AFY10" s="47" t="s">
        <v>1124</v>
      </c>
      <c r="AFZ10" s="47" t="s">
        <v>1125</v>
      </c>
      <c r="AGA10" s="47" t="s">
        <v>1126</v>
      </c>
      <c r="AGB10" s="47" t="s">
        <v>1127</v>
      </c>
      <c r="AGC10" s="47" t="s">
        <v>1128</v>
      </c>
      <c r="AGD10" s="47" t="s">
        <v>1129</v>
      </c>
      <c r="AGE10" s="47" t="s">
        <v>1130</v>
      </c>
      <c r="AGF10" s="47" t="s">
        <v>1131</v>
      </c>
      <c r="AGG10" s="47" t="s">
        <v>1132</v>
      </c>
      <c r="AGH10" s="47" t="s">
        <v>1133</v>
      </c>
      <c r="AGI10" s="47" t="s">
        <v>1134</v>
      </c>
      <c r="AGJ10" s="47" t="s">
        <v>1135</v>
      </c>
      <c r="AGK10" s="47" t="s">
        <v>1136</v>
      </c>
      <c r="AGL10" s="47" t="s">
        <v>2047</v>
      </c>
      <c r="AGM10" s="47" t="s">
        <v>2048</v>
      </c>
      <c r="AGN10" s="47" t="s">
        <v>2049</v>
      </c>
      <c r="AGO10" s="47" t="s">
        <v>2050</v>
      </c>
      <c r="AGP10" s="47" t="s">
        <v>2051</v>
      </c>
      <c r="AGQ10" s="47" t="s">
        <v>2052</v>
      </c>
      <c r="AGR10" s="47" t="s">
        <v>2053</v>
      </c>
      <c r="AGS10" s="47" t="s">
        <v>2054</v>
      </c>
      <c r="AGT10" s="47" t="s">
        <v>2055</v>
      </c>
      <c r="AGU10" s="47" t="s">
        <v>2056</v>
      </c>
      <c r="AGV10" s="47" t="s">
        <v>2057</v>
      </c>
      <c r="AGW10" s="47" t="s">
        <v>2058</v>
      </c>
      <c r="AGX10" s="47" t="s">
        <v>1137</v>
      </c>
      <c r="AGY10" s="47" t="s">
        <v>1138</v>
      </c>
      <c r="AGZ10" s="47" t="s">
        <v>1139</v>
      </c>
      <c r="AHA10" s="47" t="s">
        <v>1140</v>
      </c>
      <c r="AHB10" s="47" t="s">
        <v>1141</v>
      </c>
      <c r="AHC10" s="47" t="s">
        <v>1142</v>
      </c>
      <c r="AHD10" s="47" t="s">
        <v>1143</v>
      </c>
      <c r="AHE10" s="47" t="s">
        <v>1144</v>
      </c>
      <c r="AHF10" s="47" t="s">
        <v>1145</v>
      </c>
      <c r="AHG10" s="47" t="s">
        <v>1146</v>
      </c>
      <c r="AHH10" s="47" t="s">
        <v>1147</v>
      </c>
      <c r="AHI10" s="47" t="s">
        <v>1148</v>
      </c>
      <c r="AHJ10" s="47" t="s">
        <v>1149</v>
      </c>
      <c r="AHK10" s="47" t="s">
        <v>1150</v>
      </c>
      <c r="AHL10" s="47" t="s">
        <v>1151</v>
      </c>
      <c r="AHM10" s="47" t="s">
        <v>1152</v>
      </c>
      <c r="AHN10" s="47" t="s">
        <v>1153</v>
      </c>
      <c r="AHO10" s="47" t="s">
        <v>1154</v>
      </c>
      <c r="AHP10" s="47" t="s">
        <v>1155</v>
      </c>
      <c r="AHQ10" s="47" t="s">
        <v>1156</v>
      </c>
      <c r="AHR10" s="47" t="s">
        <v>1157</v>
      </c>
      <c r="AHS10" s="47" t="s">
        <v>1158</v>
      </c>
      <c r="AHT10" s="47" t="s">
        <v>1159</v>
      </c>
      <c r="AHU10" s="47" t="s">
        <v>1160</v>
      </c>
      <c r="AHV10" s="47" t="s">
        <v>1161</v>
      </c>
      <c r="AHW10" s="47" t="s">
        <v>1162</v>
      </c>
      <c r="AHX10" s="47" t="s">
        <v>1163</v>
      </c>
      <c r="AHY10" s="47" t="s">
        <v>1164</v>
      </c>
      <c r="AHZ10" s="47" t="s">
        <v>1165</v>
      </c>
      <c r="AIA10" s="47" t="s">
        <v>1166</v>
      </c>
      <c r="AIB10" s="47" t="s">
        <v>1167</v>
      </c>
      <c r="AIC10" s="47" t="s">
        <v>1168</v>
      </c>
      <c r="AID10" s="47" t="s">
        <v>1169</v>
      </c>
      <c r="AIE10" s="47" t="s">
        <v>1170</v>
      </c>
      <c r="AIF10" s="47" t="s">
        <v>1171</v>
      </c>
      <c r="AIG10" s="47" t="s">
        <v>1172</v>
      </c>
      <c r="AIH10" s="47" t="s">
        <v>1173</v>
      </c>
      <c r="AII10" s="47" t="s">
        <v>1174</v>
      </c>
      <c r="AIJ10" s="47" t="s">
        <v>1175</v>
      </c>
      <c r="AIK10" s="47" t="s">
        <v>1176</v>
      </c>
      <c r="AIL10" s="47" t="s">
        <v>1177</v>
      </c>
      <c r="AIM10" s="47" t="s">
        <v>1178</v>
      </c>
      <c r="AIN10" s="47" t="s">
        <v>1179</v>
      </c>
      <c r="AIO10" s="47" t="s">
        <v>1180</v>
      </c>
      <c r="AIP10" s="47" t="s">
        <v>2059</v>
      </c>
      <c r="AIQ10" s="47" t="s">
        <v>2060</v>
      </c>
      <c r="AIR10" s="47" t="s">
        <v>2061</v>
      </c>
      <c r="AIS10" s="47" t="s">
        <v>2062</v>
      </c>
      <c r="AIT10" s="47" t="s">
        <v>2063</v>
      </c>
      <c r="AIU10" s="47" t="s">
        <v>1181</v>
      </c>
      <c r="AIV10" s="47" t="s">
        <v>1182</v>
      </c>
      <c r="AIW10" s="47" t="s">
        <v>1183</v>
      </c>
      <c r="AIX10" s="47" t="s">
        <v>1184</v>
      </c>
      <c r="AIY10" s="47" t="s">
        <v>1185</v>
      </c>
      <c r="AIZ10" s="47" t="s">
        <v>1186</v>
      </c>
      <c r="AJA10" s="47" t="s">
        <v>1187</v>
      </c>
      <c r="AJB10" s="47" t="s">
        <v>1188</v>
      </c>
      <c r="AJC10" s="47" t="s">
        <v>1189</v>
      </c>
      <c r="AJD10" s="47" t="s">
        <v>1190</v>
      </c>
      <c r="AJE10" s="47" t="s">
        <v>1191</v>
      </c>
      <c r="AJF10" s="47" t="s">
        <v>1192</v>
      </c>
      <c r="AJG10" s="47" t="s">
        <v>1193</v>
      </c>
      <c r="AJH10" s="47" t="s">
        <v>1194</v>
      </c>
      <c r="AJI10" s="47" t="s">
        <v>1195</v>
      </c>
      <c r="AJJ10" s="47" t="s">
        <v>1196</v>
      </c>
      <c r="AJK10" s="47" t="s">
        <v>1197</v>
      </c>
      <c r="AJL10" s="47" t="s">
        <v>1198</v>
      </c>
      <c r="AJM10" s="47" t="s">
        <v>1199</v>
      </c>
      <c r="AJN10" s="47" t="s">
        <v>1200</v>
      </c>
      <c r="AJO10" s="47" t="s">
        <v>1201</v>
      </c>
      <c r="AJP10" s="47" t="s">
        <v>1202</v>
      </c>
      <c r="AJQ10" s="47" t="s">
        <v>1203</v>
      </c>
      <c r="AJR10" s="47" t="s">
        <v>1204</v>
      </c>
      <c r="AJS10" s="47" t="s">
        <v>1205</v>
      </c>
      <c r="AJT10" s="47" t="s">
        <v>1206</v>
      </c>
      <c r="AJU10" s="47" t="s">
        <v>1207</v>
      </c>
      <c r="AJV10" s="47" t="s">
        <v>1208</v>
      </c>
      <c r="AJW10" s="47" t="s">
        <v>1209</v>
      </c>
      <c r="AJX10" s="47" t="s">
        <v>1210</v>
      </c>
      <c r="AJY10" s="47" t="s">
        <v>1211</v>
      </c>
      <c r="AJZ10" s="47" t="s">
        <v>1212</v>
      </c>
      <c r="AKA10" s="47" t="s">
        <v>1213</v>
      </c>
      <c r="AKB10" s="47" t="s">
        <v>1214</v>
      </c>
      <c r="AKC10" s="47" t="s">
        <v>1215</v>
      </c>
      <c r="AKD10" s="47" t="s">
        <v>1216</v>
      </c>
      <c r="AKE10" s="47" t="s">
        <v>1217</v>
      </c>
      <c r="AKF10" s="47" t="s">
        <v>1218</v>
      </c>
      <c r="AKG10" s="47" t="s">
        <v>1219</v>
      </c>
      <c r="AKH10" s="47" t="s">
        <v>1220</v>
      </c>
      <c r="AKI10" s="47" t="s">
        <v>1221</v>
      </c>
      <c r="AKJ10" s="47" t="s">
        <v>1222</v>
      </c>
      <c r="AKK10" s="47" t="s">
        <v>1223</v>
      </c>
      <c r="AKL10" s="47" t="s">
        <v>1224</v>
      </c>
      <c r="AKM10" s="47" t="s">
        <v>1225</v>
      </c>
      <c r="AKN10" s="47" t="s">
        <v>1226</v>
      </c>
      <c r="AKO10" s="47" t="s">
        <v>1227</v>
      </c>
      <c r="AKP10" s="47" t="s">
        <v>1228</v>
      </c>
      <c r="AKQ10" s="47" t="s">
        <v>1229</v>
      </c>
      <c r="AKR10" s="47" t="s">
        <v>1230</v>
      </c>
      <c r="AKS10" s="47" t="s">
        <v>2064</v>
      </c>
      <c r="AKT10" s="47" t="s">
        <v>2065</v>
      </c>
      <c r="AKU10" s="47" t="s">
        <v>2066</v>
      </c>
      <c r="AKV10" s="47" t="s">
        <v>2067</v>
      </c>
      <c r="AKW10" s="47" t="s">
        <v>2068</v>
      </c>
      <c r="AKX10" s="47" t="s">
        <v>2069</v>
      </c>
      <c r="AKY10" s="47" t="s">
        <v>2070</v>
      </c>
      <c r="AKZ10" s="47" t="s">
        <v>2071</v>
      </c>
      <c r="ALA10" s="47" t="s">
        <v>2072</v>
      </c>
      <c r="ALB10" s="47" t="s">
        <v>2073</v>
      </c>
      <c r="ALC10" s="47" t="s">
        <v>2074</v>
      </c>
      <c r="ALD10" s="47" t="s">
        <v>2075</v>
      </c>
      <c r="ALE10" s="47" t="s">
        <v>2076</v>
      </c>
      <c r="ALF10" s="47" t="s">
        <v>2077</v>
      </c>
      <c r="ALG10" s="47" t="s">
        <v>2078</v>
      </c>
      <c r="ALH10" s="47" t="s">
        <v>2079</v>
      </c>
      <c r="ALI10" s="47" t="s">
        <v>2080</v>
      </c>
      <c r="ALJ10" s="47" t="s">
        <v>2081</v>
      </c>
      <c r="ALK10" s="47" t="s">
        <v>2082</v>
      </c>
      <c r="ALL10" s="47" t="s">
        <v>2083</v>
      </c>
      <c r="ALM10" s="47" t="s">
        <v>1231</v>
      </c>
      <c r="ALN10" s="47" t="s">
        <v>1232</v>
      </c>
      <c r="ALO10" s="47" t="s">
        <v>1233</v>
      </c>
      <c r="ALP10" s="47" t="s">
        <v>1234</v>
      </c>
      <c r="ALQ10" s="47" t="s">
        <v>1235</v>
      </c>
      <c r="ALR10" s="47" t="s">
        <v>1236</v>
      </c>
      <c r="ALS10" s="47" t="s">
        <v>1237</v>
      </c>
      <c r="ALT10" s="47" t="s">
        <v>1238</v>
      </c>
      <c r="ALU10" s="47" t="s">
        <v>1239</v>
      </c>
      <c r="ALV10" s="47" t="s">
        <v>1240</v>
      </c>
      <c r="ALW10" s="47" t="s">
        <v>1241</v>
      </c>
      <c r="ALX10" s="47" t="s">
        <v>1242</v>
      </c>
      <c r="ALY10" s="47" t="s">
        <v>1243</v>
      </c>
      <c r="ALZ10" s="47" t="s">
        <v>1244</v>
      </c>
      <c r="AMA10" s="47" t="s">
        <v>1245</v>
      </c>
      <c r="AMB10" s="47" t="s">
        <v>1246</v>
      </c>
      <c r="AMC10" s="47" t="s">
        <v>1247</v>
      </c>
      <c r="AMD10" s="47" t="s">
        <v>1248</v>
      </c>
      <c r="AME10" s="47" t="s">
        <v>1249</v>
      </c>
      <c r="AMF10" s="47" t="s">
        <v>1250</v>
      </c>
      <c r="AMG10" s="47" t="s">
        <v>1251</v>
      </c>
      <c r="AMH10" s="47" t="s">
        <v>1252</v>
      </c>
      <c r="AMI10" s="47" t="s">
        <v>1253</v>
      </c>
      <c r="AMJ10" s="47" t="s">
        <v>1254</v>
      </c>
      <c r="AMK10" s="47" t="s">
        <v>1255</v>
      </c>
      <c r="AML10" s="47" t="s">
        <v>1256</v>
      </c>
      <c r="AMM10" s="47" t="s">
        <v>1257</v>
      </c>
      <c r="AMN10" s="47" t="s">
        <v>1258</v>
      </c>
      <c r="AMO10" s="47" t="s">
        <v>1259</v>
      </c>
      <c r="AMP10" s="47" t="s">
        <v>1260</v>
      </c>
      <c r="AMQ10" s="47" t="s">
        <v>1261</v>
      </c>
      <c r="AMR10" s="47" t="s">
        <v>1262</v>
      </c>
      <c r="AMS10" s="47" t="s">
        <v>1263</v>
      </c>
      <c r="AMT10" s="47" t="s">
        <v>1264</v>
      </c>
      <c r="AMU10" s="47" t="s">
        <v>1265</v>
      </c>
      <c r="AMV10" s="47" t="s">
        <v>1266</v>
      </c>
      <c r="AMW10" s="47" t="s">
        <v>1267</v>
      </c>
      <c r="AMX10" s="47" t="s">
        <v>1268</v>
      </c>
      <c r="AMY10" s="47" t="s">
        <v>1269</v>
      </c>
      <c r="AMZ10" s="47" t="s">
        <v>1270</v>
      </c>
      <c r="ANA10" s="47" t="s">
        <v>1271</v>
      </c>
      <c r="ANB10" s="47" t="s">
        <v>1272</v>
      </c>
      <c r="ANC10" s="47" t="s">
        <v>1273</v>
      </c>
      <c r="AND10" s="47" t="s">
        <v>1274</v>
      </c>
      <c r="ANE10" s="47" t="s">
        <v>1275</v>
      </c>
      <c r="ANF10" s="47" t="s">
        <v>1276</v>
      </c>
      <c r="ANG10" s="47" t="s">
        <v>1277</v>
      </c>
      <c r="ANH10" s="47" t="s">
        <v>1278</v>
      </c>
      <c r="ANI10" s="47" t="s">
        <v>1279</v>
      </c>
      <c r="ANJ10" s="47" t="s">
        <v>1280</v>
      </c>
      <c r="ANK10" s="47" t="s">
        <v>1281</v>
      </c>
      <c r="ANL10" s="47" t="s">
        <v>1282</v>
      </c>
      <c r="ANM10" s="47" t="s">
        <v>1283</v>
      </c>
      <c r="ANN10" s="47" t="s">
        <v>1284</v>
      </c>
      <c r="ANO10" s="47" t="s">
        <v>1285</v>
      </c>
      <c r="ANP10" s="47" t="s">
        <v>1286</v>
      </c>
      <c r="ANQ10" s="47" t="s">
        <v>1287</v>
      </c>
      <c r="ANR10" s="47" t="s">
        <v>1288</v>
      </c>
      <c r="ANS10" s="47" t="s">
        <v>1289</v>
      </c>
      <c r="ANT10" s="47" t="s">
        <v>1290</v>
      </c>
      <c r="ANU10" s="47" t="s">
        <v>1291</v>
      </c>
      <c r="ANV10" s="47" t="s">
        <v>1292</v>
      </c>
      <c r="ANW10" s="47" t="s">
        <v>1293</v>
      </c>
      <c r="ANX10" s="47" t="s">
        <v>1294</v>
      </c>
      <c r="ANY10" s="47" t="s">
        <v>1295</v>
      </c>
      <c r="ANZ10" s="47" t="s">
        <v>1296</v>
      </c>
      <c r="AOA10" s="47" t="s">
        <v>1297</v>
      </c>
      <c r="AOB10" s="47" t="s">
        <v>1298</v>
      </c>
      <c r="AOC10" s="47" t="s">
        <v>1299</v>
      </c>
      <c r="AOD10" s="47" t="s">
        <v>1300</v>
      </c>
      <c r="AOE10" s="47" t="s">
        <v>1301</v>
      </c>
      <c r="AOF10" s="47" t="s">
        <v>1302</v>
      </c>
      <c r="AOG10" s="47" t="s">
        <v>1303</v>
      </c>
      <c r="AOH10" s="47" t="s">
        <v>1304</v>
      </c>
      <c r="AOI10" s="47" t="s">
        <v>1305</v>
      </c>
      <c r="AOJ10" s="47" t="s">
        <v>1306</v>
      </c>
      <c r="AOK10" s="47" t="s">
        <v>1307</v>
      </c>
      <c r="AOL10" s="47" t="s">
        <v>1308</v>
      </c>
      <c r="AOM10" s="47" t="s">
        <v>1309</v>
      </c>
      <c r="AON10" s="47" t="s">
        <v>1310</v>
      </c>
      <c r="AOO10" s="47" t="s">
        <v>1311</v>
      </c>
      <c r="AOP10" s="47" t="s">
        <v>1312</v>
      </c>
      <c r="AOQ10" s="47" t="s">
        <v>1313</v>
      </c>
      <c r="AOR10" s="47" t="s">
        <v>1314</v>
      </c>
      <c r="AOS10" s="47" t="s">
        <v>1315</v>
      </c>
      <c r="AOT10" s="47" t="s">
        <v>1316</v>
      </c>
      <c r="AOU10" s="47" t="s">
        <v>1317</v>
      </c>
      <c r="AOV10" s="47" t="s">
        <v>1318</v>
      </c>
      <c r="AOW10" s="47" t="s">
        <v>1319</v>
      </c>
      <c r="AOX10" s="47" t="s">
        <v>1320</v>
      </c>
      <c r="AOY10" s="47" t="s">
        <v>1321</v>
      </c>
      <c r="AOZ10" s="47" t="s">
        <v>1322</v>
      </c>
      <c r="APA10" s="47" t="s">
        <v>1323</v>
      </c>
      <c r="APB10" s="47" t="s">
        <v>1324</v>
      </c>
      <c r="APC10" s="47" t="s">
        <v>1325</v>
      </c>
      <c r="APD10" s="47" t="s">
        <v>1946</v>
      </c>
      <c r="APE10" s="47" t="s">
        <v>1947</v>
      </c>
      <c r="APF10" s="47" t="s">
        <v>1948</v>
      </c>
      <c r="APG10" s="47" t="s">
        <v>1949</v>
      </c>
      <c r="APH10" s="47" t="s">
        <v>1950</v>
      </c>
      <c r="API10" s="47" t="s">
        <v>1326</v>
      </c>
      <c r="APJ10" s="47" t="s">
        <v>1327</v>
      </c>
      <c r="APK10" s="47" t="s">
        <v>1328</v>
      </c>
      <c r="APL10" s="47" t="s">
        <v>1329</v>
      </c>
      <c r="APM10" s="47" t="s">
        <v>1330</v>
      </c>
      <c r="APN10" s="47" t="s">
        <v>1331</v>
      </c>
      <c r="APO10" s="47" t="s">
        <v>1332</v>
      </c>
      <c r="APP10" s="47" t="s">
        <v>1333</v>
      </c>
      <c r="APQ10" s="47" t="s">
        <v>1334</v>
      </c>
      <c r="APR10" s="47" t="s">
        <v>1335</v>
      </c>
      <c r="APS10" s="47" t="s">
        <v>1336</v>
      </c>
      <c r="APT10" s="47" t="s">
        <v>1337</v>
      </c>
      <c r="APU10" s="47" t="s">
        <v>1338</v>
      </c>
      <c r="APV10" s="47" t="s">
        <v>1339</v>
      </c>
      <c r="APW10" s="47" t="s">
        <v>1340</v>
      </c>
      <c r="APX10" s="47" t="s">
        <v>1341</v>
      </c>
      <c r="APY10" s="47" t="s">
        <v>1342</v>
      </c>
      <c r="APZ10" s="47" t="s">
        <v>1343</v>
      </c>
      <c r="AQA10" s="47" t="s">
        <v>1344</v>
      </c>
      <c r="AQB10" s="47" t="s">
        <v>1345</v>
      </c>
      <c r="AQC10" s="47" t="s">
        <v>1346</v>
      </c>
      <c r="AQD10" s="47" t="s">
        <v>1347</v>
      </c>
      <c r="AQE10" s="47" t="s">
        <v>1348</v>
      </c>
      <c r="AQF10" s="47" t="s">
        <v>1349</v>
      </c>
      <c r="AQG10" s="47" t="s">
        <v>1350</v>
      </c>
      <c r="AQH10" s="47" t="s">
        <v>1351</v>
      </c>
      <c r="AQI10" s="47" t="s">
        <v>1352</v>
      </c>
      <c r="AQJ10" s="47" t="s">
        <v>1353</v>
      </c>
      <c r="AQK10" s="47" t="s">
        <v>1354</v>
      </c>
      <c r="AQL10" s="47" t="s">
        <v>1355</v>
      </c>
      <c r="AQM10" s="47" t="s">
        <v>1356</v>
      </c>
      <c r="AQN10" s="47" t="s">
        <v>1357</v>
      </c>
      <c r="AQO10" s="47" t="s">
        <v>1358</v>
      </c>
      <c r="AQP10" s="47" t="s">
        <v>1359</v>
      </c>
      <c r="AQQ10" s="47" t="s">
        <v>1360</v>
      </c>
      <c r="AQR10" s="47" t="s">
        <v>1361</v>
      </c>
      <c r="AQS10" s="47" t="s">
        <v>1362</v>
      </c>
      <c r="AQT10" s="47" t="s">
        <v>1363</v>
      </c>
      <c r="AQU10" s="47" t="s">
        <v>1364</v>
      </c>
      <c r="AQV10" s="47" t="s">
        <v>1365</v>
      </c>
      <c r="AQW10" s="47" t="s">
        <v>1366</v>
      </c>
      <c r="AQX10" s="47" t="s">
        <v>1367</v>
      </c>
      <c r="AQY10" s="47" t="s">
        <v>1368</v>
      </c>
      <c r="AQZ10" s="47" t="s">
        <v>1369</v>
      </c>
      <c r="ARA10" s="47" t="s">
        <v>1370</v>
      </c>
      <c r="ARB10" s="47" t="s">
        <v>1371</v>
      </c>
      <c r="ARC10" s="47" t="s">
        <v>1372</v>
      </c>
      <c r="ARD10" s="47" t="s">
        <v>1373</v>
      </c>
      <c r="ARE10" s="47" t="s">
        <v>1374</v>
      </c>
      <c r="ARF10" s="47" t="s">
        <v>1375</v>
      </c>
      <c r="ARG10" s="47" t="s">
        <v>1376</v>
      </c>
      <c r="ARH10" s="47" t="s">
        <v>1377</v>
      </c>
      <c r="ARI10" s="47" t="s">
        <v>1378</v>
      </c>
      <c r="ARJ10" s="47" t="s">
        <v>1379</v>
      </c>
      <c r="ARK10" s="47" t="s">
        <v>1380</v>
      </c>
      <c r="ARL10" s="47" t="s">
        <v>1381</v>
      </c>
      <c r="ARM10" s="47" t="s">
        <v>1382</v>
      </c>
      <c r="ARN10" s="47" t="s">
        <v>1383</v>
      </c>
      <c r="ARO10" s="47" t="s">
        <v>1384</v>
      </c>
      <c r="ARP10" s="47" t="s">
        <v>1385</v>
      </c>
      <c r="ARQ10" s="47" t="s">
        <v>1386</v>
      </c>
      <c r="ARR10" s="47" t="s">
        <v>1387</v>
      </c>
      <c r="ARS10" s="47" t="s">
        <v>1388</v>
      </c>
      <c r="ART10" s="47" t="s">
        <v>1389</v>
      </c>
      <c r="ARU10" s="47" t="s">
        <v>1390</v>
      </c>
      <c r="ARV10" s="47" t="s">
        <v>1391</v>
      </c>
      <c r="ARW10" s="47" t="s">
        <v>1392</v>
      </c>
      <c r="ARX10" s="47" t="s">
        <v>1393</v>
      </c>
      <c r="ARY10" s="47" t="s">
        <v>1394</v>
      </c>
      <c r="ARZ10" s="47" t="s">
        <v>1395</v>
      </c>
      <c r="ASA10" s="47" t="s">
        <v>1396</v>
      </c>
      <c r="ASB10" s="47" t="s">
        <v>1397</v>
      </c>
      <c r="ASC10" s="47" t="s">
        <v>1398</v>
      </c>
      <c r="ASD10" s="47" t="s">
        <v>1399</v>
      </c>
      <c r="ASE10" s="47" t="s">
        <v>1400</v>
      </c>
      <c r="ASF10" s="47" t="s">
        <v>1401</v>
      </c>
      <c r="ASG10" s="47" t="s">
        <v>1402</v>
      </c>
      <c r="ASH10" s="47" t="s">
        <v>1403</v>
      </c>
      <c r="ASI10" s="47" t="s">
        <v>1404</v>
      </c>
      <c r="ASJ10" s="47" t="s">
        <v>1405</v>
      </c>
      <c r="ASK10" s="47" t="s">
        <v>1406</v>
      </c>
      <c r="ASL10" s="47" t="s">
        <v>1407</v>
      </c>
      <c r="ASM10" s="47" t="s">
        <v>1408</v>
      </c>
      <c r="ASN10" s="47" t="s">
        <v>1409</v>
      </c>
      <c r="ASO10" s="47" t="s">
        <v>1410</v>
      </c>
      <c r="ASP10" s="47" t="s">
        <v>1411</v>
      </c>
      <c r="ASQ10" s="47" t="s">
        <v>1412</v>
      </c>
      <c r="ASR10" s="47" t="s">
        <v>1413</v>
      </c>
      <c r="ASS10" s="47" t="s">
        <v>1414</v>
      </c>
      <c r="AST10" s="47" t="s">
        <v>1415</v>
      </c>
      <c r="ASU10" s="47" t="s">
        <v>1416</v>
      </c>
      <c r="ASV10" s="47" t="s">
        <v>1417</v>
      </c>
      <c r="ASW10" s="47" t="s">
        <v>1418</v>
      </c>
      <c r="ASX10" s="47" t="s">
        <v>1419</v>
      </c>
      <c r="ASY10" s="47" t="s">
        <v>1420</v>
      </c>
      <c r="ASZ10" s="47" t="s">
        <v>1421</v>
      </c>
      <c r="ATA10" s="47" t="s">
        <v>1422</v>
      </c>
      <c r="ATB10" s="47" t="s">
        <v>1423</v>
      </c>
      <c r="ATC10" s="47" t="s">
        <v>1424</v>
      </c>
      <c r="ATD10" s="47" t="s">
        <v>1425</v>
      </c>
      <c r="ATE10" s="47" t="s">
        <v>1426</v>
      </c>
      <c r="ATF10" s="47" t="s">
        <v>1427</v>
      </c>
      <c r="ATG10" s="47" t="s">
        <v>1428</v>
      </c>
      <c r="ATH10" s="47" t="s">
        <v>1429</v>
      </c>
      <c r="ATI10" s="47" t="s">
        <v>1430</v>
      </c>
      <c r="ATJ10" s="47" t="s">
        <v>1431</v>
      </c>
      <c r="ATK10" s="47" t="s">
        <v>1432</v>
      </c>
      <c r="ATL10" s="47" t="s">
        <v>1433</v>
      </c>
      <c r="ATM10" s="47" t="s">
        <v>1434</v>
      </c>
      <c r="ATN10" s="47" t="s">
        <v>1435</v>
      </c>
      <c r="ATO10" s="47" t="s">
        <v>1436</v>
      </c>
      <c r="ATP10" s="47" t="s">
        <v>1437</v>
      </c>
      <c r="ATQ10" s="47" t="s">
        <v>1438</v>
      </c>
      <c r="ATR10" s="47" t="s">
        <v>1439</v>
      </c>
      <c r="ATS10" s="47" t="s">
        <v>1440</v>
      </c>
      <c r="ATT10" s="47" t="s">
        <v>1441</v>
      </c>
      <c r="ATU10" s="47" t="s">
        <v>1442</v>
      </c>
      <c r="ATV10" s="47" t="s">
        <v>1443</v>
      </c>
      <c r="ATW10" s="47" t="s">
        <v>1444</v>
      </c>
      <c r="ATX10" s="47" t="s">
        <v>1445</v>
      </c>
      <c r="ATY10" s="47" t="s">
        <v>1446</v>
      </c>
      <c r="ATZ10" s="47" t="s">
        <v>1447</v>
      </c>
      <c r="AUA10" s="47" t="s">
        <v>1448</v>
      </c>
      <c r="AUB10" s="47" t="s">
        <v>1449</v>
      </c>
      <c r="AUC10" s="47" t="s">
        <v>1450</v>
      </c>
      <c r="AUD10" s="47" t="s">
        <v>1451</v>
      </c>
      <c r="AUE10" s="47" t="s">
        <v>1452</v>
      </c>
      <c r="AUF10" s="47" t="s">
        <v>1453</v>
      </c>
      <c r="AUG10" s="47" t="s">
        <v>1454</v>
      </c>
      <c r="AUH10" s="47" t="s">
        <v>1455</v>
      </c>
      <c r="AUI10" s="47" t="s">
        <v>1456</v>
      </c>
      <c r="AUJ10" s="47" t="s">
        <v>1457</v>
      </c>
      <c r="AUK10" s="47" t="s">
        <v>1458</v>
      </c>
      <c r="AUL10" s="47" t="s">
        <v>1459</v>
      </c>
      <c r="AUM10" s="47" t="s">
        <v>1460</v>
      </c>
      <c r="AUN10" s="47" t="s">
        <v>1461</v>
      </c>
      <c r="AUO10" s="47" t="s">
        <v>1462</v>
      </c>
      <c r="AUP10" s="47" t="s">
        <v>1463</v>
      </c>
      <c r="AUQ10" s="47" t="s">
        <v>1464</v>
      </c>
      <c r="AUR10" s="47" t="s">
        <v>1465</v>
      </c>
      <c r="AUS10" s="47" t="s">
        <v>1466</v>
      </c>
      <c r="AUT10" s="47" t="s">
        <v>1467</v>
      </c>
      <c r="AUU10" s="47" t="s">
        <v>1468</v>
      </c>
      <c r="AUV10" s="47" t="s">
        <v>1469</v>
      </c>
      <c r="AUW10" s="47" t="s">
        <v>1470</v>
      </c>
      <c r="AUX10" s="47" t="s">
        <v>1471</v>
      </c>
      <c r="AUY10" s="47" t="s">
        <v>1472</v>
      </c>
      <c r="AUZ10" s="47" t="s">
        <v>1473</v>
      </c>
      <c r="AVA10" s="47" t="s">
        <v>1474</v>
      </c>
      <c r="AVB10" s="47" t="s">
        <v>1475</v>
      </c>
      <c r="AVC10" s="47" t="s">
        <v>1476</v>
      </c>
      <c r="AVD10" s="47" t="s">
        <v>1477</v>
      </c>
      <c r="AVE10" s="47" t="s">
        <v>1478</v>
      </c>
      <c r="AVF10" s="47" t="s">
        <v>1479</v>
      </c>
      <c r="AVG10" s="47" t="s">
        <v>1480</v>
      </c>
      <c r="AVH10" s="47" t="s">
        <v>1481</v>
      </c>
      <c r="AVI10" s="47" t="s">
        <v>1482</v>
      </c>
      <c r="AVJ10" s="47" t="s">
        <v>1483</v>
      </c>
      <c r="AVK10" s="47" t="s">
        <v>1484</v>
      </c>
      <c r="AVL10" s="47" t="s">
        <v>1485</v>
      </c>
      <c r="AVM10" s="47" t="s">
        <v>1486</v>
      </c>
      <c r="AVN10" s="47" t="s">
        <v>1487</v>
      </c>
      <c r="AVO10" s="47" t="s">
        <v>1488</v>
      </c>
      <c r="AVP10" s="47" t="s">
        <v>1489</v>
      </c>
      <c r="AVQ10" s="47" t="s">
        <v>1490</v>
      </c>
      <c r="AVR10" s="47" t="s">
        <v>1491</v>
      </c>
      <c r="AVS10" s="47" t="s">
        <v>1492</v>
      </c>
      <c r="AVT10" s="47" t="s">
        <v>1493</v>
      </c>
      <c r="AVU10" s="47" t="s">
        <v>1494</v>
      </c>
      <c r="AVV10" s="47" t="s">
        <v>1495</v>
      </c>
      <c r="AVW10" s="47" t="s">
        <v>1496</v>
      </c>
      <c r="AVX10" s="47" t="s">
        <v>1497</v>
      </c>
      <c r="AVY10" s="47" t="s">
        <v>1498</v>
      </c>
      <c r="AVZ10" s="47" t="s">
        <v>1499</v>
      </c>
      <c r="AWA10" s="47" t="s">
        <v>1500</v>
      </c>
      <c r="AWB10" s="47" t="s">
        <v>1501</v>
      </c>
      <c r="AWC10" s="47" t="s">
        <v>1502</v>
      </c>
      <c r="AWD10" s="47" t="s">
        <v>1503</v>
      </c>
      <c r="AWE10" s="47" t="s">
        <v>1504</v>
      </c>
      <c r="AWF10" s="47" t="s">
        <v>1505</v>
      </c>
      <c r="AWG10" s="47" t="s">
        <v>1506</v>
      </c>
      <c r="AWH10" s="47" t="s">
        <v>1507</v>
      </c>
      <c r="AWI10" s="47" t="s">
        <v>1508</v>
      </c>
      <c r="AWJ10" s="47" t="s">
        <v>1509</v>
      </c>
      <c r="AWK10" s="47" t="s">
        <v>1510</v>
      </c>
      <c r="AWL10" s="47" t="s">
        <v>1951</v>
      </c>
      <c r="AWM10" s="47" t="s">
        <v>1952</v>
      </c>
      <c r="AWN10" s="47" t="s">
        <v>1953</v>
      </c>
      <c r="AWO10" s="47" t="s">
        <v>1954</v>
      </c>
      <c r="AWP10" s="47" t="s">
        <v>1955</v>
      </c>
      <c r="AWQ10" s="47" t="s">
        <v>1511</v>
      </c>
      <c r="AWR10" s="47" t="s">
        <v>1512</v>
      </c>
      <c r="AWS10" s="47" t="s">
        <v>1513</v>
      </c>
      <c r="AWT10" s="47" t="s">
        <v>1514</v>
      </c>
      <c r="AWU10" s="47" t="s">
        <v>1515</v>
      </c>
      <c r="AWV10" s="47" t="s">
        <v>1516</v>
      </c>
      <c r="AWW10" s="47" t="s">
        <v>1517</v>
      </c>
      <c r="AWX10" s="47" t="s">
        <v>1518</v>
      </c>
      <c r="AWY10" s="47" t="s">
        <v>1519</v>
      </c>
      <c r="AWZ10" s="47" t="s">
        <v>1520</v>
      </c>
      <c r="AXA10" s="47" t="s">
        <v>1521</v>
      </c>
      <c r="AXB10" s="47" t="s">
        <v>1522</v>
      </c>
      <c r="AXC10" s="47" t="s">
        <v>1523</v>
      </c>
      <c r="AXD10" s="47" t="s">
        <v>1524</v>
      </c>
      <c r="AXE10" s="47" t="s">
        <v>1525</v>
      </c>
      <c r="AXF10" s="47" t="s">
        <v>1526</v>
      </c>
      <c r="AXG10" s="47" t="s">
        <v>1527</v>
      </c>
      <c r="AXH10" s="47" t="s">
        <v>1528</v>
      </c>
      <c r="AXI10" s="47" t="s">
        <v>1529</v>
      </c>
      <c r="AXJ10" s="47" t="s">
        <v>1530</v>
      </c>
      <c r="AXK10" s="47" t="s">
        <v>1531</v>
      </c>
      <c r="AXL10" s="47" t="s">
        <v>1532</v>
      </c>
      <c r="AXM10" s="47" t="s">
        <v>1533</v>
      </c>
      <c r="AXN10" s="47" t="s">
        <v>1534</v>
      </c>
      <c r="AXO10" s="47" t="s">
        <v>1535</v>
      </c>
      <c r="AXP10" s="47" t="s">
        <v>1536</v>
      </c>
      <c r="AXQ10" s="47" t="s">
        <v>1537</v>
      </c>
      <c r="AXR10" s="47" t="s">
        <v>1538</v>
      </c>
      <c r="AXS10" s="47" t="s">
        <v>1539</v>
      </c>
      <c r="AXT10" s="47" t="s">
        <v>1540</v>
      </c>
      <c r="AXU10" s="47" t="s">
        <v>1541</v>
      </c>
      <c r="AXV10" s="47" t="s">
        <v>1542</v>
      </c>
      <c r="AXW10" s="47" t="s">
        <v>1543</v>
      </c>
      <c r="AXX10" s="47" t="s">
        <v>1544</v>
      </c>
      <c r="AXY10" s="47" t="s">
        <v>1545</v>
      </c>
      <c r="AXZ10" s="47" t="s">
        <v>1546</v>
      </c>
      <c r="AYA10" s="47" t="s">
        <v>1547</v>
      </c>
      <c r="AYB10" s="47" t="s">
        <v>1548</v>
      </c>
      <c r="AYC10" s="47" t="s">
        <v>1549</v>
      </c>
      <c r="AYD10" s="47" t="s">
        <v>1550</v>
      </c>
      <c r="AYE10" s="47" t="s">
        <v>1551</v>
      </c>
      <c r="AYF10" s="47" t="s">
        <v>1552</v>
      </c>
      <c r="AYG10" s="47" t="s">
        <v>1553</v>
      </c>
      <c r="AYH10" s="47" t="s">
        <v>1554</v>
      </c>
      <c r="AYI10" s="47" t="s">
        <v>1555</v>
      </c>
      <c r="AYJ10" s="47" t="s">
        <v>1556</v>
      </c>
      <c r="AYK10" s="47" t="s">
        <v>1557</v>
      </c>
      <c r="AYL10" s="47" t="s">
        <v>1558</v>
      </c>
      <c r="AYM10" s="47" t="s">
        <v>1559</v>
      </c>
      <c r="AYN10" s="47" t="s">
        <v>1560</v>
      </c>
      <c r="AYO10" s="47" t="s">
        <v>1561</v>
      </c>
      <c r="AYP10" s="47" t="s">
        <v>1562</v>
      </c>
      <c r="AYQ10" s="47" t="s">
        <v>1563</v>
      </c>
      <c r="AYR10" s="47" t="s">
        <v>1564</v>
      </c>
      <c r="AYS10" s="47" t="s">
        <v>1565</v>
      </c>
      <c r="AYT10" s="47" t="s">
        <v>1566</v>
      </c>
      <c r="AYU10" s="47" t="s">
        <v>1567</v>
      </c>
      <c r="AYV10" s="47" t="s">
        <v>1568</v>
      </c>
      <c r="AYW10" s="47" t="s">
        <v>1569</v>
      </c>
      <c r="AYX10" s="47" t="s">
        <v>1570</v>
      </c>
      <c r="AYY10" s="47" t="s">
        <v>1571</v>
      </c>
      <c r="AYZ10" s="47" t="s">
        <v>1572</v>
      </c>
      <c r="AZA10" s="47" t="s">
        <v>1573</v>
      </c>
      <c r="AZB10" s="47" t="s">
        <v>1574</v>
      </c>
      <c r="AZC10" s="47" t="s">
        <v>1575</v>
      </c>
      <c r="AZD10" s="47" t="s">
        <v>1576</v>
      </c>
      <c r="AZE10" s="47" t="s">
        <v>1577</v>
      </c>
      <c r="AZF10" s="47" t="s">
        <v>1578</v>
      </c>
      <c r="AZG10" s="47" t="s">
        <v>1579</v>
      </c>
      <c r="AZH10" s="47" t="s">
        <v>1580</v>
      </c>
      <c r="AZI10" s="47" t="s">
        <v>1581</v>
      </c>
      <c r="AZJ10" s="47" t="s">
        <v>1582</v>
      </c>
      <c r="AZK10" s="47" t="s">
        <v>1583</v>
      </c>
      <c r="AZL10" s="47" t="s">
        <v>1584</v>
      </c>
      <c r="AZM10" s="47" t="s">
        <v>1585</v>
      </c>
      <c r="AZN10" s="47" t="s">
        <v>1586</v>
      </c>
      <c r="AZO10" s="47" t="s">
        <v>1587</v>
      </c>
      <c r="AZP10" s="47" t="s">
        <v>1588</v>
      </c>
      <c r="AZQ10" s="47" t="s">
        <v>1589</v>
      </c>
      <c r="AZR10" s="47" t="s">
        <v>1590</v>
      </c>
      <c r="AZS10" s="47" t="s">
        <v>1591</v>
      </c>
      <c r="AZT10" s="47" t="s">
        <v>1592</v>
      </c>
      <c r="AZU10" s="47" t="s">
        <v>1593</v>
      </c>
      <c r="AZV10" s="47" t="s">
        <v>1594</v>
      </c>
      <c r="AZW10" s="47" t="s">
        <v>1595</v>
      </c>
      <c r="AZX10" s="47" t="s">
        <v>1596</v>
      </c>
      <c r="AZY10" s="47" t="s">
        <v>1597</v>
      </c>
      <c r="AZZ10" s="47" t="s">
        <v>1598</v>
      </c>
      <c r="BAA10" s="47" t="s">
        <v>1599</v>
      </c>
      <c r="BAB10" s="47" t="s">
        <v>1600</v>
      </c>
      <c r="BAC10" s="47" t="s">
        <v>1601</v>
      </c>
      <c r="BAD10" s="47" t="s">
        <v>1602</v>
      </c>
      <c r="BAE10" s="47" t="s">
        <v>1603</v>
      </c>
      <c r="BAF10" s="47" t="s">
        <v>1604</v>
      </c>
      <c r="BAG10" s="47" t="s">
        <v>1605</v>
      </c>
      <c r="BAH10" s="47" t="s">
        <v>1606</v>
      </c>
      <c r="BAI10" s="47" t="s">
        <v>1607</v>
      </c>
      <c r="BAJ10" s="47" t="s">
        <v>1608</v>
      </c>
      <c r="BAK10" s="47" t="s">
        <v>1609</v>
      </c>
      <c r="BAL10" s="47" t="s">
        <v>1610</v>
      </c>
      <c r="BAM10" s="47" t="s">
        <v>1611</v>
      </c>
      <c r="BAN10" s="47" t="s">
        <v>1612</v>
      </c>
      <c r="BAO10" s="47" t="s">
        <v>1613</v>
      </c>
      <c r="BAP10" s="47" t="s">
        <v>1614</v>
      </c>
      <c r="BAQ10" s="47" t="s">
        <v>1615</v>
      </c>
      <c r="BAR10" s="47" t="s">
        <v>1616</v>
      </c>
      <c r="BAS10" s="47" t="s">
        <v>1617</v>
      </c>
      <c r="BAT10" s="47" t="s">
        <v>1618</v>
      </c>
      <c r="BAU10" s="47" t="s">
        <v>1619</v>
      </c>
      <c r="BAV10" s="47" t="s">
        <v>1620</v>
      </c>
      <c r="BAW10" s="47" t="s">
        <v>1621</v>
      </c>
      <c r="BAX10" s="47" t="s">
        <v>1622</v>
      </c>
      <c r="BAY10" s="47" t="s">
        <v>1623</v>
      </c>
      <c r="BAZ10" s="47" t="s">
        <v>1624</v>
      </c>
      <c r="BBA10" s="47" t="s">
        <v>1625</v>
      </c>
      <c r="BBB10" s="47" t="s">
        <v>1626</v>
      </c>
      <c r="BBC10" s="47" t="s">
        <v>1627</v>
      </c>
      <c r="BBD10" s="47" t="s">
        <v>1628</v>
      </c>
      <c r="BBE10" s="47" t="s">
        <v>1629</v>
      </c>
      <c r="BBF10" s="47" t="s">
        <v>1630</v>
      </c>
      <c r="BBG10" s="47" t="s">
        <v>1631</v>
      </c>
      <c r="BBH10" s="47" t="s">
        <v>1632</v>
      </c>
      <c r="BBI10" s="47" t="s">
        <v>1633</v>
      </c>
      <c r="BBJ10" s="47" t="s">
        <v>1634</v>
      </c>
      <c r="BBK10" s="47" t="s">
        <v>1635</v>
      </c>
      <c r="BBL10" s="47" t="s">
        <v>1636</v>
      </c>
      <c r="BBM10" s="47" t="s">
        <v>1637</v>
      </c>
      <c r="BBN10" s="47" t="s">
        <v>1638</v>
      </c>
      <c r="BBO10" s="47" t="s">
        <v>1639</v>
      </c>
      <c r="BBP10" s="47" t="s">
        <v>1640</v>
      </c>
      <c r="BBQ10" s="47" t="s">
        <v>1641</v>
      </c>
      <c r="BBR10" s="47" t="s">
        <v>1642</v>
      </c>
      <c r="BBS10" s="47" t="s">
        <v>1643</v>
      </c>
      <c r="BBT10" s="47" t="s">
        <v>1644</v>
      </c>
      <c r="BBU10" s="47" t="s">
        <v>1645</v>
      </c>
      <c r="BBV10" s="47" t="s">
        <v>1646</v>
      </c>
      <c r="BBW10" s="47" t="s">
        <v>1647</v>
      </c>
      <c r="BBX10" s="47" t="s">
        <v>1648</v>
      </c>
      <c r="BBY10" s="47" t="s">
        <v>1649</v>
      </c>
      <c r="BBZ10" s="47" t="s">
        <v>1650</v>
      </c>
      <c r="BCA10" s="47" t="s">
        <v>1651</v>
      </c>
      <c r="BCB10" s="47" t="s">
        <v>1652</v>
      </c>
      <c r="BCC10" s="47" t="s">
        <v>1653</v>
      </c>
      <c r="BCD10" s="47" t="s">
        <v>1654</v>
      </c>
      <c r="BCE10" s="47" t="s">
        <v>1655</v>
      </c>
      <c r="BCF10" s="47" t="s">
        <v>1656</v>
      </c>
      <c r="BCG10" s="47" t="s">
        <v>1657</v>
      </c>
      <c r="BCH10" s="47" t="s">
        <v>1658</v>
      </c>
      <c r="BCI10" s="47" t="s">
        <v>1659</v>
      </c>
      <c r="BCJ10" s="47" t="s">
        <v>1660</v>
      </c>
      <c r="BCK10" s="47" t="s">
        <v>2171</v>
      </c>
      <c r="BCL10" s="47" t="s">
        <v>2172</v>
      </c>
      <c r="BCM10" s="47" t="s">
        <v>2173</v>
      </c>
      <c r="BCN10" s="47" t="s">
        <v>2174</v>
      </c>
      <c r="BCO10" s="47" t="s">
        <v>2175</v>
      </c>
      <c r="BCP10" s="47" t="s">
        <v>1661</v>
      </c>
      <c r="BCQ10" s="47" t="s">
        <v>1662</v>
      </c>
      <c r="BCR10" s="47" t="s">
        <v>1663</v>
      </c>
      <c r="BCS10" s="47" t="s">
        <v>1664</v>
      </c>
      <c r="BCT10" s="47" t="s">
        <v>1665</v>
      </c>
      <c r="BCU10" s="47" t="s">
        <v>1666</v>
      </c>
      <c r="BCV10" s="47" t="s">
        <v>1667</v>
      </c>
      <c r="BCW10" s="47" t="s">
        <v>1668</v>
      </c>
      <c r="BCX10" s="47" t="s">
        <v>1669</v>
      </c>
      <c r="BCY10" s="47" t="s">
        <v>1670</v>
      </c>
      <c r="BCZ10" s="47" t="s">
        <v>2086</v>
      </c>
      <c r="BDA10" s="47" t="s">
        <v>2085</v>
      </c>
      <c r="BDB10" s="47" t="s">
        <v>2084</v>
      </c>
      <c r="BDC10" s="47" t="s">
        <v>2092</v>
      </c>
      <c r="BDD10" s="47" t="s">
        <v>2093</v>
      </c>
      <c r="BDE10" s="47" t="s">
        <v>1671</v>
      </c>
      <c r="BDF10" s="47" t="s">
        <v>1672</v>
      </c>
      <c r="BDG10" s="47" t="s">
        <v>1673</v>
      </c>
      <c r="BDH10" s="47" t="s">
        <v>1674</v>
      </c>
      <c r="BDI10" s="47" t="s">
        <v>1675</v>
      </c>
      <c r="BDJ10" s="47" t="s">
        <v>1676</v>
      </c>
      <c r="BDK10" s="47" t="s">
        <v>1677</v>
      </c>
      <c r="BDL10" s="47" t="s">
        <v>1678</v>
      </c>
      <c r="BDM10" s="47" t="s">
        <v>1679</v>
      </c>
      <c r="BDN10" s="47" t="s">
        <v>1680</v>
      </c>
      <c r="BDO10" s="47" t="s">
        <v>1681</v>
      </c>
      <c r="BDP10" s="47" t="s">
        <v>1682</v>
      </c>
      <c r="BDQ10" s="47" t="s">
        <v>1683</v>
      </c>
      <c r="BDR10" s="47" t="s">
        <v>1684</v>
      </c>
      <c r="BDS10" s="47" t="s">
        <v>1685</v>
      </c>
      <c r="BDT10" s="47" t="s">
        <v>1686</v>
      </c>
      <c r="BDU10" s="47" t="s">
        <v>1687</v>
      </c>
      <c r="BDV10" s="47" t="s">
        <v>1688</v>
      </c>
      <c r="BDW10" s="47" t="s">
        <v>1689</v>
      </c>
      <c r="BDX10" s="47" t="s">
        <v>1690</v>
      </c>
      <c r="BDY10" s="47" t="s">
        <v>1691</v>
      </c>
      <c r="BDZ10" s="47" t="s">
        <v>1692</v>
      </c>
      <c r="BEA10" s="47" t="s">
        <v>1693</v>
      </c>
      <c r="BEB10" s="47" t="s">
        <v>1694</v>
      </c>
      <c r="BEC10" s="47" t="s">
        <v>1695</v>
      </c>
      <c r="BED10" s="47" t="s">
        <v>1696</v>
      </c>
      <c r="BEE10" s="47" t="s">
        <v>1697</v>
      </c>
      <c r="BEF10" s="47" t="s">
        <v>1698</v>
      </c>
      <c r="BEG10" s="47" t="s">
        <v>1699</v>
      </c>
      <c r="BEH10" s="47" t="s">
        <v>1700</v>
      </c>
      <c r="BEI10" s="47" t="s">
        <v>1701</v>
      </c>
      <c r="BEJ10" s="47" t="s">
        <v>1702</v>
      </c>
      <c r="BEK10" s="47" t="s">
        <v>1703</v>
      </c>
      <c r="BEL10" s="47" t="s">
        <v>1704</v>
      </c>
      <c r="BEM10" s="47" t="s">
        <v>1705</v>
      </c>
      <c r="BEN10" s="47" t="s">
        <v>1706</v>
      </c>
      <c r="BEO10" s="47" t="s">
        <v>1707</v>
      </c>
      <c r="BEP10" s="47" t="s">
        <v>1708</v>
      </c>
      <c r="BEQ10" s="47" t="s">
        <v>1709</v>
      </c>
      <c r="BER10" s="47" t="s">
        <v>1710</v>
      </c>
      <c r="BES10" s="47" t="s">
        <v>1711</v>
      </c>
      <c r="BET10" s="47" t="s">
        <v>1712</v>
      </c>
      <c r="BEU10" s="47" t="s">
        <v>1713</v>
      </c>
      <c r="BEV10" s="47" t="s">
        <v>1714</v>
      </c>
      <c r="BEW10" s="47" t="s">
        <v>1715</v>
      </c>
      <c r="BEX10" s="47" t="s">
        <v>1716</v>
      </c>
      <c r="BEY10" s="47" t="s">
        <v>1717</v>
      </c>
      <c r="BEZ10" s="47" t="s">
        <v>1718</v>
      </c>
      <c r="BFA10" s="47" t="s">
        <v>1719</v>
      </c>
      <c r="BFB10" s="47" t="s">
        <v>1720</v>
      </c>
      <c r="BFC10" s="47" t="s">
        <v>1721</v>
      </c>
      <c r="BFD10" s="47" t="s">
        <v>1722</v>
      </c>
      <c r="BFE10" s="47" t="s">
        <v>1723</v>
      </c>
      <c r="BFF10" s="47" t="s">
        <v>1724</v>
      </c>
      <c r="BFG10" s="47" t="s">
        <v>1725</v>
      </c>
      <c r="BFH10" s="47" t="s">
        <v>1726</v>
      </c>
      <c r="BFI10" s="47" t="s">
        <v>1727</v>
      </c>
      <c r="BFJ10" s="47" t="s">
        <v>1728</v>
      </c>
      <c r="BFK10" s="47" t="s">
        <v>1729</v>
      </c>
      <c r="BFL10" s="47" t="s">
        <v>1730</v>
      </c>
      <c r="BFM10" s="47" t="s">
        <v>1731</v>
      </c>
      <c r="BFN10" s="47" t="s">
        <v>1732</v>
      </c>
      <c r="BFO10" s="47" t="s">
        <v>1733</v>
      </c>
      <c r="BFP10" s="47" t="s">
        <v>1734</v>
      </c>
      <c r="BFQ10" s="47" t="s">
        <v>1735</v>
      </c>
      <c r="BFR10" s="47" t="s">
        <v>1736</v>
      </c>
      <c r="BFS10" s="47" t="s">
        <v>1737</v>
      </c>
      <c r="BFT10" s="47" t="s">
        <v>1738</v>
      </c>
      <c r="BFU10" s="47" t="s">
        <v>1739</v>
      </c>
      <c r="BFV10" s="47" t="s">
        <v>1740</v>
      </c>
      <c r="BFW10" s="47" t="s">
        <v>1741</v>
      </c>
      <c r="BFX10" s="47" t="s">
        <v>1742</v>
      </c>
      <c r="BFY10" s="47" t="s">
        <v>1743</v>
      </c>
      <c r="BFZ10" s="47" t="s">
        <v>1744</v>
      </c>
      <c r="BGA10" s="47" t="s">
        <v>1745</v>
      </c>
      <c r="BGB10" s="47" t="s">
        <v>1746</v>
      </c>
      <c r="BGC10" s="47" t="s">
        <v>1747</v>
      </c>
      <c r="BGD10" s="47" t="s">
        <v>1748</v>
      </c>
      <c r="BGE10" s="47" t="s">
        <v>1749</v>
      </c>
      <c r="BGF10" s="47" t="s">
        <v>1750</v>
      </c>
      <c r="BGG10" s="47" t="s">
        <v>1751</v>
      </c>
      <c r="BGH10" s="47" t="s">
        <v>1752</v>
      </c>
      <c r="BGI10" s="47" t="s">
        <v>1753</v>
      </c>
      <c r="BGJ10" s="47" t="s">
        <v>1754</v>
      </c>
      <c r="BGK10" s="47" t="s">
        <v>1755</v>
      </c>
      <c r="BGL10" s="47" t="s">
        <v>1756</v>
      </c>
      <c r="BGM10" s="47" t="s">
        <v>1757</v>
      </c>
      <c r="BGN10" s="47" t="s">
        <v>1758</v>
      </c>
      <c r="BGO10" s="47" t="s">
        <v>1759</v>
      </c>
      <c r="BGP10" s="47" t="s">
        <v>1760</v>
      </c>
      <c r="BGQ10" s="47" t="s">
        <v>1956</v>
      </c>
      <c r="BGR10" s="47" t="s">
        <v>1957</v>
      </c>
      <c r="BGS10" s="47" t="s">
        <v>1958</v>
      </c>
      <c r="BGT10" s="47" t="s">
        <v>1959</v>
      </c>
      <c r="BGU10" s="47" t="s">
        <v>1960</v>
      </c>
      <c r="BGV10" s="47" t="s">
        <v>1761</v>
      </c>
      <c r="BGW10" s="47" t="s">
        <v>1762</v>
      </c>
      <c r="BGX10" s="47" t="s">
        <v>1763</v>
      </c>
      <c r="BGY10" s="47" t="s">
        <v>1764</v>
      </c>
      <c r="BGZ10" s="47" t="s">
        <v>1765</v>
      </c>
      <c r="BHA10" s="47" t="s">
        <v>1766</v>
      </c>
      <c r="BHB10" s="47" t="s">
        <v>1767</v>
      </c>
      <c r="BHC10" s="47" t="s">
        <v>1768</v>
      </c>
      <c r="BHD10" s="47" t="s">
        <v>1769</v>
      </c>
      <c r="BHE10" s="47" t="s">
        <v>1770</v>
      </c>
      <c r="BHF10" s="47" t="s">
        <v>1771</v>
      </c>
      <c r="BHG10" s="47" t="s">
        <v>1772</v>
      </c>
      <c r="BHH10" s="47" t="s">
        <v>1773</v>
      </c>
      <c r="BHI10" s="47" t="s">
        <v>1774</v>
      </c>
      <c r="BHJ10" s="47" t="s">
        <v>1775</v>
      </c>
      <c r="BHK10" s="47" t="s">
        <v>1776</v>
      </c>
      <c r="BHL10" s="47" t="s">
        <v>1777</v>
      </c>
      <c r="BHM10" s="47" t="s">
        <v>1778</v>
      </c>
      <c r="BHN10" s="47" t="s">
        <v>1779</v>
      </c>
      <c r="BHO10" s="47" t="s">
        <v>1780</v>
      </c>
      <c r="BHP10" s="47" t="s">
        <v>1781</v>
      </c>
      <c r="BHQ10" s="47" t="s">
        <v>1782</v>
      </c>
      <c r="BHR10" s="47" t="s">
        <v>1783</v>
      </c>
      <c r="BHS10" s="47" t="s">
        <v>1784</v>
      </c>
      <c r="BHT10" s="47" t="s">
        <v>1785</v>
      </c>
      <c r="BHU10" s="47" t="s">
        <v>1786</v>
      </c>
      <c r="BHV10" s="47" t="s">
        <v>1787</v>
      </c>
      <c r="BHW10" s="47" t="s">
        <v>1788</v>
      </c>
      <c r="BHX10" s="47" t="s">
        <v>1789</v>
      </c>
      <c r="BHY10" s="47" t="s">
        <v>1790</v>
      </c>
      <c r="BHZ10" s="47" t="s">
        <v>1791</v>
      </c>
      <c r="BIA10" s="47" t="s">
        <v>1792</v>
      </c>
      <c r="BIB10" s="47" t="s">
        <v>1793</v>
      </c>
      <c r="BIC10" s="47" t="s">
        <v>1794</v>
      </c>
      <c r="BID10" s="47" t="s">
        <v>1795</v>
      </c>
      <c r="BIE10" s="47" t="s">
        <v>1796</v>
      </c>
      <c r="BIF10" s="47" t="s">
        <v>1797</v>
      </c>
      <c r="BIG10" s="47" t="s">
        <v>1798</v>
      </c>
      <c r="BIH10" s="47" t="s">
        <v>1799</v>
      </c>
      <c r="BII10" s="47" t="s">
        <v>1800</v>
      </c>
      <c r="BIJ10" s="47" t="s">
        <v>1801</v>
      </c>
      <c r="BIK10" s="47" t="s">
        <v>1802</v>
      </c>
      <c r="BIL10" s="47" t="s">
        <v>1803</v>
      </c>
      <c r="BIM10" s="47" t="s">
        <v>1804</v>
      </c>
      <c r="BIN10" s="47" t="s">
        <v>1805</v>
      </c>
      <c r="BIO10" s="47" t="s">
        <v>1806</v>
      </c>
      <c r="BIP10" s="47" t="s">
        <v>1807</v>
      </c>
      <c r="BIQ10" s="47" t="s">
        <v>1808</v>
      </c>
      <c r="BIR10" s="47" t="s">
        <v>1809</v>
      </c>
      <c r="BIS10" s="47" t="s">
        <v>1810</v>
      </c>
      <c r="BIT10" s="47" t="s">
        <v>1811</v>
      </c>
      <c r="BIU10" s="47" t="s">
        <v>1812</v>
      </c>
      <c r="BIV10" s="47" t="s">
        <v>1813</v>
      </c>
      <c r="BIW10" s="47" t="s">
        <v>1814</v>
      </c>
      <c r="BIX10" s="47" t="s">
        <v>1815</v>
      </c>
      <c r="BIY10" s="47" t="s">
        <v>1816</v>
      </c>
      <c r="BIZ10" s="47" t="s">
        <v>1817</v>
      </c>
      <c r="BJA10" s="47" t="s">
        <v>1818</v>
      </c>
      <c r="BJB10" s="47" t="s">
        <v>1819</v>
      </c>
      <c r="BJC10" s="47" t="s">
        <v>1820</v>
      </c>
      <c r="BJD10" s="47" t="s">
        <v>1821</v>
      </c>
      <c r="BJE10" s="47" t="s">
        <v>1822</v>
      </c>
      <c r="BJF10" s="47" t="s">
        <v>1823</v>
      </c>
      <c r="BJG10" s="47" t="s">
        <v>1824</v>
      </c>
      <c r="BJH10" s="47" t="s">
        <v>1825</v>
      </c>
      <c r="BJI10" s="47" t="s">
        <v>1826</v>
      </c>
      <c r="BJJ10" s="47" t="s">
        <v>1827</v>
      </c>
      <c r="BJK10" s="47" t="s">
        <v>1828</v>
      </c>
      <c r="BJL10" s="47" t="s">
        <v>1829</v>
      </c>
      <c r="BJM10" s="47" t="s">
        <v>1830</v>
      </c>
      <c r="BJN10" s="47" t="s">
        <v>1831</v>
      </c>
      <c r="BJO10" s="47" t="s">
        <v>1832</v>
      </c>
      <c r="BJP10" s="47" t="s">
        <v>1833</v>
      </c>
      <c r="BJQ10" s="47" t="s">
        <v>1834</v>
      </c>
      <c r="BJR10" s="47" t="s">
        <v>1835</v>
      </c>
      <c r="BJS10" s="47" t="s">
        <v>1836</v>
      </c>
      <c r="BJT10" s="47" t="s">
        <v>1837</v>
      </c>
      <c r="BJU10" s="47" t="s">
        <v>1838</v>
      </c>
      <c r="BJV10" s="47" t="s">
        <v>1839</v>
      </c>
      <c r="BJW10" s="47" t="s">
        <v>1840</v>
      </c>
      <c r="BJX10" s="47" t="s">
        <v>1841</v>
      </c>
      <c r="BJY10" s="47" t="s">
        <v>1842</v>
      </c>
      <c r="BJZ10" s="47" t="s">
        <v>1843</v>
      </c>
      <c r="BKA10" s="47" t="s">
        <v>1844</v>
      </c>
      <c r="BKB10" s="47" t="s">
        <v>1845</v>
      </c>
      <c r="BKC10" s="47" t="s">
        <v>1846</v>
      </c>
      <c r="BKD10" s="47" t="s">
        <v>1847</v>
      </c>
      <c r="BKE10" s="47" t="s">
        <v>1848</v>
      </c>
      <c r="BKF10" s="47" t="s">
        <v>1849</v>
      </c>
      <c r="BKG10" s="47" t="s">
        <v>1850</v>
      </c>
      <c r="BKH10" s="47" t="s">
        <v>1851</v>
      </c>
      <c r="BKI10" s="47" t="s">
        <v>1852</v>
      </c>
      <c r="BKJ10" s="47" t="s">
        <v>1853</v>
      </c>
      <c r="BKK10" s="47" t="s">
        <v>1854</v>
      </c>
      <c r="BKL10" s="47" t="s">
        <v>1855</v>
      </c>
      <c r="BKM10" s="47" t="s">
        <v>1856</v>
      </c>
      <c r="BKN10" s="47" t="s">
        <v>1857</v>
      </c>
      <c r="BKO10" s="47" t="s">
        <v>1858</v>
      </c>
      <c r="BKP10" s="47" t="s">
        <v>1859</v>
      </c>
      <c r="BKQ10" s="47" t="s">
        <v>1860</v>
      </c>
      <c r="BKR10" s="47" t="s">
        <v>1861</v>
      </c>
      <c r="BKS10" s="47" t="s">
        <v>1862</v>
      </c>
      <c r="BKT10" s="47" t="s">
        <v>1863</v>
      </c>
      <c r="BKU10" s="47" t="s">
        <v>1864</v>
      </c>
      <c r="BKV10" s="47" t="s">
        <v>1865</v>
      </c>
      <c r="BKW10" s="47" t="s">
        <v>1866</v>
      </c>
      <c r="BKX10" s="47" t="s">
        <v>1867</v>
      </c>
      <c r="BKY10" s="47" t="s">
        <v>1868</v>
      </c>
      <c r="BKZ10" s="47" t="s">
        <v>1869</v>
      </c>
      <c r="BLA10" s="47" t="s">
        <v>1870</v>
      </c>
      <c r="BLB10" s="47" t="s">
        <v>1871</v>
      </c>
      <c r="BLC10" s="47" t="s">
        <v>1872</v>
      </c>
      <c r="BLD10" s="47" t="s">
        <v>1873</v>
      </c>
      <c r="BLE10" s="47" t="s">
        <v>1874</v>
      </c>
      <c r="BLF10" s="47" t="s">
        <v>1875</v>
      </c>
      <c r="BLG10" s="47" t="s">
        <v>1876</v>
      </c>
      <c r="BLH10" s="47" t="s">
        <v>1877</v>
      </c>
      <c r="BLI10" s="47" t="s">
        <v>1878</v>
      </c>
      <c r="BLJ10" s="47" t="s">
        <v>1879</v>
      </c>
      <c r="BLK10" s="47" t="s">
        <v>1880</v>
      </c>
      <c r="BLL10" s="47" t="s">
        <v>1881</v>
      </c>
      <c r="BLM10" s="47" t="s">
        <v>1882</v>
      </c>
      <c r="BLN10" s="47" t="s">
        <v>1883</v>
      </c>
      <c r="BLO10" s="47" t="s">
        <v>1884</v>
      </c>
      <c r="BLP10" s="47" t="s">
        <v>1885</v>
      </c>
      <c r="BLQ10" s="47" t="s">
        <v>1886</v>
      </c>
      <c r="BLR10" s="47" t="s">
        <v>1887</v>
      </c>
      <c r="BLS10" s="47" t="s">
        <v>1888</v>
      </c>
      <c r="BLT10" s="47" t="s">
        <v>1889</v>
      </c>
      <c r="BLU10" s="47" t="s">
        <v>1890</v>
      </c>
      <c r="BLV10" s="47" t="s">
        <v>1891</v>
      </c>
      <c r="BLW10" s="47" t="s">
        <v>1892</v>
      </c>
      <c r="BLX10" s="47" t="s">
        <v>1893</v>
      </c>
      <c r="BLY10" s="47" t="s">
        <v>1894</v>
      </c>
      <c r="BLZ10" s="47" t="s">
        <v>1895</v>
      </c>
      <c r="BMA10" s="47" t="s">
        <v>1896</v>
      </c>
      <c r="BMB10" s="47" t="s">
        <v>1897</v>
      </c>
      <c r="BMC10" s="47" t="s">
        <v>1898</v>
      </c>
      <c r="BMD10" s="47" t="s">
        <v>1899</v>
      </c>
      <c r="BME10" s="47" t="s">
        <v>2091</v>
      </c>
      <c r="BMF10" s="47" t="s">
        <v>2090</v>
      </c>
      <c r="BMG10" s="47" t="s">
        <v>2089</v>
      </c>
      <c r="BMH10" s="47" t="s">
        <v>2088</v>
      </c>
      <c r="BMI10" s="47" t="s">
        <v>2087</v>
      </c>
      <c r="BMJ10" s="47" t="s">
        <v>1900</v>
      </c>
      <c r="BMK10" s="47" t="s">
        <v>1901</v>
      </c>
      <c r="BML10" s="47" t="s">
        <v>1902</v>
      </c>
      <c r="BMM10" s="47" t="s">
        <v>1903</v>
      </c>
      <c r="BMN10" s="47" t="s">
        <v>1904</v>
      </c>
      <c r="BMO10" s="47" t="s">
        <v>1905</v>
      </c>
      <c r="BMP10" s="47" t="s">
        <v>1906</v>
      </c>
      <c r="BMQ10" s="47" t="s">
        <v>1907</v>
      </c>
      <c r="BMR10" s="47" t="s">
        <v>1908</v>
      </c>
      <c r="BMS10" s="47" t="s">
        <v>1909</v>
      </c>
      <c r="BMT10" s="47" t="s">
        <v>1924</v>
      </c>
      <c r="BMU10" s="47" t="s">
        <v>1925</v>
      </c>
      <c r="BMV10" s="47" t="s">
        <v>1928</v>
      </c>
    </row>
    <row r="11" spans="1:1713" customFormat="1" x14ac:dyDescent="0.35">
      <c r="BMT11">
        <f>ROW()</f>
        <v>11</v>
      </c>
      <c r="BMU11" t="b">
        <f>NOT(ISERROR(MATCH(detail_table[[#This Row],[ID]],DD.Filter,0)))</f>
        <v>1</v>
      </c>
      <c r="BMV11" t="str">
        <f>CONCATENATE(detail_table[[#This Row],[Q4a | Project name | ]],detail_table[[#This Row],[Q4a | Project ID | ]])</f>
        <v/>
      </c>
    </row>
  </sheetData>
  <sheetProtection algorithmName="SHA-512" hashValue="CKloUJFM8WR0W9xYS4mbmrOdPOjeidyIo580lRKhlMwlVVdesFTkypqLwhX6XeHj2zGvHAcgXmfl15M7oR7CXw==" saltValue="jGqoR/sgmgMA+RvbDrhzvQ==" spinCount="100000" sheet="1" objects="1" scenarios="1"/>
  <mergeCells count="308">
    <mergeCell ref="BMJ7:BMN7"/>
    <mergeCell ref="BLE7:BLH7"/>
    <mergeCell ref="BLI7:BLL7"/>
    <mergeCell ref="BLM7:BLP7"/>
    <mergeCell ref="BLU7:BLY7"/>
    <mergeCell ref="BLZ7:BMD7"/>
    <mergeCell ref="BME7:BMI7"/>
    <mergeCell ref="BKC7:BKG7"/>
    <mergeCell ref="BKH7:BKL7"/>
    <mergeCell ref="BKM7:BKQ7"/>
    <mergeCell ref="BKR7:BKV7"/>
    <mergeCell ref="BKW7:BKZ7"/>
    <mergeCell ref="BLA7:BLD7"/>
    <mergeCell ref="BIY7:BJC7"/>
    <mergeCell ref="BJD7:BJH7"/>
    <mergeCell ref="BJI7:BJM7"/>
    <mergeCell ref="BJN7:BJR7"/>
    <mergeCell ref="BJS7:BJW7"/>
    <mergeCell ref="BJX7:BKB7"/>
    <mergeCell ref="BHU7:BHY7"/>
    <mergeCell ref="BHZ7:BID7"/>
    <mergeCell ref="BIE7:BII7"/>
    <mergeCell ref="BIJ7:BIN7"/>
    <mergeCell ref="BIO7:BIS7"/>
    <mergeCell ref="BIT7:BIX7"/>
    <mergeCell ref="BGQ7:BGU7"/>
    <mergeCell ref="BGV7:BGZ7"/>
    <mergeCell ref="BHA7:BHE7"/>
    <mergeCell ref="BHF7:BHJ7"/>
    <mergeCell ref="BHK7:BHO7"/>
    <mergeCell ref="BHP7:BHT7"/>
    <mergeCell ref="BFM7:BFQ7"/>
    <mergeCell ref="BFR7:BFV7"/>
    <mergeCell ref="BFW7:BGA7"/>
    <mergeCell ref="BGB7:BGF7"/>
    <mergeCell ref="BGG7:BGK7"/>
    <mergeCell ref="BGL7:BGP7"/>
    <mergeCell ref="BEI7:BEM7"/>
    <mergeCell ref="BEN7:BER7"/>
    <mergeCell ref="BES7:BEW7"/>
    <mergeCell ref="BEX7:BFB7"/>
    <mergeCell ref="BFC7:BFG7"/>
    <mergeCell ref="BFH7:BFL7"/>
    <mergeCell ref="BDE7:BDI7"/>
    <mergeCell ref="BDJ7:BDN7"/>
    <mergeCell ref="BDO7:BDS7"/>
    <mergeCell ref="BDT7:BDX7"/>
    <mergeCell ref="BDY7:BEC7"/>
    <mergeCell ref="BED7:BEH7"/>
    <mergeCell ref="BCA7:BCE7"/>
    <mergeCell ref="BCF7:BCJ7"/>
    <mergeCell ref="BCK7:BCO7"/>
    <mergeCell ref="BCP7:BCT7"/>
    <mergeCell ref="BCU7:BCY7"/>
    <mergeCell ref="BCZ7:BDD7"/>
    <mergeCell ref="BAW7:BBA7"/>
    <mergeCell ref="BBB7:BBF7"/>
    <mergeCell ref="BBG7:BBK7"/>
    <mergeCell ref="BBL7:BBP7"/>
    <mergeCell ref="BBQ7:BBU7"/>
    <mergeCell ref="BBV7:BBZ7"/>
    <mergeCell ref="AZS7:AZW7"/>
    <mergeCell ref="AZX7:BAB7"/>
    <mergeCell ref="BAC7:BAG7"/>
    <mergeCell ref="BAH7:BAL7"/>
    <mergeCell ref="BAM7:BAQ7"/>
    <mergeCell ref="BAR7:BAV7"/>
    <mergeCell ref="AYO7:AYS7"/>
    <mergeCell ref="AYT7:AYX7"/>
    <mergeCell ref="AYY7:AZC7"/>
    <mergeCell ref="AZD7:AZH7"/>
    <mergeCell ref="AZI7:AZM7"/>
    <mergeCell ref="AZN7:AZR7"/>
    <mergeCell ref="AXK7:AXO7"/>
    <mergeCell ref="AXP7:AXT7"/>
    <mergeCell ref="AXU7:AXY7"/>
    <mergeCell ref="AXZ7:AYD7"/>
    <mergeCell ref="AYE7:AYI7"/>
    <mergeCell ref="AYJ7:AYN7"/>
    <mergeCell ref="AWG7:AWK7"/>
    <mergeCell ref="AWL7:AWP7"/>
    <mergeCell ref="AWQ7:AWU7"/>
    <mergeCell ref="AWV7:AWZ7"/>
    <mergeCell ref="AXA7:AXE7"/>
    <mergeCell ref="AXF7:AXJ7"/>
    <mergeCell ref="AVC7:AVG7"/>
    <mergeCell ref="AVH7:AVL7"/>
    <mergeCell ref="AVM7:AVQ7"/>
    <mergeCell ref="AVR7:AVV7"/>
    <mergeCell ref="AVW7:AWA7"/>
    <mergeCell ref="AWB7:AWF7"/>
    <mergeCell ref="ATY7:AUC7"/>
    <mergeCell ref="AUD7:AUH7"/>
    <mergeCell ref="AUI7:AUM7"/>
    <mergeCell ref="AUN7:AUR7"/>
    <mergeCell ref="AUS7:AUW7"/>
    <mergeCell ref="AUX7:AVB7"/>
    <mergeCell ref="ASU7:ASY7"/>
    <mergeCell ref="ASZ7:ATD7"/>
    <mergeCell ref="ATE7:ATI7"/>
    <mergeCell ref="ATJ7:ATN7"/>
    <mergeCell ref="ATO7:ATS7"/>
    <mergeCell ref="ATT7:ATX7"/>
    <mergeCell ref="ARQ7:ARU7"/>
    <mergeCell ref="ARV7:ARZ7"/>
    <mergeCell ref="ASA7:ASE7"/>
    <mergeCell ref="ASF7:ASJ7"/>
    <mergeCell ref="ASK7:ASO7"/>
    <mergeCell ref="ASP7:AST7"/>
    <mergeCell ref="AQM7:AQQ7"/>
    <mergeCell ref="AQR7:AQV7"/>
    <mergeCell ref="AQW7:ARA7"/>
    <mergeCell ref="ARB7:ARF7"/>
    <mergeCell ref="ARG7:ARK7"/>
    <mergeCell ref="ARL7:ARP7"/>
    <mergeCell ref="API7:APM7"/>
    <mergeCell ref="APN7:APR7"/>
    <mergeCell ref="APS7:APW7"/>
    <mergeCell ref="APX7:AQB7"/>
    <mergeCell ref="AQC7:AQG7"/>
    <mergeCell ref="AQH7:AQL7"/>
    <mergeCell ref="AOE7:AOI7"/>
    <mergeCell ref="AOJ7:AON7"/>
    <mergeCell ref="AOO7:AOS7"/>
    <mergeCell ref="AOT7:AOX7"/>
    <mergeCell ref="AOY7:APC7"/>
    <mergeCell ref="APD7:APH7"/>
    <mergeCell ref="ANA7:ANE7"/>
    <mergeCell ref="ANF7:ANJ7"/>
    <mergeCell ref="ANK7:ANO7"/>
    <mergeCell ref="ANP7:ANT7"/>
    <mergeCell ref="ANU7:ANY7"/>
    <mergeCell ref="ANZ7:AOD7"/>
    <mergeCell ref="ALW7:AMA7"/>
    <mergeCell ref="AMB7:AMF7"/>
    <mergeCell ref="AMG7:AMK7"/>
    <mergeCell ref="AML7:AMP7"/>
    <mergeCell ref="AMQ7:AMU7"/>
    <mergeCell ref="AMV7:AMZ7"/>
    <mergeCell ref="AKS7:AKW7"/>
    <mergeCell ref="AKX7:ALB7"/>
    <mergeCell ref="ALC7:ALG7"/>
    <mergeCell ref="ALH7:ALL7"/>
    <mergeCell ref="ALM7:ALQ7"/>
    <mergeCell ref="ALR7:ALV7"/>
    <mergeCell ref="AJO7:AJS7"/>
    <mergeCell ref="AJT7:AJX7"/>
    <mergeCell ref="AJY7:AKC7"/>
    <mergeCell ref="AKD7:AKH7"/>
    <mergeCell ref="AKI7:AKM7"/>
    <mergeCell ref="AKN7:AKR7"/>
    <mergeCell ref="AIA7:AIE7"/>
    <mergeCell ref="AIF7:AIJ7"/>
    <mergeCell ref="AIK7:AIO7"/>
    <mergeCell ref="AIP7:AIT7"/>
    <mergeCell ref="AIU7:AIY7"/>
    <mergeCell ref="AJJ7:AJN7"/>
    <mergeCell ref="AGX7:AGZ7"/>
    <mergeCell ref="AHA7:AHC7"/>
    <mergeCell ref="AHD7:AHF7"/>
    <mergeCell ref="AHL7:AHP7"/>
    <mergeCell ref="AHQ7:AHU7"/>
    <mergeCell ref="AHV7:AHZ7"/>
    <mergeCell ref="AGF7:AGH7"/>
    <mergeCell ref="AGI7:AGK7"/>
    <mergeCell ref="AGL7:AGN7"/>
    <mergeCell ref="AGO7:AGQ7"/>
    <mergeCell ref="AGR7:AGT7"/>
    <mergeCell ref="AGU7:AGW7"/>
    <mergeCell ref="AFN7:AFP7"/>
    <mergeCell ref="AFQ7:AFS7"/>
    <mergeCell ref="AFT7:AFV7"/>
    <mergeCell ref="AFW7:AFY7"/>
    <mergeCell ref="AFZ7:AGB7"/>
    <mergeCell ref="AGC7:AGE7"/>
    <mergeCell ref="AEV7:AEX7"/>
    <mergeCell ref="AEY7:AFA7"/>
    <mergeCell ref="AFB7:AFD7"/>
    <mergeCell ref="AFE7:AFG7"/>
    <mergeCell ref="AFH7:AFJ7"/>
    <mergeCell ref="AFK7:AFM7"/>
    <mergeCell ref="AED7:AEF7"/>
    <mergeCell ref="AEG7:AEI7"/>
    <mergeCell ref="AEJ7:AEL7"/>
    <mergeCell ref="AEM7:AEO7"/>
    <mergeCell ref="AEP7:AER7"/>
    <mergeCell ref="AES7:AEU7"/>
    <mergeCell ref="ADF7:ADH7"/>
    <mergeCell ref="ADL7:ADN7"/>
    <mergeCell ref="ADO7:ADQ7"/>
    <mergeCell ref="ADR7:ADT7"/>
    <mergeCell ref="ADU7:ADW7"/>
    <mergeCell ref="ADX7:ADZ7"/>
    <mergeCell ref="AEA7:AEC7"/>
    <mergeCell ref="ABH7:ABL7"/>
    <mergeCell ref="ABM7:ABQ7"/>
    <mergeCell ref="ABR7:ABV7"/>
    <mergeCell ref="ABW7:ACA7"/>
    <mergeCell ref="ACL7:ACP7"/>
    <mergeCell ref="ACQ7:ACU7"/>
    <mergeCell ref="AAD7:AAH7"/>
    <mergeCell ref="AAI7:AAM7"/>
    <mergeCell ref="AAN7:AAR7"/>
    <mergeCell ref="AAS7:AAW7"/>
    <mergeCell ref="AAX7:ABB7"/>
    <mergeCell ref="ABC7:ABG7"/>
    <mergeCell ref="YP7:YT7"/>
    <mergeCell ref="YU7:YY7"/>
    <mergeCell ref="YZ7:ZD7"/>
    <mergeCell ref="ZE7:ZI7"/>
    <mergeCell ref="ZO7:ZS7"/>
    <mergeCell ref="ZT7:ZX7"/>
    <mergeCell ref="XG7:XK7"/>
    <mergeCell ref="XL7:XP7"/>
    <mergeCell ref="XQ7:XU7"/>
    <mergeCell ref="XV7:XZ7"/>
    <mergeCell ref="YA7:YE7"/>
    <mergeCell ref="YK7:YO7"/>
    <mergeCell ref="UT7:UX7"/>
    <mergeCell ref="UY7:VC7"/>
    <mergeCell ref="VD7:VH7"/>
    <mergeCell ref="VS7:VW7"/>
    <mergeCell ref="VX7:WB7"/>
    <mergeCell ref="WW7:XA7"/>
    <mergeCell ref="TP7:TT7"/>
    <mergeCell ref="TU7:TY7"/>
    <mergeCell ref="TZ7:UD7"/>
    <mergeCell ref="UE7:UI7"/>
    <mergeCell ref="UJ7:UN7"/>
    <mergeCell ref="UO7:US7"/>
    <mergeCell ref="SV7:SZ7"/>
    <mergeCell ref="TA7:TE7"/>
    <mergeCell ref="TF7:TJ7"/>
    <mergeCell ref="TK7:TO7"/>
    <mergeCell ref="RH7:RL7"/>
    <mergeCell ref="RM7:RQ7"/>
    <mergeCell ref="RR7:RV7"/>
    <mergeCell ref="RW7:SA7"/>
    <mergeCell ref="SB7:SF7"/>
    <mergeCell ref="SG7:SK7"/>
    <mergeCell ref="RC7:RG7"/>
    <mergeCell ref="OZ7:PD7"/>
    <mergeCell ref="PE7:PI7"/>
    <mergeCell ref="PJ7:PN7"/>
    <mergeCell ref="PO7:PS7"/>
    <mergeCell ref="PT7:PX7"/>
    <mergeCell ref="PY7:QC7"/>
    <mergeCell ref="SL7:SP7"/>
    <mergeCell ref="SQ7:SU7"/>
    <mergeCell ref="BLU6:BLY6"/>
    <mergeCell ref="AD7:AE7"/>
    <mergeCell ref="AL7:AM7"/>
    <mergeCell ref="AN7:AO7"/>
    <mergeCell ref="AP7:AQ7"/>
    <mergeCell ref="AR7:AS7"/>
    <mergeCell ref="AT7:AU7"/>
    <mergeCell ref="AV7:AW7"/>
    <mergeCell ref="AX7:AY7"/>
    <mergeCell ref="IK7:IO7"/>
    <mergeCell ref="AJE6:AJI6"/>
    <mergeCell ref="AMB6:AMF6"/>
    <mergeCell ref="ATJ6:ATN6"/>
    <mergeCell ref="BAR6:BAV6"/>
    <mergeCell ref="BDO6:BDS6"/>
    <mergeCell ref="BKW6:BLA6"/>
    <mergeCell ref="TU6:TY6"/>
    <mergeCell ref="VI6:VM6"/>
    <mergeCell ref="NQ7:NS7"/>
    <mergeCell ref="OA7:OE7"/>
    <mergeCell ref="OF7:OJ7"/>
    <mergeCell ref="OK7:OO7"/>
    <mergeCell ref="OP7:OT7"/>
    <mergeCell ref="OU7:OY7"/>
    <mergeCell ref="AHG6:AHP6"/>
    <mergeCell ref="GU6:GX6"/>
    <mergeCell ref="IA6:IE6"/>
    <mergeCell ref="JO6:JS6"/>
    <mergeCell ref="PT6:PU6"/>
    <mergeCell ref="QS6:QX6"/>
    <mergeCell ref="SG6:SL6"/>
    <mergeCell ref="IP7:IT7"/>
    <mergeCell ref="IU7:IY7"/>
    <mergeCell ref="IZ7:JD7"/>
    <mergeCell ref="JE7:JI7"/>
    <mergeCell ref="JJ7:JN7"/>
    <mergeCell ref="KC7:KF7"/>
    <mergeCell ref="KJ7:KM7"/>
    <mergeCell ref="KQ7:KT7"/>
    <mergeCell ref="KX7:LA7"/>
    <mergeCell ref="LE7:LH7"/>
    <mergeCell ref="LL7:LO7"/>
    <mergeCell ref="LS7:LT7"/>
    <mergeCell ref="QD7:QH7"/>
    <mergeCell ref="QI7:QM7"/>
    <mergeCell ref="QN7:QR7"/>
    <mergeCell ref="QS7:QW7"/>
    <mergeCell ref="QX7:RB7"/>
    <mergeCell ref="BN6:BR6"/>
    <mergeCell ref="CM6:CO6"/>
    <mergeCell ref="CR6:CW6"/>
    <mergeCell ref="DL6:DP6"/>
    <mergeCell ref="EK6:EM6"/>
    <mergeCell ref="FO6:FR6"/>
    <mergeCell ref="ADF6:ADK6"/>
    <mergeCell ref="ADX6:AEB6"/>
    <mergeCell ref="AFN6:AFS6"/>
    <mergeCell ref="WH6:WL6"/>
    <mergeCell ref="XG6:XK6"/>
  </mergeCells>
  <pageMargins left="0.7" right="0.7" top="0.75" bottom="0.75" header="0.3" footer="0.3"/>
  <pageSetup orientation="portrait" r:id="rId1"/>
  <drawing r:id="rId2"/>
  <tableParts count="1">
    <tablePart r:id="rId3"/>
  </tableParts>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ME10000"/>
  <sheetViews>
    <sheetView zoomScaleNormal="100" workbookViewId="0">
      <pane ySplit="1" topLeftCell="A2" activePane="bottomLeft" state="frozen"/>
      <selection pane="bottomLeft" activeCell="D10" sqref="D10"/>
    </sheetView>
  </sheetViews>
  <sheetFormatPr defaultRowHeight="14.5" x14ac:dyDescent="0.35"/>
  <cols>
    <col min="1" max="1" width="22.81640625" bestFit="1" customWidth="1"/>
    <col min="2" max="2" width="21.1796875" style="128" customWidth="1"/>
    <col min="3" max="3" width="30.6328125" style="168" customWidth="1"/>
    <col min="4" max="4" width="30.6328125" customWidth="1"/>
    <col min="5" max="6" width="29" customWidth="1"/>
    <col min="7" max="7" width="50.6328125" customWidth="1"/>
    <col min="8" max="8" width="50.6328125" style="99" customWidth="1"/>
  </cols>
  <sheetData>
    <row r="1" spans="1:8 1695:1695" s="135" customFormat="1" ht="20" thickBot="1" x14ac:dyDescent="0.5">
      <c r="A1" s="135" t="s">
        <v>2124</v>
      </c>
      <c r="B1" s="135" t="s">
        <v>165</v>
      </c>
      <c r="C1" s="135" t="s">
        <v>1931</v>
      </c>
      <c r="D1" s="135" t="s">
        <v>2128</v>
      </c>
      <c r="E1" s="135" t="s">
        <v>2125</v>
      </c>
      <c r="F1" s="135" t="s">
        <v>2126</v>
      </c>
      <c r="G1" s="135" t="s">
        <v>2128</v>
      </c>
      <c r="H1" s="135" t="s">
        <v>2129</v>
      </c>
      <c r="BME1" s="135" t="e">
        <f>CONCATENATE(#REF!,#REF!)</f>
        <v>#REF!</v>
      </c>
    </row>
    <row r="2" spans="1:8 1695:1695" ht="15" thickTop="1" x14ac:dyDescent="0.35">
      <c r="B2"/>
      <c r="C2"/>
      <c r="H2"/>
    </row>
    <row r="3" spans="1:8 1695:1695" x14ac:dyDescent="0.35">
      <c r="B3"/>
      <c r="C3"/>
      <c r="H3"/>
    </row>
    <row r="4" spans="1:8 1695:1695" x14ac:dyDescent="0.35">
      <c r="B4"/>
      <c r="C4"/>
      <c r="H4"/>
    </row>
    <row r="5" spans="1:8 1695:1695" x14ac:dyDescent="0.35">
      <c r="B5"/>
      <c r="C5"/>
      <c r="H5"/>
    </row>
    <row r="6" spans="1:8 1695:1695" x14ac:dyDescent="0.35">
      <c r="B6"/>
      <c r="C6"/>
      <c r="H6"/>
    </row>
    <row r="7" spans="1:8 1695:1695" x14ac:dyDescent="0.35">
      <c r="B7"/>
      <c r="C7"/>
      <c r="H7"/>
    </row>
    <row r="8" spans="1:8 1695:1695" x14ac:dyDescent="0.35">
      <c r="B8"/>
      <c r="C8"/>
      <c r="H8"/>
    </row>
    <row r="9" spans="1:8 1695:1695" x14ac:dyDescent="0.35">
      <c r="B9"/>
      <c r="C9"/>
      <c r="H9"/>
    </row>
    <row r="10" spans="1:8 1695:1695" x14ac:dyDescent="0.35">
      <c r="B10"/>
      <c r="C10"/>
      <c r="H10"/>
    </row>
    <row r="11" spans="1:8 1695:1695" x14ac:dyDescent="0.35">
      <c r="B11"/>
      <c r="C11"/>
      <c r="H11"/>
    </row>
    <row r="12" spans="1:8 1695:1695" x14ac:dyDescent="0.35">
      <c r="B12"/>
      <c r="C12"/>
      <c r="H12"/>
    </row>
    <row r="13" spans="1:8 1695:1695" x14ac:dyDescent="0.35">
      <c r="B13"/>
      <c r="C13"/>
      <c r="H13"/>
    </row>
    <row r="14" spans="1:8 1695:1695" x14ac:dyDescent="0.35">
      <c r="B14"/>
      <c r="C14"/>
      <c r="H14"/>
    </row>
    <row r="15" spans="1:8 1695:1695" x14ac:dyDescent="0.35">
      <c r="B15"/>
      <c r="C15"/>
      <c r="H15"/>
    </row>
    <row r="16" spans="1:8 1695:1695" x14ac:dyDescent="0.35">
      <c r="B16"/>
      <c r="C16"/>
      <c r="H16"/>
    </row>
    <row r="17" spans="2:8" x14ac:dyDescent="0.35">
      <c r="B17"/>
      <c r="C17"/>
      <c r="H17"/>
    </row>
    <row r="18" spans="2:8" x14ac:dyDescent="0.35">
      <c r="B18"/>
      <c r="C18"/>
      <c r="H18"/>
    </row>
    <row r="19" spans="2:8" x14ac:dyDescent="0.35">
      <c r="B19"/>
      <c r="C19"/>
      <c r="H19"/>
    </row>
    <row r="20" spans="2:8" x14ac:dyDescent="0.35">
      <c r="B20"/>
      <c r="C20"/>
      <c r="H20"/>
    </row>
    <row r="21" spans="2:8" x14ac:dyDescent="0.35">
      <c r="B21"/>
      <c r="C21"/>
      <c r="H21"/>
    </row>
    <row r="22" spans="2:8" x14ac:dyDescent="0.35">
      <c r="B22"/>
      <c r="C22"/>
      <c r="H22"/>
    </row>
    <row r="23" spans="2:8" x14ac:dyDescent="0.35">
      <c r="B23"/>
      <c r="C23"/>
      <c r="H23"/>
    </row>
    <row r="24" spans="2:8" x14ac:dyDescent="0.35">
      <c r="B24"/>
      <c r="C24"/>
      <c r="H24"/>
    </row>
    <row r="25" spans="2:8" x14ac:dyDescent="0.35">
      <c r="B25"/>
      <c r="C25"/>
      <c r="H25"/>
    </row>
    <row r="26" spans="2:8" x14ac:dyDescent="0.35">
      <c r="B26"/>
      <c r="C26"/>
      <c r="H26"/>
    </row>
    <row r="27" spans="2:8" x14ac:dyDescent="0.35">
      <c r="B27"/>
      <c r="C27"/>
      <c r="H27"/>
    </row>
    <row r="28" spans="2:8" x14ac:dyDescent="0.35">
      <c r="B28"/>
      <c r="C28"/>
      <c r="H28"/>
    </row>
    <row r="29" spans="2:8" x14ac:dyDescent="0.35">
      <c r="B29"/>
      <c r="C29"/>
      <c r="H29"/>
    </row>
    <row r="30" spans="2:8" x14ac:dyDescent="0.35">
      <c r="B30"/>
      <c r="C30"/>
      <c r="H30"/>
    </row>
    <row r="31" spans="2:8" x14ac:dyDescent="0.35">
      <c r="B31"/>
      <c r="C31"/>
      <c r="H31"/>
    </row>
    <row r="32" spans="2:8" x14ac:dyDescent="0.35">
      <c r="B32"/>
      <c r="C32"/>
      <c r="H32"/>
    </row>
    <row r="33" spans="2:8" x14ac:dyDescent="0.35">
      <c r="B33"/>
      <c r="C33"/>
      <c r="H33"/>
    </row>
    <row r="34" spans="2:8" x14ac:dyDescent="0.35">
      <c r="B34"/>
      <c r="C34"/>
      <c r="H34"/>
    </row>
    <row r="35" spans="2:8" x14ac:dyDescent="0.35">
      <c r="B35"/>
      <c r="C35"/>
      <c r="H35"/>
    </row>
    <row r="36" spans="2:8" x14ac:dyDescent="0.35">
      <c r="B36"/>
      <c r="C36"/>
      <c r="H36"/>
    </row>
    <row r="37" spans="2:8" x14ac:dyDescent="0.35">
      <c r="B37"/>
      <c r="C37"/>
      <c r="H37"/>
    </row>
    <row r="38" spans="2:8" x14ac:dyDescent="0.35">
      <c r="B38"/>
      <c r="C38"/>
      <c r="H38"/>
    </row>
    <row r="39" spans="2:8" x14ac:dyDescent="0.35">
      <c r="B39"/>
      <c r="C39"/>
      <c r="H39"/>
    </row>
    <row r="40" spans="2:8" x14ac:dyDescent="0.35">
      <c r="B40"/>
      <c r="C40"/>
      <c r="H40"/>
    </row>
    <row r="41" spans="2:8" x14ac:dyDescent="0.35">
      <c r="B41"/>
      <c r="C41"/>
      <c r="H41"/>
    </row>
    <row r="42" spans="2:8" x14ac:dyDescent="0.35">
      <c r="B42"/>
      <c r="C42"/>
      <c r="H42"/>
    </row>
    <row r="43" spans="2:8" x14ac:dyDescent="0.35">
      <c r="B43"/>
      <c r="C43"/>
      <c r="H43"/>
    </row>
    <row r="44" spans="2:8" x14ac:dyDescent="0.35">
      <c r="B44"/>
      <c r="C44"/>
      <c r="H44"/>
    </row>
    <row r="45" spans="2:8" x14ac:dyDescent="0.35">
      <c r="B45"/>
      <c r="C45"/>
      <c r="H45"/>
    </row>
    <row r="46" spans="2:8" x14ac:dyDescent="0.35">
      <c r="B46"/>
      <c r="C46"/>
      <c r="H46"/>
    </row>
    <row r="47" spans="2:8" x14ac:dyDescent="0.35">
      <c r="B47"/>
      <c r="C47"/>
      <c r="H47"/>
    </row>
    <row r="48" spans="2:8" x14ac:dyDescent="0.35">
      <c r="B48"/>
      <c r="C48"/>
      <c r="H48"/>
    </row>
    <row r="49" spans="2:8" x14ac:dyDescent="0.35">
      <c r="B49"/>
      <c r="C49"/>
      <c r="H49"/>
    </row>
    <row r="50" spans="2:8" x14ac:dyDescent="0.35">
      <c r="B50"/>
      <c r="C50"/>
      <c r="H50"/>
    </row>
    <row r="51" spans="2:8" x14ac:dyDescent="0.35">
      <c r="B51"/>
      <c r="C51"/>
      <c r="H51"/>
    </row>
    <row r="52" spans="2:8" x14ac:dyDescent="0.35">
      <c r="B52"/>
      <c r="C52"/>
      <c r="H52"/>
    </row>
    <row r="53" spans="2:8" x14ac:dyDescent="0.35">
      <c r="B53"/>
      <c r="C53"/>
      <c r="H53"/>
    </row>
    <row r="54" spans="2:8" x14ac:dyDescent="0.35">
      <c r="B54"/>
      <c r="C54"/>
      <c r="H54"/>
    </row>
    <row r="55" spans="2:8" x14ac:dyDescent="0.35">
      <c r="B55"/>
      <c r="C55"/>
      <c r="H55"/>
    </row>
    <row r="56" spans="2:8" x14ac:dyDescent="0.35">
      <c r="B56"/>
      <c r="C56"/>
      <c r="H56"/>
    </row>
    <row r="57" spans="2:8" x14ac:dyDescent="0.35">
      <c r="B57"/>
      <c r="C57"/>
      <c r="H57"/>
    </row>
    <row r="58" spans="2:8" x14ac:dyDescent="0.35">
      <c r="B58"/>
      <c r="C58"/>
      <c r="H58"/>
    </row>
    <row r="59" spans="2:8" x14ac:dyDescent="0.35">
      <c r="B59"/>
      <c r="C59"/>
      <c r="H59"/>
    </row>
    <row r="60" spans="2:8" x14ac:dyDescent="0.35">
      <c r="B60"/>
      <c r="C60"/>
      <c r="H60"/>
    </row>
    <row r="61" spans="2:8" x14ac:dyDescent="0.35">
      <c r="B61"/>
      <c r="C61"/>
      <c r="H61"/>
    </row>
    <row r="62" spans="2:8" x14ac:dyDescent="0.35">
      <c r="B62"/>
      <c r="C62"/>
      <c r="H62"/>
    </row>
    <row r="63" spans="2:8" x14ac:dyDescent="0.35">
      <c r="B63"/>
      <c r="C63"/>
      <c r="H63"/>
    </row>
    <row r="64" spans="2:8" x14ac:dyDescent="0.35">
      <c r="B64"/>
      <c r="C64"/>
      <c r="H64"/>
    </row>
    <row r="65" spans="2:8" x14ac:dyDescent="0.35">
      <c r="B65"/>
      <c r="C65"/>
      <c r="H65"/>
    </row>
    <row r="66" spans="2:8" x14ac:dyDescent="0.35">
      <c r="B66"/>
      <c r="C66"/>
      <c r="H66"/>
    </row>
    <row r="67" spans="2:8" x14ac:dyDescent="0.35">
      <c r="B67"/>
      <c r="C67"/>
      <c r="H67"/>
    </row>
    <row r="68" spans="2:8" x14ac:dyDescent="0.35">
      <c r="B68"/>
      <c r="C68"/>
      <c r="H68"/>
    </row>
    <row r="69" spans="2:8" x14ac:dyDescent="0.35">
      <c r="B69"/>
      <c r="C69"/>
      <c r="H69"/>
    </row>
    <row r="70" spans="2:8" x14ac:dyDescent="0.35">
      <c r="B70"/>
      <c r="C70"/>
      <c r="H70"/>
    </row>
    <row r="71" spans="2:8" x14ac:dyDescent="0.35">
      <c r="B71"/>
      <c r="C71"/>
      <c r="H71"/>
    </row>
    <row r="72" spans="2:8" x14ac:dyDescent="0.35">
      <c r="B72"/>
      <c r="C72"/>
      <c r="H72"/>
    </row>
    <row r="73" spans="2:8" x14ac:dyDescent="0.35">
      <c r="B73"/>
      <c r="C73"/>
      <c r="H73"/>
    </row>
    <row r="74" spans="2:8" x14ac:dyDescent="0.35">
      <c r="B74"/>
      <c r="C74"/>
      <c r="H74"/>
    </row>
    <row r="75" spans="2:8" x14ac:dyDescent="0.35">
      <c r="B75"/>
      <c r="C75"/>
      <c r="H75"/>
    </row>
    <row r="76" spans="2:8" x14ac:dyDescent="0.35">
      <c r="B76"/>
      <c r="C76"/>
      <c r="H76"/>
    </row>
    <row r="77" spans="2:8" x14ac:dyDescent="0.35">
      <c r="B77"/>
      <c r="C77"/>
      <c r="H77"/>
    </row>
    <row r="78" spans="2:8" x14ac:dyDescent="0.35">
      <c r="B78"/>
      <c r="C78"/>
      <c r="H78"/>
    </row>
    <row r="79" spans="2:8" x14ac:dyDescent="0.35">
      <c r="B79"/>
      <c r="C79"/>
      <c r="H79"/>
    </row>
    <row r="80" spans="2:8" x14ac:dyDescent="0.35">
      <c r="B80"/>
      <c r="C80"/>
      <c r="H80"/>
    </row>
    <row r="81" spans="2:8" x14ac:dyDescent="0.35">
      <c r="B81"/>
      <c r="C81"/>
      <c r="H81"/>
    </row>
    <row r="82" spans="2:8" x14ac:dyDescent="0.35">
      <c r="B82"/>
      <c r="C82"/>
      <c r="H82"/>
    </row>
    <row r="83" spans="2:8" x14ac:dyDescent="0.35">
      <c r="B83"/>
      <c r="C83"/>
      <c r="H83"/>
    </row>
    <row r="84" spans="2:8" x14ac:dyDescent="0.35">
      <c r="B84"/>
      <c r="C84"/>
      <c r="H84"/>
    </row>
    <row r="85" spans="2:8" x14ac:dyDescent="0.35">
      <c r="B85"/>
      <c r="C85"/>
      <c r="H85"/>
    </row>
    <row r="86" spans="2:8" x14ac:dyDescent="0.35">
      <c r="B86"/>
      <c r="C86"/>
      <c r="H86"/>
    </row>
    <row r="87" spans="2:8" x14ac:dyDescent="0.35">
      <c r="B87"/>
      <c r="C87"/>
      <c r="H87"/>
    </row>
    <row r="88" spans="2:8" x14ac:dyDescent="0.35">
      <c r="B88"/>
      <c r="C88"/>
      <c r="H88"/>
    </row>
    <row r="89" spans="2:8" x14ac:dyDescent="0.35">
      <c r="B89"/>
      <c r="C89"/>
      <c r="H89"/>
    </row>
    <row r="90" spans="2:8" x14ac:dyDescent="0.35">
      <c r="B90"/>
      <c r="C90"/>
      <c r="H90"/>
    </row>
    <row r="91" spans="2:8" x14ac:dyDescent="0.35">
      <c r="B91"/>
      <c r="C91"/>
      <c r="H91"/>
    </row>
    <row r="92" spans="2:8" x14ac:dyDescent="0.35">
      <c r="B92"/>
      <c r="C92"/>
      <c r="H92"/>
    </row>
    <row r="93" spans="2:8" x14ac:dyDescent="0.35">
      <c r="B93"/>
      <c r="C93"/>
      <c r="H93"/>
    </row>
    <row r="94" spans="2:8" x14ac:dyDescent="0.35">
      <c r="B94"/>
      <c r="C94"/>
      <c r="H94"/>
    </row>
    <row r="95" spans="2:8" x14ac:dyDescent="0.35">
      <c r="B95"/>
      <c r="C95"/>
      <c r="H95"/>
    </row>
    <row r="96" spans="2:8" x14ac:dyDescent="0.35">
      <c r="B96"/>
      <c r="C96"/>
      <c r="H96"/>
    </row>
    <row r="97" spans="2:8" x14ac:dyDescent="0.35">
      <c r="B97"/>
      <c r="C97"/>
      <c r="H97"/>
    </row>
    <row r="98" spans="2:8" x14ac:dyDescent="0.35">
      <c r="B98"/>
      <c r="C98"/>
      <c r="H98"/>
    </row>
    <row r="99" spans="2:8" x14ac:dyDescent="0.35">
      <c r="B99"/>
      <c r="C99"/>
      <c r="H99"/>
    </row>
    <row r="100" spans="2:8" x14ac:dyDescent="0.35">
      <c r="B100"/>
      <c r="C100"/>
      <c r="H100"/>
    </row>
    <row r="101" spans="2:8" x14ac:dyDescent="0.35">
      <c r="B101"/>
      <c r="C101"/>
      <c r="H101"/>
    </row>
    <row r="102" spans="2:8" x14ac:dyDescent="0.35">
      <c r="B102"/>
      <c r="C102"/>
      <c r="H102"/>
    </row>
    <row r="103" spans="2:8" x14ac:dyDescent="0.35">
      <c r="B103"/>
      <c r="C103"/>
      <c r="H103"/>
    </row>
    <row r="104" spans="2:8" x14ac:dyDescent="0.35">
      <c r="B104"/>
      <c r="C104"/>
      <c r="H104"/>
    </row>
    <row r="105" spans="2:8" x14ac:dyDescent="0.35">
      <c r="B105"/>
      <c r="C105"/>
      <c r="H105"/>
    </row>
    <row r="106" spans="2:8" x14ac:dyDescent="0.35">
      <c r="B106"/>
      <c r="C106"/>
      <c r="H106"/>
    </row>
    <row r="107" spans="2:8" x14ac:dyDescent="0.35">
      <c r="B107"/>
      <c r="C107"/>
      <c r="H107"/>
    </row>
    <row r="108" spans="2:8" x14ac:dyDescent="0.35">
      <c r="B108"/>
      <c r="C108"/>
      <c r="H108"/>
    </row>
    <row r="109" spans="2:8" x14ac:dyDescent="0.35">
      <c r="B109"/>
      <c r="C109"/>
      <c r="H109"/>
    </row>
    <row r="110" spans="2:8" x14ac:dyDescent="0.35">
      <c r="B110"/>
      <c r="C110"/>
      <c r="H110"/>
    </row>
    <row r="111" spans="2:8" x14ac:dyDescent="0.35">
      <c r="B111"/>
      <c r="C111"/>
      <c r="H111"/>
    </row>
    <row r="112" spans="2:8" x14ac:dyDescent="0.35">
      <c r="B112"/>
      <c r="C112"/>
      <c r="H112"/>
    </row>
    <row r="113" spans="2:8" x14ac:dyDescent="0.35">
      <c r="B113"/>
      <c r="C113"/>
      <c r="H113"/>
    </row>
    <row r="114" spans="2:8" x14ac:dyDescent="0.35">
      <c r="B114"/>
      <c r="C114"/>
      <c r="H114"/>
    </row>
    <row r="115" spans="2:8" x14ac:dyDescent="0.35">
      <c r="B115"/>
      <c r="C115"/>
      <c r="H115"/>
    </row>
    <row r="116" spans="2:8" x14ac:dyDescent="0.35">
      <c r="B116"/>
      <c r="C116"/>
      <c r="H116"/>
    </row>
    <row r="117" spans="2:8" x14ac:dyDescent="0.35">
      <c r="B117"/>
      <c r="C117"/>
      <c r="H117"/>
    </row>
    <row r="118" spans="2:8" x14ac:dyDescent="0.35">
      <c r="B118"/>
      <c r="C118"/>
      <c r="H118"/>
    </row>
    <row r="119" spans="2:8" x14ac:dyDescent="0.35">
      <c r="B119"/>
      <c r="C119"/>
      <c r="H119"/>
    </row>
    <row r="120" spans="2:8" x14ac:dyDescent="0.35">
      <c r="B120"/>
      <c r="C120"/>
      <c r="H120"/>
    </row>
    <row r="121" spans="2:8" x14ac:dyDescent="0.35">
      <c r="B121"/>
      <c r="C121"/>
      <c r="H121"/>
    </row>
    <row r="122" spans="2:8" x14ac:dyDescent="0.35">
      <c r="B122"/>
      <c r="C122"/>
      <c r="H122"/>
    </row>
    <row r="123" spans="2:8" x14ac:dyDescent="0.35">
      <c r="B123"/>
      <c r="C123"/>
      <c r="H123"/>
    </row>
    <row r="124" spans="2:8" x14ac:dyDescent="0.35">
      <c r="B124"/>
      <c r="C124"/>
      <c r="H124"/>
    </row>
    <row r="125" spans="2:8" x14ac:dyDescent="0.35">
      <c r="B125"/>
      <c r="C125"/>
      <c r="H125"/>
    </row>
    <row r="126" spans="2:8" x14ac:dyDescent="0.35">
      <c r="B126"/>
      <c r="C126"/>
      <c r="H126"/>
    </row>
    <row r="127" spans="2:8" x14ac:dyDescent="0.35">
      <c r="B127"/>
      <c r="C127"/>
      <c r="H127"/>
    </row>
    <row r="128" spans="2:8" x14ac:dyDescent="0.35">
      <c r="B128"/>
      <c r="C128"/>
      <c r="H128"/>
    </row>
    <row r="129" spans="2:8" x14ac:dyDescent="0.35">
      <c r="B129"/>
      <c r="C129"/>
      <c r="H129"/>
    </row>
    <row r="130" spans="2:8" x14ac:dyDescent="0.35">
      <c r="B130"/>
      <c r="C130"/>
      <c r="H130"/>
    </row>
    <row r="131" spans="2:8" x14ac:dyDescent="0.35">
      <c r="B131"/>
      <c r="C131"/>
      <c r="H131"/>
    </row>
    <row r="132" spans="2:8" x14ac:dyDescent="0.35">
      <c r="B132"/>
      <c r="C132"/>
      <c r="H132"/>
    </row>
    <row r="133" spans="2:8" x14ac:dyDescent="0.35">
      <c r="B133"/>
      <c r="C133"/>
      <c r="H133"/>
    </row>
    <row r="134" spans="2:8" x14ac:dyDescent="0.35">
      <c r="B134"/>
      <c r="C134"/>
      <c r="H134"/>
    </row>
    <row r="135" spans="2:8" x14ac:dyDescent="0.35">
      <c r="B135"/>
      <c r="C135"/>
      <c r="H135"/>
    </row>
    <row r="136" spans="2:8" x14ac:dyDescent="0.35">
      <c r="B136"/>
      <c r="C136"/>
      <c r="H136"/>
    </row>
    <row r="137" spans="2:8" x14ac:dyDescent="0.35">
      <c r="B137"/>
      <c r="C137"/>
      <c r="H137"/>
    </row>
    <row r="138" spans="2:8" x14ac:dyDescent="0.35">
      <c r="B138"/>
      <c r="C138"/>
      <c r="H138"/>
    </row>
    <row r="139" spans="2:8" x14ac:dyDescent="0.35">
      <c r="B139"/>
      <c r="C139"/>
      <c r="H139"/>
    </row>
    <row r="140" spans="2:8" x14ac:dyDescent="0.35">
      <c r="B140"/>
      <c r="C140"/>
      <c r="H140"/>
    </row>
    <row r="141" spans="2:8" x14ac:dyDescent="0.35">
      <c r="B141"/>
      <c r="C141"/>
      <c r="H141"/>
    </row>
    <row r="142" spans="2:8" x14ac:dyDescent="0.35">
      <c r="B142"/>
      <c r="C142"/>
      <c r="H142"/>
    </row>
    <row r="143" spans="2:8" x14ac:dyDescent="0.35">
      <c r="B143"/>
      <c r="C143"/>
      <c r="H143"/>
    </row>
    <row r="144" spans="2:8" x14ac:dyDescent="0.35">
      <c r="B144"/>
      <c r="C144"/>
      <c r="H144"/>
    </row>
    <row r="145" spans="2:8" x14ac:dyDescent="0.35">
      <c r="B145"/>
      <c r="C145"/>
      <c r="H145"/>
    </row>
    <row r="146" spans="2:8" x14ac:dyDescent="0.35">
      <c r="B146"/>
      <c r="C146"/>
      <c r="H146"/>
    </row>
    <row r="147" spans="2:8" x14ac:dyDescent="0.35">
      <c r="B147"/>
      <c r="C147"/>
      <c r="H147"/>
    </row>
    <row r="148" spans="2:8" x14ac:dyDescent="0.35">
      <c r="B148"/>
      <c r="C148"/>
      <c r="H148"/>
    </row>
    <row r="149" spans="2:8" x14ac:dyDescent="0.35">
      <c r="B149"/>
      <c r="C149"/>
      <c r="H149"/>
    </row>
    <row r="150" spans="2:8" x14ac:dyDescent="0.35">
      <c r="B150"/>
      <c r="C150"/>
      <c r="H150"/>
    </row>
    <row r="151" spans="2:8" x14ac:dyDescent="0.35">
      <c r="B151"/>
      <c r="C151"/>
      <c r="H151"/>
    </row>
    <row r="152" spans="2:8" x14ac:dyDescent="0.35">
      <c r="B152"/>
      <c r="C152"/>
      <c r="H152"/>
    </row>
    <row r="153" spans="2:8" x14ac:dyDescent="0.35">
      <c r="B153"/>
      <c r="C153"/>
      <c r="H153"/>
    </row>
    <row r="154" spans="2:8" x14ac:dyDescent="0.35">
      <c r="B154"/>
      <c r="C154"/>
      <c r="H154"/>
    </row>
    <row r="155" spans="2:8" x14ac:dyDescent="0.35">
      <c r="B155"/>
      <c r="C155"/>
      <c r="H155"/>
    </row>
    <row r="156" spans="2:8" x14ac:dyDescent="0.35">
      <c r="B156"/>
      <c r="C156"/>
      <c r="H156"/>
    </row>
    <row r="157" spans="2:8" x14ac:dyDescent="0.35">
      <c r="B157"/>
      <c r="C157"/>
      <c r="H157"/>
    </row>
    <row r="158" spans="2:8" x14ac:dyDescent="0.35">
      <c r="B158"/>
      <c r="C158"/>
      <c r="H158"/>
    </row>
    <row r="159" spans="2:8" x14ac:dyDescent="0.35">
      <c r="B159"/>
      <c r="C159"/>
      <c r="H159"/>
    </row>
    <row r="160" spans="2:8" x14ac:dyDescent="0.35">
      <c r="B160"/>
      <c r="C160"/>
      <c r="H160"/>
    </row>
    <row r="161" spans="2:8" x14ac:dyDescent="0.35">
      <c r="B161"/>
      <c r="C161"/>
      <c r="H161"/>
    </row>
    <row r="162" spans="2:8" x14ac:dyDescent="0.35">
      <c r="B162"/>
      <c r="C162"/>
      <c r="H162"/>
    </row>
    <row r="163" spans="2:8" x14ac:dyDescent="0.35">
      <c r="B163"/>
      <c r="C163"/>
      <c r="H163"/>
    </row>
    <row r="164" spans="2:8" x14ac:dyDescent="0.35">
      <c r="B164"/>
      <c r="C164"/>
      <c r="H164"/>
    </row>
    <row r="165" spans="2:8" x14ac:dyDescent="0.35">
      <c r="B165"/>
      <c r="C165"/>
      <c r="H165"/>
    </row>
    <row r="166" spans="2:8" x14ac:dyDescent="0.35">
      <c r="B166"/>
      <c r="C166"/>
      <c r="H166"/>
    </row>
    <row r="167" spans="2:8" x14ac:dyDescent="0.35">
      <c r="B167"/>
      <c r="C167"/>
      <c r="H167"/>
    </row>
    <row r="168" spans="2:8" x14ac:dyDescent="0.35">
      <c r="B168"/>
      <c r="C168"/>
      <c r="H168"/>
    </row>
    <row r="169" spans="2:8" x14ac:dyDescent="0.35">
      <c r="B169"/>
      <c r="C169"/>
      <c r="H169"/>
    </row>
    <row r="170" spans="2:8" x14ac:dyDescent="0.35">
      <c r="B170"/>
      <c r="C170"/>
      <c r="H170"/>
    </row>
    <row r="171" spans="2:8" x14ac:dyDescent="0.35">
      <c r="B171"/>
      <c r="C171"/>
      <c r="H171"/>
    </row>
    <row r="172" spans="2:8" x14ac:dyDescent="0.35">
      <c r="B172"/>
      <c r="C172"/>
      <c r="H172"/>
    </row>
    <row r="173" spans="2:8" x14ac:dyDescent="0.35">
      <c r="B173"/>
      <c r="C173"/>
      <c r="H173"/>
    </row>
    <row r="174" spans="2:8" x14ac:dyDescent="0.35">
      <c r="B174"/>
      <c r="C174"/>
      <c r="H174"/>
    </row>
    <row r="175" spans="2:8" x14ac:dyDescent="0.35">
      <c r="B175"/>
      <c r="C175"/>
      <c r="H175"/>
    </row>
    <row r="176" spans="2:8" x14ac:dyDescent="0.35">
      <c r="B176"/>
      <c r="C176"/>
      <c r="H176"/>
    </row>
    <row r="177" spans="2:8" x14ac:dyDescent="0.35">
      <c r="B177"/>
      <c r="C177"/>
      <c r="H177"/>
    </row>
    <row r="178" spans="2:8" x14ac:dyDescent="0.35">
      <c r="B178"/>
      <c r="C178"/>
      <c r="H178"/>
    </row>
    <row r="179" spans="2:8" x14ac:dyDescent="0.35">
      <c r="B179"/>
      <c r="C179"/>
      <c r="H179"/>
    </row>
    <row r="180" spans="2:8" x14ac:dyDescent="0.35">
      <c r="B180"/>
      <c r="C180"/>
      <c r="H180"/>
    </row>
    <row r="181" spans="2:8" x14ac:dyDescent="0.35">
      <c r="B181"/>
      <c r="C181"/>
      <c r="H181"/>
    </row>
    <row r="182" spans="2:8" x14ac:dyDescent="0.35">
      <c r="B182"/>
      <c r="C182"/>
      <c r="H182"/>
    </row>
    <row r="183" spans="2:8" x14ac:dyDescent="0.35">
      <c r="B183"/>
      <c r="C183"/>
      <c r="H183"/>
    </row>
    <row r="184" spans="2:8" x14ac:dyDescent="0.35">
      <c r="B184"/>
      <c r="C184"/>
      <c r="H184"/>
    </row>
    <row r="185" spans="2:8" x14ac:dyDescent="0.35">
      <c r="B185"/>
      <c r="C185"/>
      <c r="H185"/>
    </row>
    <row r="186" spans="2:8" x14ac:dyDescent="0.35">
      <c r="B186"/>
      <c r="C186"/>
      <c r="H186"/>
    </row>
    <row r="187" spans="2:8" x14ac:dyDescent="0.35">
      <c r="B187"/>
      <c r="C187"/>
      <c r="H187"/>
    </row>
    <row r="188" spans="2:8" x14ac:dyDescent="0.35">
      <c r="B188"/>
      <c r="C188"/>
      <c r="H188"/>
    </row>
    <row r="189" spans="2:8" x14ac:dyDescent="0.35">
      <c r="B189"/>
      <c r="C189"/>
      <c r="H189"/>
    </row>
    <row r="190" spans="2:8" x14ac:dyDescent="0.35">
      <c r="B190"/>
      <c r="C190"/>
      <c r="H190"/>
    </row>
    <row r="191" spans="2:8" x14ac:dyDescent="0.35">
      <c r="B191"/>
      <c r="C191"/>
      <c r="H191"/>
    </row>
    <row r="192" spans="2:8" x14ac:dyDescent="0.35">
      <c r="B192"/>
      <c r="C192"/>
      <c r="H192"/>
    </row>
    <row r="193" spans="2:8" x14ac:dyDescent="0.35">
      <c r="B193"/>
      <c r="C193"/>
      <c r="H193"/>
    </row>
    <row r="194" spans="2:8" x14ac:dyDescent="0.35">
      <c r="B194"/>
      <c r="C194"/>
      <c r="H194"/>
    </row>
    <row r="195" spans="2:8" x14ac:dyDescent="0.35">
      <c r="B195"/>
      <c r="C195"/>
      <c r="H195"/>
    </row>
    <row r="196" spans="2:8" x14ac:dyDescent="0.35">
      <c r="B196"/>
      <c r="C196"/>
      <c r="H196"/>
    </row>
    <row r="197" spans="2:8" x14ac:dyDescent="0.35">
      <c r="B197"/>
      <c r="C197"/>
      <c r="H197"/>
    </row>
    <row r="198" spans="2:8" x14ac:dyDescent="0.35">
      <c r="B198"/>
      <c r="C198"/>
      <c r="H198"/>
    </row>
    <row r="199" spans="2:8" x14ac:dyDescent="0.35">
      <c r="B199"/>
      <c r="C199"/>
      <c r="H199"/>
    </row>
    <row r="200" spans="2:8" x14ac:dyDescent="0.35">
      <c r="B200"/>
      <c r="C200"/>
      <c r="H200"/>
    </row>
    <row r="201" spans="2:8" x14ac:dyDescent="0.35">
      <c r="B201"/>
      <c r="C201"/>
      <c r="H201"/>
    </row>
    <row r="202" spans="2:8" x14ac:dyDescent="0.35">
      <c r="B202"/>
      <c r="C202"/>
      <c r="H202"/>
    </row>
    <row r="203" spans="2:8" x14ac:dyDescent="0.35">
      <c r="B203"/>
      <c r="C203"/>
      <c r="H203"/>
    </row>
    <row r="204" spans="2:8" x14ac:dyDescent="0.35">
      <c r="B204"/>
      <c r="C204"/>
      <c r="H204"/>
    </row>
    <row r="205" spans="2:8" x14ac:dyDescent="0.35">
      <c r="B205"/>
      <c r="C205"/>
      <c r="H205"/>
    </row>
    <row r="206" spans="2:8" x14ac:dyDescent="0.35">
      <c r="B206"/>
      <c r="C206"/>
      <c r="H206"/>
    </row>
    <row r="207" spans="2:8" x14ac:dyDescent="0.35">
      <c r="B207"/>
      <c r="C207"/>
      <c r="H207"/>
    </row>
    <row r="208" spans="2:8" x14ac:dyDescent="0.35">
      <c r="B208"/>
      <c r="C208"/>
      <c r="H208"/>
    </row>
    <row r="209" spans="2:8" x14ac:dyDescent="0.35">
      <c r="B209"/>
      <c r="C209"/>
      <c r="H209"/>
    </row>
    <row r="210" spans="2:8" x14ac:dyDescent="0.35">
      <c r="B210"/>
      <c r="C210"/>
      <c r="H210"/>
    </row>
    <row r="211" spans="2:8" x14ac:dyDescent="0.35">
      <c r="B211"/>
      <c r="C211"/>
      <c r="H211"/>
    </row>
    <row r="212" spans="2:8" x14ac:dyDescent="0.35">
      <c r="B212"/>
      <c r="C212"/>
      <c r="H212"/>
    </row>
    <row r="213" spans="2:8" x14ac:dyDescent="0.35">
      <c r="B213"/>
      <c r="C213"/>
      <c r="H213"/>
    </row>
    <row r="214" spans="2:8" x14ac:dyDescent="0.35">
      <c r="B214"/>
      <c r="C214"/>
      <c r="H214"/>
    </row>
    <row r="215" spans="2:8" x14ac:dyDescent="0.35">
      <c r="B215"/>
      <c r="C215"/>
      <c r="H215"/>
    </row>
    <row r="216" spans="2:8" x14ac:dyDescent="0.35">
      <c r="B216"/>
      <c r="C216"/>
      <c r="H216"/>
    </row>
    <row r="217" spans="2:8" x14ac:dyDescent="0.35">
      <c r="B217"/>
      <c r="C217"/>
      <c r="H217"/>
    </row>
    <row r="218" spans="2:8" x14ac:dyDescent="0.35">
      <c r="B218"/>
      <c r="C218"/>
      <c r="H218"/>
    </row>
    <row r="219" spans="2:8" x14ac:dyDescent="0.35">
      <c r="B219"/>
      <c r="C219"/>
      <c r="H219"/>
    </row>
    <row r="220" spans="2:8" x14ac:dyDescent="0.35">
      <c r="B220"/>
      <c r="C220"/>
      <c r="H220"/>
    </row>
    <row r="221" spans="2:8" x14ac:dyDescent="0.35">
      <c r="B221"/>
      <c r="C221"/>
      <c r="H221"/>
    </row>
    <row r="222" spans="2:8" x14ac:dyDescent="0.35">
      <c r="B222"/>
      <c r="C222"/>
      <c r="H222"/>
    </row>
    <row r="223" spans="2:8" x14ac:dyDescent="0.35">
      <c r="B223"/>
      <c r="C223"/>
      <c r="H223"/>
    </row>
    <row r="224" spans="2:8" x14ac:dyDescent="0.35">
      <c r="B224"/>
      <c r="C224"/>
      <c r="H224"/>
    </row>
    <row r="225" spans="2:8" x14ac:dyDescent="0.35">
      <c r="B225"/>
      <c r="C225"/>
      <c r="H225"/>
    </row>
    <row r="226" spans="2:8" x14ac:dyDescent="0.35">
      <c r="B226"/>
      <c r="C226"/>
      <c r="H226"/>
    </row>
    <row r="227" spans="2:8" x14ac:dyDescent="0.35">
      <c r="B227"/>
      <c r="C227"/>
      <c r="H227"/>
    </row>
    <row r="228" spans="2:8" x14ac:dyDescent="0.35">
      <c r="B228"/>
      <c r="C228"/>
      <c r="H228"/>
    </row>
    <row r="229" spans="2:8" x14ac:dyDescent="0.35">
      <c r="B229"/>
      <c r="C229"/>
      <c r="H229"/>
    </row>
    <row r="230" spans="2:8" x14ac:dyDescent="0.35">
      <c r="B230"/>
      <c r="C230"/>
      <c r="H230"/>
    </row>
    <row r="231" spans="2:8" x14ac:dyDescent="0.35">
      <c r="B231"/>
      <c r="C231"/>
      <c r="H231"/>
    </row>
    <row r="232" spans="2:8" x14ac:dyDescent="0.35">
      <c r="B232"/>
      <c r="C232"/>
      <c r="H232"/>
    </row>
    <row r="233" spans="2:8" x14ac:dyDescent="0.35">
      <c r="B233"/>
      <c r="C233"/>
      <c r="H233"/>
    </row>
    <row r="234" spans="2:8" x14ac:dyDescent="0.35">
      <c r="B234"/>
      <c r="C234"/>
      <c r="H234"/>
    </row>
    <row r="235" spans="2:8" x14ac:dyDescent="0.35">
      <c r="B235"/>
      <c r="C235"/>
      <c r="H235"/>
    </row>
    <row r="236" spans="2:8" x14ac:dyDescent="0.35">
      <c r="B236"/>
      <c r="C236"/>
      <c r="H236"/>
    </row>
    <row r="237" spans="2:8" x14ac:dyDescent="0.35">
      <c r="B237"/>
      <c r="C237"/>
      <c r="H237"/>
    </row>
    <row r="238" spans="2:8" x14ac:dyDescent="0.35">
      <c r="B238"/>
      <c r="C238"/>
      <c r="H238"/>
    </row>
    <row r="239" spans="2:8" x14ac:dyDescent="0.35">
      <c r="B239"/>
      <c r="C239"/>
      <c r="H239"/>
    </row>
    <row r="240" spans="2:8" x14ac:dyDescent="0.35">
      <c r="B240"/>
      <c r="C240"/>
      <c r="H240"/>
    </row>
    <row r="241" spans="2:8" x14ac:dyDescent="0.35">
      <c r="B241"/>
      <c r="C241"/>
      <c r="H241"/>
    </row>
    <row r="242" spans="2:8" x14ac:dyDescent="0.35">
      <c r="B242"/>
      <c r="C242"/>
      <c r="H242"/>
    </row>
    <row r="243" spans="2:8" x14ac:dyDescent="0.35">
      <c r="B243"/>
      <c r="C243"/>
      <c r="H243"/>
    </row>
    <row r="244" spans="2:8" x14ac:dyDescent="0.35">
      <c r="B244"/>
      <c r="C244"/>
      <c r="H244"/>
    </row>
    <row r="245" spans="2:8" x14ac:dyDescent="0.35">
      <c r="B245"/>
      <c r="C245"/>
      <c r="H245"/>
    </row>
    <row r="246" spans="2:8" x14ac:dyDescent="0.35">
      <c r="B246"/>
      <c r="C246"/>
      <c r="H246"/>
    </row>
    <row r="247" spans="2:8" x14ac:dyDescent="0.35">
      <c r="B247"/>
      <c r="C247"/>
      <c r="H247"/>
    </row>
    <row r="248" spans="2:8" x14ac:dyDescent="0.35">
      <c r="B248"/>
      <c r="C248"/>
      <c r="H248"/>
    </row>
    <row r="249" spans="2:8" x14ac:dyDescent="0.35">
      <c r="B249"/>
      <c r="C249"/>
      <c r="H249"/>
    </row>
    <row r="250" spans="2:8" x14ac:dyDescent="0.35">
      <c r="B250"/>
      <c r="C250"/>
      <c r="H250"/>
    </row>
    <row r="251" spans="2:8" x14ac:dyDescent="0.35">
      <c r="B251"/>
      <c r="C251"/>
      <c r="H251"/>
    </row>
    <row r="252" spans="2:8" x14ac:dyDescent="0.35">
      <c r="B252"/>
      <c r="C252"/>
      <c r="H252"/>
    </row>
    <row r="253" spans="2:8" x14ac:dyDescent="0.35">
      <c r="B253"/>
      <c r="C253"/>
      <c r="H253"/>
    </row>
    <row r="254" spans="2:8" x14ac:dyDescent="0.35">
      <c r="B254"/>
      <c r="C254"/>
      <c r="H254"/>
    </row>
    <row r="255" spans="2:8" x14ac:dyDescent="0.35">
      <c r="B255"/>
      <c r="C255"/>
      <c r="H255"/>
    </row>
    <row r="256" spans="2:8" x14ac:dyDescent="0.35">
      <c r="B256"/>
      <c r="C256"/>
      <c r="H256"/>
    </row>
    <row r="257" spans="2:8" x14ac:dyDescent="0.35">
      <c r="B257"/>
      <c r="C257"/>
      <c r="H257"/>
    </row>
    <row r="258" spans="2:8" x14ac:dyDescent="0.35">
      <c r="B258"/>
      <c r="C258"/>
      <c r="H258"/>
    </row>
    <row r="259" spans="2:8" x14ac:dyDescent="0.35">
      <c r="B259"/>
      <c r="C259"/>
      <c r="H259"/>
    </row>
    <row r="260" spans="2:8" x14ac:dyDescent="0.35">
      <c r="B260"/>
      <c r="C260"/>
      <c r="H260"/>
    </row>
    <row r="261" spans="2:8" x14ac:dyDescent="0.35">
      <c r="B261"/>
      <c r="C261"/>
      <c r="H261"/>
    </row>
    <row r="262" spans="2:8" x14ac:dyDescent="0.35">
      <c r="B262"/>
      <c r="C262"/>
      <c r="H262"/>
    </row>
    <row r="263" spans="2:8" x14ac:dyDescent="0.35">
      <c r="B263"/>
      <c r="C263"/>
      <c r="H263"/>
    </row>
    <row r="264" spans="2:8" x14ac:dyDescent="0.35">
      <c r="B264"/>
      <c r="C264"/>
      <c r="H264"/>
    </row>
    <row r="265" spans="2:8" x14ac:dyDescent="0.35">
      <c r="B265"/>
      <c r="C265"/>
      <c r="H265"/>
    </row>
    <row r="266" spans="2:8" x14ac:dyDescent="0.35">
      <c r="B266"/>
      <c r="C266"/>
      <c r="H266"/>
    </row>
    <row r="267" spans="2:8" x14ac:dyDescent="0.35">
      <c r="B267"/>
      <c r="C267"/>
      <c r="H267"/>
    </row>
    <row r="268" spans="2:8" x14ac:dyDescent="0.35">
      <c r="B268"/>
      <c r="C268"/>
      <c r="H268"/>
    </row>
    <row r="269" spans="2:8" x14ac:dyDescent="0.35">
      <c r="B269"/>
      <c r="C269"/>
      <c r="H269"/>
    </row>
    <row r="270" spans="2:8" x14ac:dyDescent="0.35">
      <c r="B270"/>
      <c r="C270"/>
      <c r="H270"/>
    </row>
    <row r="271" spans="2:8" x14ac:dyDescent="0.35">
      <c r="B271"/>
      <c r="C271"/>
      <c r="H271"/>
    </row>
    <row r="272" spans="2:8" x14ac:dyDescent="0.35">
      <c r="B272"/>
      <c r="C272"/>
      <c r="H272"/>
    </row>
    <row r="273" spans="2:8" x14ac:dyDescent="0.35">
      <c r="B273"/>
      <c r="C273"/>
      <c r="H273"/>
    </row>
    <row r="274" spans="2:8" x14ac:dyDescent="0.35">
      <c r="B274"/>
      <c r="C274"/>
      <c r="H274"/>
    </row>
    <row r="275" spans="2:8" x14ac:dyDescent="0.35">
      <c r="B275"/>
      <c r="C275"/>
      <c r="H275"/>
    </row>
    <row r="276" spans="2:8" x14ac:dyDescent="0.35">
      <c r="B276"/>
      <c r="C276"/>
      <c r="H276"/>
    </row>
    <row r="277" spans="2:8" x14ac:dyDescent="0.35">
      <c r="B277"/>
      <c r="C277"/>
      <c r="H277"/>
    </row>
    <row r="278" spans="2:8" x14ac:dyDescent="0.35">
      <c r="B278"/>
      <c r="C278"/>
      <c r="H278"/>
    </row>
    <row r="279" spans="2:8" x14ac:dyDescent="0.35">
      <c r="B279"/>
      <c r="C279"/>
      <c r="H279"/>
    </row>
    <row r="280" spans="2:8" x14ac:dyDescent="0.35">
      <c r="B280"/>
      <c r="C280"/>
      <c r="H280"/>
    </row>
    <row r="281" spans="2:8" x14ac:dyDescent="0.35">
      <c r="B281"/>
      <c r="C281"/>
      <c r="H281"/>
    </row>
    <row r="282" spans="2:8" x14ac:dyDescent="0.35">
      <c r="B282"/>
      <c r="C282"/>
      <c r="H282"/>
    </row>
    <row r="283" spans="2:8" x14ac:dyDescent="0.35">
      <c r="B283"/>
      <c r="C283"/>
      <c r="H283"/>
    </row>
    <row r="284" spans="2:8" x14ac:dyDescent="0.35">
      <c r="B284"/>
      <c r="C284"/>
      <c r="H284"/>
    </row>
    <row r="285" spans="2:8" x14ac:dyDescent="0.35">
      <c r="B285"/>
      <c r="C285"/>
      <c r="H285"/>
    </row>
    <row r="286" spans="2:8" x14ac:dyDescent="0.35">
      <c r="B286"/>
      <c r="C286"/>
      <c r="H286"/>
    </row>
    <row r="287" spans="2:8" x14ac:dyDescent="0.35">
      <c r="B287"/>
      <c r="C287"/>
      <c r="H287"/>
    </row>
    <row r="288" spans="2:8" x14ac:dyDescent="0.35">
      <c r="B288"/>
      <c r="C288"/>
      <c r="H288"/>
    </row>
    <row r="289" spans="2:8" x14ac:dyDescent="0.35">
      <c r="B289"/>
      <c r="C289"/>
      <c r="H289"/>
    </row>
    <row r="290" spans="2:8" x14ac:dyDescent="0.35">
      <c r="B290"/>
      <c r="C290"/>
      <c r="H290"/>
    </row>
    <row r="291" spans="2:8" x14ac:dyDescent="0.35">
      <c r="B291"/>
      <c r="C291"/>
      <c r="H291"/>
    </row>
    <row r="292" spans="2:8" x14ac:dyDescent="0.35">
      <c r="B292"/>
      <c r="C292"/>
      <c r="H292"/>
    </row>
    <row r="293" spans="2:8" x14ac:dyDescent="0.35">
      <c r="B293"/>
      <c r="C293"/>
      <c r="H293"/>
    </row>
    <row r="294" spans="2:8" x14ac:dyDescent="0.35">
      <c r="B294"/>
      <c r="C294"/>
      <c r="H294"/>
    </row>
    <row r="295" spans="2:8" x14ac:dyDescent="0.35">
      <c r="B295"/>
      <c r="C295"/>
      <c r="H295"/>
    </row>
    <row r="296" spans="2:8" x14ac:dyDescent="0.35">
      <c r="B296"/>
      <c r="C296"/>
      <c r="H296"/>
    </row>
    <row r="297" spans="2:8" x14ac:dyDescent="0.35">
      <c r="B297"/>
      <c r="C297"/>
      <c r="H297"/>
    </row>
    <row r="298" spans="2:8" x14ac:dyDescent="0.35">
      <c r="B298"/>
      <c r="C298"/>
      <c r="H298"/>
    </row>
    <row r="299" spans="2:8" x14ac:dyDescent="0.35">
      <c r="B299"/>
      <c r="C299"/>
      <c r="H299"/>
    </row>
    <row r="300" spans="2:8" x14ac:dyDescent="0.35">
      <c r="B300"/>
      <c r="C300"/>
      <c r="H300"/>
    </row>
    <row r="301" spans="2:8" x14ac:dyDescent="0.35">
      <c r="B301"/>
      <c r="C301"/>
      <c r="H301"/>
    </row>
    <row r="302" spans="2:8" x14ac:dyDescent="0.35">
      <c r="B302"/>
      <c r="C302"/>
      <c r="H302"/>
    </row>
    <row r="303" spans="2:8" x14ac:dyDescent="0.35">
      <c r="B303"/>
      <c r="C303"/>
      <c r="H303"/>
    </row>
    <row r="304" spans="2:8" x14ac:dyDescent="0.35">
      <c r="B304"/>
      <c r="C304"/>
      <c r="H304"/>
    </row>
    <row r="305" spans="2:8" x14ac:dyDescent="0.35">
      <c r="B305"/>
      <c r="C305"/>
      <c r="H305"/>
    </row>
    <row r="306" spans="2:8" x14ac:dyDescent="0.35">
      <c r="B306"/>
      <c r="C306"/>
      <c r="H306"/>
    </row>
    <row r="307" spans="2:8" x14ac:dyDescent="0.35">
      <c r="B307"/>
      <c r="C307"/>
      <c r="H307"/>
    </row>
    <row r="308" spans="2:8" x14ac:dyDescent="0.35">
      <c r="B308"/>
      <c r="C308"/>
      <c r="H308"/>
    </row>
    <row r="309" spans="2:8" x14ac:dyDescent="0.35">
      <c r="B309"/>
      <c r="C309"/>
      <c r="H309"/>
    </row>
    <row r="310" spans="2:8" x14ac:dyDescent="0.35">
      <c r="B310"/>
      <c r="C310"/>
      <c r="H310"/>
    </row>
    <row r="311" spans="2:8" x14ac:dyDescent="0.35">
      <c r="B311"/>
      <c r="C311"/>
      <c r="H311"/>
    </row>
    <row r="312" spans="2:8" x14ac:dyDescent="0.35">
      <c r="B312"/>
      <c r="C312"/>
      <c r="H312"/>
    </row>
    <row r="313" spans="2:8" x14ac:dyDescent="0.35">
      <c r="B313"/>
      <c r="C313"/>
      <c r="H313"/>
    </row>
    <row r="314" spans="2:8" x14ac:dyDescent="0.35">
      <c r="B314"/>
      <c r="C314"/>
      <c r="H314"/>
    </row>
    <row r="315" spans="2:8" x14ac:dyDescent="0.35">
      <c r="B315"/>
      <c r="C315"/>
      <c r="H315"/>
    </row>
    <row r="316" spans="2:8" x14ac:dyDescent="0.35">
      <c r="B316"/>
      <c r="C316"/>
      <c r="H316"/>
    </row>
    <row r="317" spans="2:8" x14ac:dyDescent="0.35">
      <c r="B317"/>
      <c r="C317"/>
      <c r="H317"/>
    </row>
    <row r="318" spans="2:8" x14ac:dyDescent="0.35">
      <c r="B318"/>
      <c r="C318"/>
      <c r="H318"/>
    </row>
    <row r="319" spans="2:8" x14ac:dyDescent="0.35">
      <c r="B319"/>
      <c r="C319"/>
      <c r="H319"/>
    </row>
    <row r="320" spans="2:8" x14ac:dyDescent="0.35">
      <c r="B320"/>
      <c r="C320"/>
      <c r="H320"/>
    </row>
    <row r="321" spans="2:8" x14ac:dyDescent="0.35">
      <c r="B321"/>
      <c r="C321"/>
      <c r="H321"/>
    </row>
    <row r="322" spans="2:8" x14ac:dyDescent="0.35">
      <c r="B322"/>
      <c r="C322"/>
      <c r="H322"/>
    </row>
    <row r="323" spans="2:8" x14ac:dyDescent="0.35">
      <c r="B323"/>
      <c r="C323"/>
      <c r="H323"/>
    </row>
    <row r="324" spans="2:8" x14ac:dyDescent="0.35">
      <c r="B324"/>
      <c r="C324"/>
      <c r="H324"/>
    </row>
    <row r="325" spans="2:8" x14ac:dyDescent="0.35">
      <c r="B325"/>
      <c r="C325"/>
      <c r="H325"/>
    </row>
    <row r="326" spans="2:8" x14ac:dyDescent="0.35">
      <c r="B326"/>
      <c r="C326"/>
      <c r="H326"/>
    </row>
    <row r="327" spans="2:8" x14ac:dyDescent="0.35">
      <c r="B327"/>
      <c r="C327"/>
      <c r="H327"/>
    </row>
    <row r="328" spans="2:8" x14ac:dyDescent="0.35">
      <c r="B328"/>
      <c r="C328"/>
      <c r="H328"/>
    </row>
    <row r="329" spans="2:8" x14ac:dyDescent="0.35">
      <c r="B329"/>
      <c r="C329"/>
      <c r="H329"/>
    </row>
    <row r="330" spans="2:8" x14ac:dyDescent="0.35">
      <c r="B330"/>
      <c r="C330"/>
      <c r="H330"/>
    </row>
    <row r="331" spans="2:8" x14ac:dyDescent="0.35">
      <c r="B331"/>
      <c r="C331"/>
      <c r="H331"/>
    </row>
    <row r="332" spans="2:8" x14ac:dyDescent="0.35">
      <c r="B332"/>
      <c r="C332"/>
      <c r="H332"/>
    </row>
    <row r="333" spans="2:8" x14ac:dyDescent="0.35">
      <c r="B333"/>
      <c r="C333"/>
      <c r="H333"/>
    </row>
    <row r="334" spans="2:8" x14ac:dyDescent="0.35">
      <c r="B334"/>
      <c r="C334"/>
      <c r="H334"/>
    </row>
    <row r="335" spans="2:8" x14ac:dyDescent="0.35">
      <c r="B335"/>
      <c r="C335"/>
      <c r="H335"/>
    </row>
    <row r="336" spans="2:8" x14ac:dyDescent="0.35">
      <c r="B336"/>
      <c r="C336"/>
      <c r="H336"/>
    </row>
    <row r="337" spans="2:8" x14ac:dyDescent="0.35">
      <c r="B337"/>
      <c r="C337"/>
      <c r="H337"/>
    </row>
    <row r="338" spans="2:8" x14ac:dyDescent="0.35">
      <c r="B338"/>
      <c r="C338"/>
      <c r="H338"/>
    </row>
    <row r="339" spans="2:8" x14ac:dyDescent="0.35">
      <c r="B339"/>
      <c r="C339"/>
      <c r="H339"/>
    </row>
    <row r="340" spans="2:8" x14ac:dyDescent="0.35">
      <c r="B340"/>
      <c r="C340"/>
      <c r="H340"/>
    </row>
    <row r="341" spans="2:8" x14ac:dyDescent="0.35">
      <c r="B341"/>
      <c r="C341"/>
      <c r="H341"/>
    </row>
    <row r="342" spans="2:8" x14ac:dyDescent="0.35">
      <c r="B342"/>
      <c r="C342"/>
      <c r="H342"/>
    </row>
    <row r="343" spans="2:8" x14ac:dyDescent="0.35">
      <c r="B343"/>
      <c r="C343"/>
      <c r="H343"/>
    </row>
    <row r="344" spans="2:8" x14ac:dyDescent="0.35">
      <c r="B344"/>
      <c r="C344"/>
      <c r="H344"/>
    </row>
    <row r="345" spans="2:8" x14ac:dyDescent="0.35">
      <c r="B345"/>
      <c r="C345"/>
      <c r="H345"/>
    </row>
    <row r="346" spans="2:8" x14ac:dyDescent="0.35">
      <c r="B346"/>
      <c r="C346"/>
      <c r="H346"/>
    </row>
    <row r="347" spans="2:8" x14ac:dyDescent="0.35">
      <c r="B347"/>
      <c r="C347"/>
      <c r="H347"/>
    </row>
    <row r="348" spans="2:8" x14ac:dyDescent="0.35">
      <c r="B348"/>
      <c r="C348"/>
      <c r="H348"/>
    </row>
    <row r="349" spans="2:8" x14ac:dyDescent="0.35">
      <c r="B349"/>
      <c r="C349"/>
      <c r="H349"/>
    </row>
    <row r="350" spans="2:8" x14ac:dyDescent="0.35">
      <c r="B350"/>
      <c r="C350"/>
      <c r="H350"/>
    </row>
    <row r="351" spans="2:8" x14ac:dyDescent="0.35">
      <c r="B351"/>
      <c r="C351"/>
      <c r="H351"/>
    </row>
    <row r="352" spans="2:8" x14ac:dyDescent="0.35">
      <c r="B352"/>
      <c r="C352"/>
      <c r="H352"/>
    </row>
    <row r="353" spans="2:8" x14ac:dyDescent="0.35">
      <c r="B353"/>
      <c r="C353"/>
      <c r="H353"/>
    </row>
    <row r="354" spans="2:8" x14ac:dyDescent="0.35">
      <c r="B354"/>
      <c r="C354"/>
      <c r="H354"/>
    </row>
    <row r="355" spans="2:8" x14ac:dyDescent="0.35">
      <c r="B355"/>
      <c r="C355"/>
      <c r="H355"/>
    </row>
    <row r="356" spans="2:8" x14ac:dyDescent="0.35">
      <c r="B356"/>
      <c r="C356"/>
      <c r="H356"/>
    </row>
    <row r="357" spans="2:8" x14ac:dyDescent="0.35">
      <c r="B357"/>
      <c r="C357"/>
      <c r="H357"/>
    </row>
    <row r="358" spans="2:8" x14ac:dyDescent="0.35">
      <c r="B358"/>
      <c r="C358"/>
      <c r="H358"/>
    </row>
    <row r="359" spans="2:8" x14ac:dyDescent="0.35">
      <c r="B359"/>
      <c r="C359"/>
      <c r="H359"/>
    </row>
    <row r="360" spans="2:8" x14ac:dyDescent="0.35">
      <c r="B360"/>
      <c r="C360"/>
      <c r="H360"/>
    </row>
    <row r="361" spans="2:8" x14ac:dyDescent="0.35">
      <c r="B361"/>
      <c r="C361"/>
      <c r="H361"/>
    </row>
    <row r="362" spans="2:8" x14ac:dyDescent="0.35">
      <c r="B362"/>
      <c r="C362"/>
      <c r="H362"/>
    </row>
    <row r="363" spans="2:8" x14ac:dyDescent="0.35">
      <c r="B363"/>
      <c r="C363"/>
      <c r="H363"/>
    </row>
    <row r="364" spans="2:8" x14ac:dyDescent="0.35">
      <c r="B364"/>
      <c r="C364"/>
      <c r="H364"/>
    </row>
    <row r="365" spans="2:8" x14ac:dyDescent="0.35">
      <c r="B365"/>
      <c r="C365"/>
      <c r="H365"/>
    </row>
    <row r="366" spans="2:8" x14ac:dyDescent="0.35">
      <c r="B366"/>
      <c r="C366"/>
      <c r="H366"/>
    </row>
    <row r="367" spans="2:8" x14ac:dyDescent="0.35">
      <c r="B367"/>
      <c r="C367"/>
      <c r="H367"/>
    </row>
    <row r="368" spans="2:8" x14ac:dyDescent="0.35">
      <c r="B368"/>
      <c r="C368"/>
      <c r="H368"/>
    </row>
    <row r="369" spans="2:8" x14ac:dyDescent="0.35">
      <c r="B369"/>
      <c r="C369"/>
      <c r="H369"/>
    </row>
    <row r="370" spans="2:8" x14ac:dyDescent="0.35">
      <c r="B370"/>
      <c r="C370"/>
      <c r="H370"/>
    </row>
    <row r="371" spans="2:8" x14ac:dyDescent="0.35">
      <c r="B371"/>
      <c r="C371"/>
      <c r="H371"/>
    </row>
    <row r="372" spans="2:8" x14ac:dyDescent="0.35">
      <c r="B372"/>
      <c r="C372"/>
      <c r="H372"/>
    </row>
    <row r="373" spans="2:8" x14ac:dyDescent="0.35">
      <c r="B373"/>
      <c r="C373"/>
      <c r="H373"/>
    </row>
    <row r="374" spans="2:8" x14ac:dyDescent="0.35">
      <c r="B374"/>
      <c r="C374"/>
      <c r="H374"/>
    </row>
    <row r="375" spans="2:8" x14ac:dyDescent="0.35">
      <c r="B375"/>
      <c r="C375"/>
      <c r="H375"/>
    </row>
    <row r="376" spans="2:8" x14ac:dyDescent="0.35">
      <c r="B376"/>
      <c r="C376"/>
      <c r="H376"/>
    </row>
    <row r="377" spans="2:8" x14ac:dyDescent="0.35">
      <c r="B377"/>
      <c r="C377"/>
      <c r="H377"/>
    </row>
    <row r="378" spans="2:8" x14ac:dyDescent="0.35">
      <c r="B378"/>
      <c r="C378"/>
      <c r="H378"/>
    </row>
    <row r="379" spans="2:8" x14ac:dyDescent="0.35">
      <c r="B379"/>
      <c r="C379"/>
      <c r="H379"/>
    </row>
    <row r="380" spans="2:8" x14ac:dyDescent="0.35">
      <c r="B380"/>
      <c r="C380"/>
      <c r="H380"/>
    </row>
    <row r="381" spans="2:8" x14ac:dyDescent="0.35">
      <c r="B381"/>
      <c r="C381"/>
      <c r="H381"/>
    </row>
    <row r="382" spans="2:8" x14ac:dyDescent="0.35">
      <c r="B382"/>
      <c r="C382"/>
      <c r="H382"/>
    </row>
    <row r="383" spans="2:8" x14ac:dyDescent="0.35">
      <c r="B383"/>
      <c r="C383"/>
      <c r="H383"/>
    </row>
    <row r="384" spans="2:8" x14ac:dyDescent="0.35">
      <c r="B384"/>
      <c r="C384"/>
      <c r="H384"/>
    </row>
    <row r="385" spans="2:8" x14ac:dyDescent="0.35">
      <c r="B385"/>
      <c r="C385"/>
      <c r="H385"/>
    </row>
    <row r="386" spans="2:8" x14ac:dyDescent="0.35">
      <c r="B386"/>
      <c r="C386"/>
      <c r="H386"/>
    </row>
    <row r="387" spans="2:8" x14ac:dyDescent="0.35">
      <c r="B387"/>
      <c r="C387"/>
      <c r="H387"/>
    </row>
    <row r="388" spans="2:8" x14ac:dyDescent="0.35">
      <c r="B388"/>
      <c r="C388"/>
      <c r="H388"/>
    </row>
    <row r="389" spans="2:8" x14ac:dyDescent="0.35">
      <c r="B389"/>
      <c r="C389"/>
      <c r="H389"/>
    </row>
    <row r="390" spans="2:8" x14ac:dyDescent="0.35">
      <c r="B390"/>
      <c r="C390"/>
      <c r="H390"/>
    </row>
    <row r="391" spans="2:8" x14ac:dyDescent="0.35">
      <c r="B391"/>
      <c r="C391"/>
      <c r="H391"/>
    </row>
    <row r="392" spans="2:8" x14ac:dyDescent="0.35">
      <c r="B392"/>
      <c r="C392"/>
      <c r="H392"/>
    </row>
    <row r="393" spans="2:8" x14ac:dyDescent="0.35">
      <c r="B393"/>
      <c r="C393"/>
      <c r="H393"/>
    </row>
    <row r="394" spans="2:8" x14ac:dyDescent="0.35">
      <c r="B394"/>
      <c r="C394"/>
      <c r="H394"/>
    </row>
    <row r="395" spans="2:8" x14ac:dyDescent="0.35">
      <c r="B395"/>
      <c r="C395"/>
      <c r="H395"/>
    </row>
    <row r="396" spans="2:8" x14ac:dyDescent="0.35">
      <c r="B396"/>
      <c r="C396"/>
      <c r="H396"/>
    </row>
    <row r="397" spans="2:8" x14ac:dyDescent="0.35">
      <c r="B397"/>
      <c r="C397"/>
      <c r="H397"/>
    </row>
    <row r="398" spans="2:8" x14ac:dyDescent="0.35">
      <c r="B398"/>
      <c r="C398"/>
      <c r="H398"/>
    </row>
    <row r="399" spans="2:8" x14ac:dyDescent="0.35">
      <c r="B399"/>
      <c r="C399"/>
      <c r="H399"/>
    </row>
    <row r="400" spans="2:8" x14ac:dyDescent="0.35">
      <c r="B400"/>
      <c r="C400"/>
      <c r="H400"/>
    </row>
    <row r="401" spans="2:8" x14ac:dyDescent="0.35">
      <c r="B401"/>
      <c r="C401"/>
      <c r="H401"/>
    </row>
    <row r="402" spans="2:8" x14ac:dyDescent="0.35">
      <c r="B402"/>
      <c r="C402"/>
      <c r="H402"/>
    </row>
    <row r="403" spans="2:8" x14ac:dyDescent="0.35">
      <c r="B403"/>
      <c r="C403"/>
      <c r="H403"/>
    </row>
    <row r="404" spans="2:8" x14ac:dyDescent="0.35">
      <c r="B404"/>
      <c r="C404"/>
      <c r="H404"/>
    </row>
    <row r="405" spans="2:8" x14ac:dyDescent="0.35">
      <c r="B405"/>
      <c r="C405"/>
      <c r="H405"/>
    </row>
    <row r="406" spans="2:8" x14ac:dyDescent="0.35">
      <c r="B406"/>
      <c r="C406"/>
      <c r="H406"/>
    </row>
    <row r="407" spans="2:8" x14ac:dyDescent="0.35">
      <c r="B407"/>
      <c r="C407"/>
      <c r="H407"/>
    </row>
    <row r="408" spans="2:8" x14ac:dyDescent="0.35">
      <c r="B408"/>
      <c r="C408"/>
      <c r="H408"/>
    </row>
    <row r="409" spans="2:8" x14ac:dyDescent="0.35">
      <c r="B409"/>
      <c r="C409"/>
      <c r="H409"/>
    </row>
    <row r="410" spans="2:8" x14ac:dyDescent="0.35">
      <c r="B410"/>
      <c r="C410"/>
      <c r="H410"/>
    </row>
    <row r="411" spans="2:8" x14ac:dyDescent="0.35">
      <c r="B411"/>
      <c r="C411"/>
      <c r="H411"/>
    </row>
    <row r="412" spans="2:8" x14ac:dyDescent="0.35">
      <c r="B412"/>
      <c r="C412"/>
      <c r="H412"/>
    </row>
    <row r="413" spans="2:8" x14ac:dyDescent="0.35">
      <c r="B413"/>
      <c r="C413"/>
      <c r="H413"/>
    </row>
    <row r="414" spans="2:8" x14ac:dyDescent="0.35">
      <c r="B414"/>
      <c r="C414"/>
      <c r="H414"/>
    </row>
    <row r="415" spans="2:8" x14ac:dyDescent="0.35">
      <c r="B415"/>
      <c r="C415"/>
      <c r="H415"/>
    </row>
    <row r="416" spans="2:8" x14ac:dyDescent="0.35">
      <c r="B416"/>
      <c r="C416"/>
      <c r="H416"/>
    </row>
    <row r="417" spans="2:8" x14ac:dyDescent="0.35">
      <c r="B417"/>
      <c r="C417"/>
      <c r="H417"/>
    </row>
    <row r="418" spans="2:8" x14ac:dyDescent="0.35">
      <c r="B418"/>
      <c r="C418"/>
      <c r="H418"/>
    </row>
    <row r="419" spans="2:8" x14ac:dyDescent="0.35">
      <c r="B419"/>
      <c r="C419"/>
      <c r="H419"/>
    </row>
    <row r="420" spans="2:8" x14ac:dyDescent="0.35">
      <c r="B420"/>
      <c r="C420"/>
      <c r="H420"/>
    </row>
    <row r="421" spans="2:8" x14ac:dyDescent="0.35">
      <c r="B421"/>
      <c r="C421"/>
      <c r="H421"/>
    </row>
    <row r="422" spans="2:8" x14ac:dyDescent="0.35">
      <c r="B422"/>
      <c r="C422"/>
      <c r="H422"/>
    </row>
    <row r="423" spans="2:8" x14ac:dyDescent="0.35">
      <c r="B423"/>
      <c r="C423"/>
      <c r="H423"/>
    </row>
    <row r="424" spans="2:8" x14ac:dyDescent="0.35">
      <c r="B424"/>
      <c r="C424"/>
      <c r="H424"/>
    </row>
    <row r="425" spans="2:8" x14ac:dyDescent="0.35">
      <c r="B425"/>
      <c r="C425"/>
      <c r="H425"/>
    </row>
    <row r="426" spans="2:8" x14ac:dyDescent="0.35">
      <c r="B426"/>
      <c r="C426"/>
      <c r="H426"/>
    </row>
    <row r="427" spans="2:8" x14ac:dyDescent="0.35">
      <c r="B427"/>
      <c r="C427"/>
      <c r="H427"/>
    </row>
    <row r="428" spans="2:8" x14ac:dyDescent="0.35">
      <c r="B428"/>
      <c r="C428"/>
      <c r="H428"/>
    </row>
    <row r="429" spans="2:8" x14ac:dyDescent="0.35">
      <c r="B429"/>
      <c r="C429"/>
      <c r="H429"/>
    </row>
    <row r="430" spans="2:8" x14ac:dyDescent="0.35">
      <c r="B430"/>
      <c r="C430"/>
      <c r="H430"/>
    </row>
    <row r="431" spans="2:8" x14ac:dyDescent="0.35">
      <c r="B431"/>
      <c r="C431"/>
      <c r="H431"/>
    </row>
    <row r="432" spans="2:8" x14ac:dyDescent="0.35">
      <c r="B432"/>
      <c r="C432"/>
      <c r="H432"/>
    </row>
    <row r="433" spans="2:8" x14ac:dyDescent="0.35">
      <c r="B433"/>
      <c r="C433"/>
      <c r="H433"/>
    </row>
    <row r="434" spans="2:8" x14ac:dyDescent="0.35">
      <c r="B434"/>
      <c r="C434"/>
      <c r="H434"/>
    </row>
    <row r="435" spans="2:8" x14ac:dyDescent="0.35">
      <c r="B435"/>
      <c r="C435"/>
      <c r="H435"/>
    </row>
    <row r="436" spans="2:8" x14ac:dyDescent="0.35">
      <c r="B436"/>
      <c r="C436"/>
      <c r="H436"/>
    </row>
    <row r="437" spans="2:8" x14ac:dyDescent="0.35">
      <c r="B437"/>
      <c r="C437"/>
      <c r="H437"/>
    </row>
    <row r="438" spans="2:8" x14ac:dyDescent="0.35">
      <c r="B438"/>
      <c r="C438"/>
      <c r="H438"/>
    </row>
    <row r="439" spans="2:8" x14ac:dyDescent="0.35">
      <c r="B439"/>
      <c r="C439"/>
      <c r="H439"/>
    </row>
    <row r="440" spans="2:8" x14ac:dyDescent="0.35">
      <c r="B440"/>
      <c r="C440"/>
      <c r="H440"/>
    </row>
    <row r="441" spans="2:8" x14ac:dyDescent="0.35">
      <c r="B441"/>
      <c r="C441"/>
      <c r="H441"/>
    </row>
    <row r="442" spans="2:8" x14ac:dyDescent="0.35">
      <c r="B442"/>
      <c r="C442"/>
      <c r="H442"/>
    </row>
    <row r="443" spans="2:8" x14ac:dyDescent="0.35">
      <c r="B443"/>
      <c r="C443"/>
      <c r="H443"/>
    </row>
    <row r="444" spans="2:8" x14ac:dyDescent="0.35">
      <c r="B444"/>
      <c r="C444"/>
      <c r="H444"/>
    </row>
    <row r="445" spans="2:8" x14ac:dyDescent="0.35">
      <c r="B445"/>
      <c r="C445"/>
      <c r="H445"/>
    </row>
    <row r="446" spans="2:8" x14ac:dyDescent="0.35">
      <c r="B446"/>
      <c r="C446"/>
      <c r="H446"/>
    </row>
    <row r="447" spans="2:8" x14ac:dyDescent="0.35">
      <c r="B447"/>
      <c r="C447"/>
      <c r="H447"/>
    </row>
    <row r="448" spans="2:8" x14ac:dyDescent="0.35">
      <c r="B448"/>
      <c r="C448"/>
      <c r="H448"/>
    </row>
    <row r="449" spans="2:8" x14ac:dyDescent="0.35">
      <c r="B449"/>
      <c r="C449"/>
      <c r="H449"/>
    </row>
    <row r="450" spans="2:8" x14ac:dyDescent="0.35">
      <c r="B450"/>
      <c r="C450"/>
      <c r="H450"/>
    </row>
    <row r="451" spans="2:8" x14ac:dyDescent="0.35">
      <c r="B451"/>
      <c r="C451"/>
      <c r="H451"/>
    </row>
    <row r="452" spans="2:8" x14ac:dyDescent="0.35">
      <c r="B452"/>
      <c r="C452"/>
      <c r="H452"/>
    </row>
    <row r="453" spans="2:8" x14ac:dyDescent="0.35">
      <c r="B453"/>
      <c r="C453"/>
      <c r="H453"/>
    </row>
    <row r="454" spans="2:8" x14ac:dyDescent="0.35">
      <c r="B454"/>
      <c r="C454"/>
      <c r="H454"/>
    </row>
    <row r="455" spans="2:8" x14ac:dyDescent="0.35">
      <c r="B455"/>
      <c r="C455"/>
      <c r="H455"/>
    </row>
    <row r="456" spans="2:8" x14ac:dyDescent="0.35">
      <c r="B456"/>
      <c r="C456"/>
      <c r="H456"/>
    </row>
    <row r="457" spans="2:8" x14ac:dyDescent="0.35">
      <c r="B457"/>
      <c r="C457"/>
      <c r="H457"/>
    </row>
    <row r="458" spans="2:8" x14ac:dyDescent="0.35">
      <c r="B458"/>
      <c r="C458"/>
      <c r="H458"/>
    </row>
    <row r="459" spans="2:8" x14ac:dyDescent="0.35">
      <c r="B459"/>
      <c r="C459"/>
      <c r="H459"/>
    </row>
    <row r="460" spans="2:8" x14ac:dyDescent="0.35">
      <c r="B460"/>
      <c r="C460"/>
      <c r="H460"/>
    </row>
    <row r="461" spans="2:8" x14ac:dyDescent="0.35">
      <c r="B461"/>
      <c r="C461"/>
      <c r="H461"/>
    </row>
    <row r="462" spans="2:8" x14ac:dyDescent="0.35">
      <c r="B462"/>
      <c r="C462"/>
      <c r="H462"/>
    </row>
    <row r="463" spans="2:8" x14ac:dyDescent="0.35">
      <c r="B463"/>
      <c r="C463"/>
      <c r="H463"/>
    </row>
    <row r="464" spans="2:8" x14ac:dyDescent="0.35">
      <c r="B464"/>
      <c r="C464"/>
      <c r="H464"/>
    </row>
    <row r="465" spans="2:8" x14ac:dyDescent="0.35">
      <c r="B465"/>
      <c r="C465"/>
      <c r="H465"/>
    </row>
    <row r="466" spans="2:8" x14ac:dyDescent="0.35">
      <c r="B466"/>
      <c r="C466"/>
      <c r="H466"/>
    </row>
    <row r="467" spans="2:8" x14ac:dyDescent="0.35">
      <c r="B467"/>
      <c r="C467"/>
      <c r="H467"/>
    </row>
    <row r="468" spans="2:8" x14ac:dyDescent="0.35">
      <c r="B468"/>
      <c r="C468"/>
      <c r="H468"/>
    </row>
    <row r="469" spans="2:8" x14ac:dyDescent="0.35">
      <c r="B469"/>
      <c r="C469"/>
      <c r="H469"/>
    </row>
    <row r="470" spans="2:8" x14ac:dyDescent="0.35">
      <c r="B470"/>
      <c r="C470"/>
      <c r="H470"/>
    </row>
    <row r="471" spans="2:8" x14ac:dyDescent="0.35">
      <c r="B471"/>
      <c r="C471"/>
      <c r="H471"/>
    </row>
    <row r="472" spans="2:8" x14ac:dyDescent="0.35">
      <c r="B472"/>
      <c r="C472"/>
      <c r="H472"/>
    </row>
    <row r="473" spans="2:8" x14ac:dyDescent="0.35">
      <c r="B473"/>
      <c r="C473"/>
      <c r="H473"/>
    </row>
    <row r="474" spans="2:8" x14ac:dyDescent="0.35">
      <c r="B474"/>
      <c r="C474"/>
      <c r="H474"/>
    </row>
    <row r="475" spans="2:8" x14ac:dyDescent="0.35">
      <c r="B475"/>
      <c r="C475"/>
      <c r="H475"/>
    </row>
    <row r="476" spans="2:8" x14ac:dyDescent="0.35">
      <c r="B476"/>
      <c r="C476"/>
      <c r="H476"/>
    </row>
    <row r="477" spans="2:8" x14ac:dyDescent="0.35">
      <c r="B477"/>
      <c r="C477"/>
      <c r="H477"/>
    </row>
    <row r="478" spans="2:8" x14ac:dyDescent="0.35">
      <c r="B478"/>
      <c r="C478"/>
      <c r="H478"/>
    </row>
    <row r="479" spans="2:8" x14ac:dyDescent="0.35">
      <c r="B479"/>
      <c r="C479"/>
      <c r="H479"/>
    </row>
    <row r="480" spans="2:8" x14ac:dyDescent="0.35">
      <c r="B480"/>
      <c r="C480"/>
      <c r="H480"/>
    </row>
    <row r="481" spans="2:8" x14ac:dyDescent="0.35">
      <c r="B481"/>
      <c r="C481"/>
      <c r="H481"/>
    </row>
    <row r="482" spans="2:8" x14ac:dyDescent="0.35">
      <c r="B482"/>
      <c r="C482"/>
      <c r="H482"/>
    </row>
    <row r="483" spans="2:8" x14ac:dyDescent="0.35">
      <c r="B483"/>
      <c r="C483"/>
      <c r="H483"/>
    </row>
    <row r="484" spans="2:8" x14ac:dyDescent="0.35">
      <c r="B484"/>
      <c r="C484"/>
      <c r="H484"/>
    </row>
    <row r="485" spans="2:8" x14ac:dyDescent="0.35">
      <c r="B485"/>
      <c r="C485"/>
      <c r="H485"/>
    </row>
    <row r="486" spans="2:8" x14ac:dyDescent="0.35">
      <c r="B486"/>
      <c r="C486"/>
      <c r="H486"/>
    </row>
    <row r="487" spans="2:8" x14ac:dyDescent="0.35">
      <c r="B487"/>
      <c r="C487"/>
      <c r="H487"/>
    </row>
    <row r="488" spans="2:8" x14ac:dyDescent="0.35">
      <c r="B488"/>
      <c r="C488"/>
      <c r="H488"/>
    </row>
    <row r="489" spans="2:8" x14ac:dyDescent="0.35">
      <c r="B489"/>
      <c r="C489"/>
      <c r="H489"/>
    </row>
    <row r="490" spans="2:8" x14ac:dyDescent="0.35">
      <c r="B490"/>
      <c r="C490"/>
      <c r="H490"/>
    </row>
    <row r="491" spans="2:8" x14ac:dyDescent="0.35">
      <c r="B491"/>
      <c r="C491"/>
      <c r="H491"/>
    </row>
    <row r="492" spans="2:8" x14ac:dyDescent="0.35">
      <c r="B492"/>
      <c r="C492"/>
      <c r="H492"/>
    </row>
    <row r="493" spans="2:8" x14ac:dyDescent="0.35">
      <c r="B493"/>
      <c r="C493"/>
      <c r="H493"/>
    </row>
    <row r="494" spans="2:8" x14ac:dyDescent="0.35">
      <c r="B494"/>
      <c r="C494"/>
      <c r="H494"/>
    </row>
    <row r="495" spans="2:8" x14ac:dyDescent="0.35">
      <c r="B495"/>
      <c r="C495"/>
      <c r="H495"/>
    </row>
    <row r="496" spans="2:8" x14ac:dyDescent="0.35">
      <c r="B496"/>
      <c r="C496"/>
      <c r="H496"/>
    </row>
    <row r="497" spans="2:8" x14ac:dyDescent="0.35">
      <c r="B497"/>
      <c r="C497"/>
      <c r="H497"/>
    </row>
    <row r="498" spans="2:8" x14ac:dyDescent="0.35">
      <c r="B498"/>
      <c r="C498"/>
      <c r="H498"/>
    </row>
    <row r="499" spans="2:8" x14ac:dyDescent="0.35">
      <c r="B499"/>
      <c r="C499"/>
      <c r="H499"/>
    </row>
    <row r="500" spans="2:8" x14ac:dyDescent="0.35">
      <c r="B500"/>
      <c r="C500"/>
      <c r="H500"/>
    </row>
    <row r="501" spans="2:8" x14ac:dyDescent="0.35">
      <c r="B501"/>
      <c r="C501"/>
      <c r="H501"/>
    </row>
    <row r="502" spans="2:8" x14ac:dyDescent="0.35">
      <c r="B502"/>
      <c r="C502"/>
      <c r="H502"/>
    </row>
    <row r="503" spans="2:8" x14ac:dyDescent="0.35">
      <c r="B503"/>
      <c r="C503"/>
      <c r="H503"/>
    </row>
    <row r="504" spans="2:8" x14ac:dyDescent="0.35">
      <c r="B504"/>
      <c r="C504"/>
      <c r="H504"/>
    </row>
    <row r="505" spans="2:8" x14ac:dyDescent="0.35">
      <c r="B505"/>
      <c r="C505"/>
      <c r="H505"/>
    </row>
    <row r="506" spans="2:8" x14ac:dyDescent="0.35">
      <c r="B506"/>
      <c r="C506"/>
      <c r="H506"/>
    </row>
    <row r="507" spans="2:8" x14ac:dyDescent="0.35">
      <c r="B507"/>
      <c r="C507"/>
      <c r="H507"/>
    </row>
    <row r="508" spans="2:8" x14ac:dyDescent="0.35">
      <c r="B508"/>
      <c r="C508"/>
      <c r="H508"/>
    </row>
    <row r="509" spans="2:8" x14ac:dyDescent="0.35">
      <c r="B509"/>
      <c r="C509"/>
      <c r="H509"/>
    </row>
    <row r="510" spans="2:8" x14ac:dyDescent="0.35">
      <c r="B510"/>
      <c r="C510"/>
      <c r="H510"/>
    </row>
    <row r="511" spans="2:8" x14ac:dyDescent="0.35">
      <c r="B511"/>
      <c r="C511"/>
      <c r="H511"/>
    </row>
    <row r="512" spans="2:8" x14ac:dyDescent="0.35">
      <c r="B512"/>
      <c r="C512"/>
      <c r="H512"/>
    </row>
    <row r="513" spans="2:8" x14ac:dyDescent="0.35">
      <c r="B513"/>
      <c r="C513"/>
      <c r="H513"/>
    </row>
    <row r="514" spans="2:8" x14ac:dyDescent="0.35">
      <c r="B514"/>
      <c r="C514"/>
      <c r="H514"/>
    </row>
    <row r="515" spans="2:8" x14ac:dyDescent="0.35">
      <c r="B515"/>
      <c r="C515"/>
      <c r="H515"/>
    </row>
    <row r="516" spans="2:8" x14ac:dyDescent="0.35">
      <c r="B516"/>
      <c r="C516"/>
      <c r="H516"/>
    </row>
    <row r="517" spans="2:8" x14ac:dyDescent="0.35">
      <c r="B517"/>
      <c r="C517"/>
      <c r="H517"/>
    </row>
    <row r="518" spans="2:8" x14ac:dyDescent="0.35">
      <c r="B518"/>
      <c r="C518"/>
      <c r="H518"/>
    </row>
    <row r="519" spans="2:8" x14ac:dyDescent="0.35">
      <c r="B519"/>
      <c r="C519"/>
      <c r="H519"/>
    </row>
    <row r="520" spans="2:8" x14ac:dyDescent="0.35">
      <c r="B520"/>
      <c r="C520"/>
      <c r="H520"/>
    </row>
    <row r="521" spans="2:8" x14ac:dyDescent="0.35">
      <c r="B521"/>
      <c r="C521"/>
      <c r="H521"/>
    </row>
    <row r="522" spans="2:8" x14ac:dyDescent="0.35">
      <c r="B522"/>
      <c r="C522"/>
      <c r="H522"/>
    </row>
    <row r="523" spans="2:8" x14ac:dyDescent="0.35">
      <c r="B523"/>
      <c r="C523"/>
      <c r="H523"/>
    </row>
    <row r="524" spans="2:8" x14ac:dyDescent="0.35">
      <c r="B524"/>
      <c r="C524"/>
      <c r="H524"/>
    </row>
    <row r="525" spans="2:8" x14ac:dyDescent="0.35">
      <c r="B525"/>
      <c r="C525"/>
      <c r="H525"/>
    </row>
    <row r="526" spans="2:8" x14ac:dyDescent="0.35">
      <c r="B526"/>
      <c r="C526"/>
      <c r="H526"/>
    </row>
    <row r="527" spans="2:8" x14ac:dyDescent="0.35">
      <c r="B527"/>
      <c r="C527"/>
      <c r="H527"/>
    </row>
    <row r="528" spans="2:8" x14ac:dyDescent="0.35">
      <c r="B528"/>
      <c r="C528"/>
      <c r="H528"/>
    </row>
    <row r="529" spans="2:8" x14ac:dyDescent="0.35">
      <c r="B529"/>
      <c r="C529"/>
      <c r="H529"/>
    </row>
    <row r="530" spans="2:8" x14ac:dyDescent="0.35">
      <c r="B530"/>
      <c r="C530"/>
      <c r="H530"/>
    </row>
    <row r="531" spans="2:8" x14ac:dyDescent="0.35">
      <c r="B531"/>
      <c r="C531"/>
      <c r="H531"/>
    </row>
    <row r="532" spans="2:8" x14ac:dyDescent="0.35">
      <c r="B532"/>
      <c r="C532"/>
      <c r="H532"/>
    </row>
    <row r="533" spans="2:8" x14ac:dyDescent="0.35">
      <c r="B533"/>
      <c r="C533"/>
      <c r="H533"/>
    </row>
    <row r="534" spans="2:8" x14ac:dyDescent="0.35">
      <c r="B534"/>
      <c r="C534"/>
      <c r="H534"/>
    </row>
    <row r="535" spans="2:8" x14ac:dyDescent="0.35">
      <c r="B535"/>
      <c r="C535"/>
      <c r="H535"/>
    </row>
    <row r="536" spans="2:8" x14ac:dyDescent="0.35">
      <c r="B536"/>
      <c r="C536"/>
      <c r="H536"/>
    </row>
    <row r="537" spans="2:8" x14ac:dyDescent="0.35">
      <c r="B537"/>
      <c r="C537"/>
      <c r="H537"/>
    </row>
    <row r="538" spans="2:8" x14ac:dyDescent="0.35">
      <c r="B538"/>
      <c r="C538"/>
      <c r="H538"/>
    </row>
    <row r="539" spans="2:8" x14ac:dyDescent="0.35">
      <c r="B539"/>
      <c r="C539"/>
      <c r="H539"/>
    </row>
    <row r="540" spans="2:8" x14ac:dyDescent="0.35">
      <c r="B540"/>
      <c r="C540"/>
      <c r="H540"/>
    </row>
    <row r="541" spans="2:8" x14ac:dyDescent="0.35">
      <c r="B541"/>
      <c r="C541"/>
      <c r="H541"/>
    </row>
    <row r="542" spans="2:8" x14ac:dyDescent="0.35">
      <c r="B542"/>
      <c r="C542"/>
      <c r="H542"/>
    </row>
    <row r="543" spans="2:8" x14ac:dyDescent="0.35">
      <c r="B543"/>
      <c r="C543"/>
      <c r="H543"/>
    </row>
    <row r="544" spans="2:8" x14ac:dyDescent="0.35">
      <c r="B544"/>
      <c r="C544"/>
      <c r="H544"/>
    </row>
    <row r="545" spans="2:8" x14ac:dyDescent="0.35">
      <c r="B545"/>
      <c r="C545"/>
      <c r="H545"/>
    </row>
    <row r="546" spans="2:8" x14ac:dyDescent="0.35">
      <c r="B546"/>
      <c r="C546"/>
      <c r="H546"/>
    </row>
    <row r="547" spans="2:8" x14ac:dyDescent="0.35">
      <c r="B547"/>
      <c r="C547"/>
      <c r="H547"/>
    </row>
    <row r="548" spans="2:8" x14ac:dyDescent="0.35">
      <c r="B548"/>
      <c r="C548"/>
      <c r="H548"/>
    </row>
    <row r="549" spans="2:8" x14ac:dyDescent="0.35">
      <c r="B549"/>
      <c r="C549"/>
      <c r="H549"/>
    </row>
    <row r="550" spans="2:8" x14ac:dyDescent="0.35">
      <c r="B550"/>
      <c r="C550"/>
      <c r="H550"/>
    </row>
    <row r="551" spans="2:8" x14ac:dyDescent="0.35">
      <c r="B551"/>
      <c r="C551"/>
      <c r="H551"/>
    </row>
    <row r="552" spans="2:8" x14ac:dyDescent="0.35">
      <c r="B552"/>
      <c r="C552"/>
      <c r="H552"/>
    </row>
    <row r="553" spans="2:8" x14ac:dyDescent="0.35">
      <c r="B553"/>
      <c r="C553"/>
      <c r="H553"/>
    </row>
    <row r="554" spans="2:8" x14ac:dyDescent="0.35">
      <c r="B554"/>
      <c r="C554"/>
      <c r="H554"/>
    </row>
    <row r="555" spans="2:8" x14ac:dyDescent="0.35">
      <c r="B555"/>
      <c r="C555"/>
      <c r="H555"/>
    </row>
    <row r="556" spans="2:8" x14ac:dyDescent="0.35">
      <c r="B556"/>
      <c r="C556"/>
      <c r="H556"/>
    </row>
    <row r="557" spans="2:8" x14ac:dyDescent="0.35">
      <c r="B557"/>
      <c r="C557"/>
      <c r="H557"/>
    </row>
    <row r="558" spans="2:8" x14ac:dyDescent="0.35">
      <c r="B558"/>
      <c r="C558"/>
      <c r="H558"/>
    </row>
    <row r="559" spans="2:8" x14ac:dyDescent="0.35">
      <c r="B559"/>
      <c r="C559"/>
      <c r="H559"/>
    </row>
    <row r="560" spans="2:8" x14ac:dyDescent="0.35">
      <c r="B560"/>
      <c r="C560"/>
      <c r="H560"/>
    </row>
    <row r="561" spans="2:8" x14ac:dyDescent="0.35">
      <c r="B561"/>
      <c r="C561"/>
      <c r="H561"/>
    </row>
    <row r="562" spans="2:8" x14ac:dyDescent="0.35">
      <c r="B562"/>
      <c r="C562"/>
      <c r="H562"/>
    </row>
    <row r="563" spans="2:8" x14ac:dyDescent="0.35">
      <c r="B563"/>
      <c r="C563"/>
      <c r="H563"/>
    </row>
    <row r="564" spans="2:8" x14ac:dyDescent="0.35">
      <c r="B564"/>
      <c r="C564"/>
      <c r="H564"/>
    </row>
    <row r="565" spans="2:8" x14ac:dyDescent="0.35">
      <c r="B565"/>
      <c r="C565"/>
      <c r="H565"/>
    </row>
    <row r="566" spans="2:8" x14ac:dyDescent="0.35">
      <c r="B566"/>
      <c r="C566"/>
      <c r="H566"/>
    </row>
    <row r="567" spans="2:8" x14ac:dyDescent="0.35">
      <c r="B567"/>
      <c r="C567"/>
      <c r="H567"/>
    </row>
    <row r="568" spans="2:8" x14ac:dyDescent="0.35">
      <c r="B568"/>
      <c r="C568"/>
      <c r="H568"/>
    </row>
    <row r="569" spans="2:8" x14ac:dyDescent="0.35">
      <c r="B569"/>
      <c r="C569"/>
      <c r="H569"/>
    </row>
    <row r="570" spans="2:8" x14ac:dyDescent="0.35">
      <c r="B570"/>
      <c r="C570"/>
      <c r="H570"/>
    </row>
    <row r="571" spans="2:8" x14ac:dyDescent="0.35">
      <c r="B571"/>
      <c r="C571"/>
      <c r="H571"/>
    </row>
    <row r="572" spans="2:8" x14ac:dyDescent="0.35">
      <c r="B572"/>
      <c r="C572"/>
      <c r="H572"/>
    </row>
    <row r="573" spans="2:8" x14ac:dyDescent="0.35">
      <c r="B573"/>
      <c r="C573"/>
      <c r="H573"/>
    </row>
    <row r="574" spans="2:8" x14ac:dyDescent="0.35">
      <c r="B574"/>
      <c r="C574"/>
      <c r="H574"/>
    </row>
    <row r="575" spans="2:8" x14ac:dyDescent="0.35">
      <c r="B575"/>
      <c r="C575"/>
      <c r="H575"/>
    </row>
    <row r="576" spans="2:8" x14ac:dyDescent="0.35">
      <c r="B576"/>
      <c r="C576"/>
      <c r="H576"/>
    </row>
    <row r="577" spans="2:8" x14ac:dyDescent="0.35">
      <c r="B577"/>
      <c r="C577"/>
      <c r="H577"/>
    </row>
    <row r="578" spans="2:8" x14ac:dyDescent="0.35">
      <c r="B578"/>
      <c r="C578"/>
      <c r="H578"/>
    </row>
    <row r="579" spans="2:8" x14ac:dyDescent="0.35">
      <c r="B579"/>
      <c r="C579"/>
      <c r="H579"/>
    </row>
    <row r="580" spans="2:8" x14ac:dyDescent="0.35">
      <c r="B580"/>
      <c r="C580"/>
      <c r="H580"/>
    </row>
    <row r="581" spans="2:8" x14ac:dyDescent="0.35">
      <c r="B581"/>
      <c r="C581"/>
      <c r="H581"/>
    </row>
    <row r="582" spans="2:8" x14ac:dyDescent="0.35">
      <c r="B582"/>
      <c r="C582"/>
      <c r="H582"/>
    </row>
    <row r="583" spans="2:8" x14ac:dyDescent="0.35">
      <c r="B583"/>
      <c r="C583"/>
      <c r="H583"/>
    </row>
    <row r="584" spans="2:8" x14ac:dyDescent="0.35">
      <c r="B584"/>
      <c r="C584"/>
      <c r="H584"/>
    </row>
    <row r="585" spans="2:8" x14ac:dyDescent="0.35">
      <c r="B585"/>
      <c r="C585"/>
      <c r="H585"/>
    </row>
    <row r="586" spans="2:8" x14ac:dyDescent="0.35">
      <c r="B586"/>
      <c r="C586"/>
      <c r="H586"/>
    </row>
    <row r="587" spans="2:8" x14ac:dyDescent="0.35">
      <c r="B587"/>
      <c r="C587"/>
      <c r="H587"/>
    </row>
    <row r="588" spans="2:8" x14ac:dyDescent="0.35">
      <c r="B588"/>
      <c r="C588"/>
      <c r="H588"/>
    </row>
    <row r="589" spans="2:8" x14ac:dyDescent="0.35">
      <c r="B589"/>
      <c r="C589"/>
      <c r="H589"/>
    </row>
    <row r="590" spans="2:8" x14ac:dyDescent="0.35">
      <c r="B590"/>
      <c r="C590"/>
      <c r="H590"/>
    </row>
    <row r="591" spans="2:8" x14ac:dyDescent="0.35">
      <c r="B591"/>
      <c r="C591"/>
      <c r="H591"/>
    </row>
    <row r="592" spans="2:8" x14ac:dyDescent="0.35">
      <c r="B592"/>
      <c r="C592"/>
      <c r="H592"/>
    </row>
    <row r="593" spans="2:8" x14ac:dyDescent="0.35">
      <c r="B593"/>
      <c r="C593"/>
      <c r="H593"/>
    </row>
    <row r="594" spans="2:8" x14ac:dyDescent="0.35">
      <c r="B594"/>
      <c r="C594"/>
      <c r="H594"/>
    </row>
    <row r="595" spans="2:8" x14ac:dyDescent="0.35">
      <c r="B595"/>
      <c r="C595"/>
      <c r="H595"/>
    </row>
    <row r="596" spans="2:8" x14ac:dyDescent="0.35">
      <c r="B596"/>
      <c r="C596"/>
      <c r="H596"/>
    </row>
    <row r="597" spans="2:8" x14ac:dyDescent="0.35">
      <c r="B597"/>
      <c r="C597"/>
      <c r="H597"/>
    </row>
    <row r="598" spans="2:8" x14ac:dyDescent="0.35">
      <c r="B598"/>
      <c r="C598"/>
      <c r="H598"/>
    </row>
    <row r="599" spans="2:8" x14ac:dyDescent="0.35">
      <c r="B599"/>
      <c r="C599"/>
      <c r="H599"/>
    </row>
    <row r="600" spans="2:8" x14ac:dyDescent="0.35">
      <c r="B600"/>
      <c r="C600"/>
      <c r="H600"/>
    </row>
    <row r="601" spans="2:8" x14ac:dyDescent="0.35">
      <c r="B601"/>
      <c r="C601"/>
      <c r="H601"/>
    </row>
    <row r="602" spans="2:8" x14ac:dyDescent="0.35">
      <c r="B602"/>
      <c r="C602"/>
      <c r="H602"/>
    </row>
    <row r="603" spans="2:8" x14ac:dyDescent="0.35">
      <c r="B603"/>
      <c r="C603"/>
      <c r="H603"/>
    </row>
    <row r="604" spans="2:8" x14ac:dyDescent="0.35">
      <c r="B604"/>
      <c r="C604"/>
      <c r="H604"/>
    </row>
    <row r="605" spans="2:8" x14ac:dyDescent="0.35">
      <c r="B605"/>
      <c r="C605"/>
      <c r="H605"/>
    </row>
    <row r="606" spans="2:8" x14ac:dyDescent="0.35">
      <c r="B606"/>
      <c r="C606"/>
      <c r="H606"/>
    </row>
    <row r="607" spans="2:8" x14ac:dyDescent="0.35">
      <c r="B607"/>
      <c r="C607"/>
      <c r="H607"/>
    </row>
    <row r="608" spans="2:8" x14ac:dyDescent="0.35">
      <c r="B608"/>
      <c r="C608"/>
      <c r="H608"/>
    </row>
    <row r="609" spans="2:8" x14ac:dyDescent="0.35">
      <c r="B609"/>
      <c r="C609"/>
      <c r="H609"/>
    </row>
    <row r="610" spans="2:8" x14ac:dyDescent="0.35">
      <c r="B610"/>
      <c r="C610"/>
      <c r="H610"/>
    </row>
    <row r="611" spans="2:8" x14ac:dyDescent="0.35">
      <c r="B611"/>
      <c r="C611"/>
      <c r="H611"/>
    </row>
    <row r="612" spans="2:8" x14ac:dyDescent="0.35">
      <c r="B612"/>
      <c r="C612"/>
      <c r="H612"/>
    </row>
    <row r="613" spans="2:8" x14ac:dyDescent="0.35">
      <c r="B613"/>
      <c r="C613"/>
      <c r="H613"/>
    </row>
    <row r="614" spans="2:8" x14ac:dyDescent="0.35">
      <c r="B614"/>
      <c r="C614"/>
      <c r="H614"/>
    </row>
    <row r="615" spans="2:8" x14ac:dyDescent="0.35">
      <c r="B615"/>
      <c r="C615"/>
      <c r="H615"/>
    </row>
    <row r="616" spans="2:8" x14ac:dyDescent="0.35">
      <c r="B616"/>
      <c r="C616"/>
      <c r="H616"/>
    </row>
    <row r="617" spans="2:8" x14ac:dyDescent="0.35">
      <c r="B617"/>
      <c r="C617"/>
      <c r="H617"/>
    </row>
    <row r="618" spans="2:8" x14ac:dyDescent="0.35">
      <c r="B618"/>
      <c r="C618"/>
      <c r="H618"/>
    </row>
    <row r="619" spans="2:8" x14ac:dyDescent="0.35">
      <c r="B619"/>
      <c r="C619"/>
      <c r="H619"/>
    </row>
    <row r="620" spans="2:8" x14ac:dyDescent="0.35">
      <c r="B620"/>
      <c r="C620"/>
      <c r="H620"/>
    </row>
    <row r="621" spans="2:8" x14ac:dyDescent="0.35">
      <c r="B621"/>
      <c r="C621"/>
      <c r="H621"/>
    </row>
    <row r="622" spans="2:8" x14ac:dyDescent="0.35">
      <c r="B622"/>
      <c r="C622"/>
      <c r="H622"/>
    </row>
    <row r="623" spans="2:8" x14ac:dyDescent="0.35">
      <c r="B623"/>
      <c r="C623"/>
      <c r="H623"/>
    </row>
    <row r="624" spans="2:8" x14ac:dyDescent="0.35">
      <c r="B624"/>
      <c r="C624"/>
      <c r="H624"/>
    </row>
    <row r="625" spans="2:8" x14ac:dyDescent="0.35">
      <c r="B625"/>
      <c r="C625"/>
      <c r="H625"/>
    </row>
    <row r="626" spans="2:8" x14ac:dyDescent="0.35">
      <c r="B626"/>
      <c r="C626"/>
      <c r="H626"/>
    </row>
    <row r="627" spans="2:8" x14ac:dyDescent="0.35">
      <c r="B627"/>
      <c r="C627"/>
      <c r="H627"/>
    </row>
    <row r="628" spans="2:8" x14ac:dyDescent="0.35">
      <c r="B628"/>
      <c r="C628"/>
      <c r="H628"/>
    </row>
    <row r="629" spans="2:8" x14ac:dyDescent="0.35">
      <c r="B629"/>
      <c r="C629"/>
      <c r="H629"/>
    </row>
    <row r="630" spans="2:8" x14ac:dyDescent="0.35">
      <c r="B630"/>
      <c r="C630"/>
      <c r="H630"/>
    </row>
    <row r="631" spans="2:8" x14ac:dyDescent="0.35">
      <c r="B631"/>
      <c r="C631"/>
      <c r="H631"/>
    </row>
    <row r="632" spans="2:8" x14ac:dyDescent="0.35">
      <c r="B632"/>
      <c r="C632"/>
      <c r="H632"/>
    </row>
    <row r="633" spans="2:8" x14ac:dyDescent="0.35">
      <c r="B633"/>
      <c r="C633"/>
      <c r="H633"/>
    </row>
    <row r="634" spans="2:8" x14ac:dyDescent="0.35">
      <c r="B634"/>
      <c r="C634"/>
      <c r="H634"/>
    </row>
    <row r="635" spans="2:8" x14ac:dyDescent="0.35">
      <c r="B635"/>
      <c r="C635"/>
      <c r="H635"/>
    </row>
    <row r="636" spans="2:8" x14ac:dyDescent="0.35">
      <c r="B636"/>
      <c r="C636"/>
      <c r="H636"/>
    </row>
    <row r="637" spans="2:8" x14ac:dyDescent="0.35">
      <c r="B637"/>
      <c r="C637"/>
      <c r="H637"/>
    </row>
    <row r="638" spans="2:8" x14ac:dyDescent="0.35">
      <c r="B638"/>
      <c r="C638"/>
      <c r="H638"/>
    </row>
    <row r="639" spans="2:8" x14ac:dyDescent="0.35">
      <c r="B639"/>
      <c r="C639"/>
      <c r="H639"/>
    </row>
    <row r="640" spans="2:8" x14ac:dyDescent="0.35">
      <c r="B640"/>
      <c r="C640"/>
      <c r="H640"/>
    </row>
    <row r="641" spans="2:8" x14ac:dyDescent="0.35">
      <c r="B641"/>
      <c r="C641"/>
      <c r="H641"/>
    </row>
    <row r="642" spans="2:8" x14ac:dyDescent="0.35">
      <c r="B642"/>
      <c r="C642"/>
      <c r="H642"/>
    </row>
    <row r="643" spans="2:8" x14ac:dyDescent="0.35">
      <c r="B643"/>
      <c r="C643"/>
      <c r="H643"/>
    </row>
    <row r="644" spans="2:8" x14ac:dyDescent="0.35">
      <c r="B644"/>
      <c r="C644"/>
      <c r="H644"/>
    </row>
    <row r="645" spans="2:8" x14ac:dyDescent="0.35">
      <c r="B645"/>
      <c r="C645"/>
      <c r="H645"/>
    </row>
    <row r="646" spans="2:8" x14ac:dyDescent="0.35">
      <c r="B646"/>
      <c r="C646"/>
      <c r="H646"/>
    </row>
    <row r="647" spans="2:8" x14ac:dyDescent="0.35">
      <c r="B647"/>
      <c r="C647"/>
      <c r="H647"/>
    </row>
    <row r="648" spans="2:8" x14ac:dyDescent="0.35">
      <c r="B648"/>
      <c r="C648"/>
      <c r="H648"/>
    </row>
    <row r="649" spans="2:8" x14ac:dyDescent="0.35">
      <c r="B649"/>
      <c r="C649"/>
      <c r="H649"/>
    </row>
    <row r="650" spans="2:8" x14ac:dyDescent="0.35">
      <c r="B650"/>
      <c r="C650"/>
      <c r="H650"/>
    </row>
    <row r="651" spans="2:8" x14ac:dyDescent="0.35">
      <c r="B651"/>
      <c r="C651"/>
      <c r="H651"/>
    </row>
    <row r="652" spans="2:8" x14ac:dyDescent="0.35">
      <c r="B652"/>
      <c r="C652"/>
      <c r="H652"/>
    </row>
    <row r="653" spans="2:8" x14ac:dyDescent="0.35">
      <c r="B653"/>
      <c r="C653"/>
      <c r="H653"/>
    </row>
    <row r="654" spans="2:8" x14ac:dyDescent="0.35">
      <c r="B654"/>
      <c r="C654"/>
      <c r="H654"/>
    </row>
    <row r="655" spans="2:8" x14ac:dyDescent="0.35">
      <c r="B655"/>
      <c r="C655"/>
      <c r="H655"/>
    </row>
    <row r="656" spans="2:8" x14ac:dyDescent="0.35">
      <c r="B656"/>
      <c r="C656"/>
      <c r="H656"/>
    </row>
    <row r="657" spans="2:8" x14ac:dyDescent="0.35">
      <c r="B657"/>
      <c r="C657"/>
      <c r="H657"/>
    </row>
    <row r="658" spans="2:8" x14ac:dyDescent="0.35">
      <c r="B658"/>
      <c r="C658"/>
      <c r="H658"/>
    </row>
    <row r="659" spans="2:8" x14ac:dyDescent="0.35">
      <c r="B659"/>
      <c r="C659"/>
      <c r="H659"/>
    </row>
    <row r="660" spans="2:8" x14ac:dyDescent="0.35">
      <c r="B660"/>
      <c r="C660"/>
      <c r="H660"/>
    </row>
    <row r="661" spans="2:8" x14ac:dyDescent="0.35">
      <c r="B661"/>
      <c r="C661"/>
      <c r="H661"/>
    </row>
    <row r="662" spans="2:8" x14ac:dyDescent="0.35">
      <c r="B662"/>
      <c r="C662"/>
      <c r="H662"/>
    </row>
    <row r="663" spans="2:8" x14ac:dyDescent="0.35">
      <c r="B663"/>
      <c r="C663"/>
      <c r="H663"/>
    </row>
    <row r="664" spans="2:8" x14ac:dyDescent="0.35">
      <c r="B664"/>
      <c r="C664"/>
      <c r="H664"/>
    </row>
    <row r="665" spans="2:8" x14ac:dyDescent="0.35">
      <c r="B665"/>
      <c r="C665"/>
      <c r="H665"/>
    </row>
    <row r="666" spans="2:8" x14ac:dyDescent="0.35">
      <c r="B666"/>
      <c r="C666"/>
      <c r="H666"/>
    </row>
    <row r="667" spans="2:8" x14ac:dyDescent="0.35">
      <c r="B667"/>
      <c r="C667"/>
      <c r="H667"/>
    </row>
    <row r="668" spans="2:8" x14ac:dyDescent="0.35">
      <c r="B668"/>
      <c r="C668"/>
      <c r="H668"/>
    </row>
    <row r="669" spans="2:8" x14ac:dyDescent="0.35">
      <c r="B669"/>
      <c r="C669"/>
      <c r="H669"/>
    </row>
    <row r="670" spans="2:8" x14ac:dyDescent="0.35">
      <c r="B670"/>
      <c r="C670"/>
      <c r="H670"/>
    </row>
    <row r="671" spans="2:8" x14ac:dyDescent="0.35">
      <c r="B671"/>
      <c r="C671"/>
      <c r="H671"/>
    </row>
    <row r="672" spans="2:8" x14ac:dyDescent="0.35">
      <c r="B672"/>
      <c r="C672"/>
      <c r="H672"/>
    </row>
    <row r="673" spans="2:8" x14ac:dyDescent="0.35">
      <c r="B673"/>
      <c r="C673"/>
      <c r="H673"/>
    </row>
    <row r="674" spans="2:8" x14ac:dyDescent="0.35">
      <c r="B674"/>
      <c r="C674"/>
      <c r="H674"/>
    </row>
    <row r="675" spans="2:8" x14ac:dyDescent="0.35">
      <c r="B675"/>
      <c r="C675"/>
      <c r="H675"/>
    </row>
    <row r="676" spans="2:8" x14ac:dyDescent="0.35">
      <c r="B676"/>
      <c r="C676"/>
      <c r="H676"/>
    </row>
    <row r="677" spans="2:8" x14ac:dyDescent="0.35">
      <c r="B677"/>
      <c r="C677"/>
      <c r="H677"/>
    </row>
    <row r="678" spans="2:8" x14ac:dyDescent="0.35">
      <c r="B678"/>
      <c r="C678"/>
      <c r="H678"/>
    </row>
    <row r="679" spans="2:8" x14ac:dyDescent="0.35">
      <c r="B679"/>
      <c r="C679"/>
      <c r="H679"/>
    </row>
    <row r="680" spans="2:8" x14ac:dyDescent="0.35">
      <c r="B680"/>
      <c r="C680"/>
      <c r="H680"/>
    </row>
    <row r="681" spans="2:8" x14ac:dyDescent="0.35">
      <c r="B681"/>
      <c r="C681"/>
      <c r="H681"/>
    </row>
    <row r="682" spans="2:8" x14ac:dyDescent="0.35">
      <c r="B682"/>
      <c r="C682"/>
      <c r="H682"/>
    </row>
    <row r="683" spans="2:8" x14ac:dyDescent="0.35">
      <c r="B683"/>
      <c r="C683"/>
      <c r="H683"/>
    </row>
    <row r="684" spans="2:8" x14ac:dyDescent="0.35">
      <c r="B684"/>
      <c r="C684"/>
      <c r="H684"/>
    </row>
    <row r="685" spans="2:8" x14ac:dyDescent="0.35">
      <c r="B685"/>
      <c r="C685"/>
      <c r="H685"/>
    </row>
    <row r="686" spans="2:8" x14ac:dyDescent="0.35">
      <c r="B686"/>
      <c r="C686"/>
      <c r="H686"/>
    </row>
    <row r="687" spans="2:8" x14ac:dyDescent="0.35">
      <c r="B687"/>
      <c r="C687"/>
      <c r="H687"/>
    </row>
    <row r="688" spans="2:8" x14ac:dyDescent="0.35">
      <c r="B688"/>
      <c r="C688"/>
      <c r="H688"/>
    </row>
    <row r="689" spans="2:8" x14ac:dyDescent="0.35">
      <c r="B689"/>
      <c r="C689"/>
      <c r="H689"/>
    </row>
    <row r="690" spans="2:8" x14ac:dyDescent="0.35">
      <c r="B690"/>
      <c r="C690"/>
      <c r="H690"/>
    </row>
    <row r="691" spans="2:8" x14ac:dyDescent="0.35">
      <c r="B691"/>
      <c r="C691"/>
      <c r="H691"/>
    </row>
    <row r="692" spans="2:8" x14ac:dyDescent="0.35">
      <c r="B692"/>
      <c r="C692"/>
      <c r="H692"/>
    </row>
    <row r="693" spans="2:8" x14ac:dyDescent="0.35">
      <c r="B693"/>
      <c r="C693"/>
      <c r="H693"/>
    </row>
    <row r="694" spans="2:8" x14ac:dyDescent="0.35">
      <c r="B694"/>
      <c r="C694"/>
      <c r="H694"/>
    </row>
    <row r="695" spans="2:8" x14ac:dyDescent="0.35">
      <c r="B695"/>
      <c r="C695"/>
      <c r="H695"/>
    </row>
    <row r="696" spans="2:8" x14ac:dyDescent="0.35">
      <c r="B696"/>
      <c r="C696"/>
      <c r="H696"/>
    </row>
    <row r="697" spans="2:8" x14ac:dyDescent="0.35">
      <c r="B697"/>
      <c r="C697"/>
      <c r="H697"/>
    </row>
    <row r="698" spans="2:8" x14ac:dyDescent="0.35">
      <c r="B698"/>
      <c r="C698"/>
      <c r="H698"/>
    </row>
    <row r="699" spans="2:8" x14ac:dyDescent="0.35">
      <c r="B699"/>
      <c r="C699"/>
      <c r="H699"/>
    </row>
    <row r="700" spans="2:8" x14ac:dyDescent="0.35">
      <c r="B700"/>
      <c r="C700"/>
      <c r="H700"/>
    </row>
    <row r="701" spans="2:8" x14ac:dyDescent="0.35">
      <c r="B701"/>
      <c r="C701"/>
      <c r="H701"/>
    </row>
    <row r="702" spans="2:8" x14ac:dyDescent="0.35">
      <c r="B702"/>
      <c r="C702"/>
      <c r="H702"/>
    </row>
    <row r="703" spans="2:8" x14ac:dyDescent="0.35">
      <c r="B703"/>
      <c r="C703"/>
      <c r="H703"/>
    </row>
    <row r="704" spans="2:8" x14ac:dyDescent="0.35">
      <c r="B704"/>
      <c r="C704"/>
      <c r="H704"/>
    </row>
    <row r="705" spans="2:8" x14ac:dyDescent="0.35">
      <c r="B705"/>
      <c r="C705"/>
      <c r="H705"/>
    </row>
    <row r="706" spans="2:8" x14ac:dyDescent="0.35">
      <c r="B706"/>
      <c r="C706"/>
      <c r="H706"/>
    </row>
    <row r="707" spans="2:8" x14ac:dyDescent="0.35">
      <c r="B707"/>
      <c r="C707"/>
      <c r="H707"/>
    </row>
    <row r="708" spans="2:8" x14ac:dyDescent="0.35">
      <c r="B708"/>
      <c r="C708"/>
      <c r="H708"/>
    </row>
    <row r="709" spans="2:8" x14ac:dyDescent="0.35">
      <c r="B709"/>
      <c r="C709"/>
      <c r="H709"/>
    </row>
    <row r="710" spans="2:8" x14ac:dyDescent="0.35">
      <c r="B710"/>
      <c r="C710"/>
      <c r="H710"/>
    </row>
    <row r="711" spans="2:8" x14ac:dyDescent="0.35">
      <c r="B711"/>
      <c r="C711"/>
      <c r="H711"/>
    </row>
    <row r="712" spans="2:8" x14ac:dyDescent="0.35">
      <c r="B712"/>
      <c r="C712"/>
      <c r="H712"/>
    </row>
    <row r="713" spans="2:8" x14ac:dyDescent="0.35">
      <c r="B713"/>
      <c r="C713"/>
      <c r="H713"/>
    </row>
    <row r="714" spans="2:8" x14ac:dyDescent="0.35">
      <c r="B714"/>
      <c r="C714"/>
      <c r="H714"/>
    </row>
    <row r="715" spans="2:8" x14ac:dyDescent="0.35">
      <c r="B715"/>
      <c r="C715"/>
      <c r="H715"/>
    </row>
    <row r="716" spans="2:8" x14ac:dyDescent="0.35">
      <c r="B716"/>
      <c r="C716"/>
      <c r="H716"/>
    </row>
    <row r="717" spans="2:8" x14ac:dyDescent="0.35">
      <c r="B717"/>
      <c r="C717"/>
      <c r="H717"/>
    </row>
    <row r="718" spans="2:8" x14ac:dyDescent="0.35">
      <c r="B718"/>
      <c r="C718"/>
      <c r="H718"/>
    </row>
    <row r="719" spans="2:8" x14ac:dyDescent="0.35">
      <c r="B719"/>
      <c r="C719"/>
      <c r="H719"/>
    </row>
    <row r="720" spans="2:8" x14ac:dyDescent="0.35">
      <c r="B720"/>
      <c r="C720"/>
      <c r="H720"/>
    </row>
    <row r="721" spans="2:8" x14ac:dyDescent="0.35">
      <c r="B721"/>
      <c r="C721"/>
      <c r="H721"/>
    </row>
    <row r="722" spans="2:8" x14ac:dyDescent="0.35">
      <c r="B722"/>
      <c r="C722"/>
      <c r="H722"/>
    </row>
    <row r="723" spans="2:8" x14ac:dyDescent="0.35">
      <c r="B723"/>
      <c r="C723"/>
      <c r="H723"/>
    </row>
    <row r="724" spans="2:8" x14ac:dyDescent="0.35">
      <c r="B724"/>
      <c r="C724"/>
      <c r="H724"/>
    </row>
    <row r="725" spans="2:8" x14ac:dyDescent="0.35">
      <c r="B725"/>
      <c r="C725"/>
      <c r="H725"/>
    </row>
    <row r="726" spans="2:8" x14ac:dyDescent="0.35">
      <c r="B726"/>
      <c r="C726"/>
      <c r="H726"/>
    </row>
    <row r="727" spans="2:8" x14ac:dyDescent="0.35">
      <c r="B727"/>
      <c r="C727"/>
      <c r="H727"/>
    </row>
    <row r="728" spans="2:8" x14ac:dyDescent="0.35">
      <c r="B728"/>
      <c r="C728"/>
      <c r="H728"/>
    </row>
    <row r="729" spans="2:8" x14ac:dyDescent="0.35">
      <c r="B729"/>
      <c r="C729"/>
      <c r="H729"/>
    </row>
    <row r="730" spans="2:8" x14ac:dyDescent="0.35">
      <c r="B730"/>
      <c r="C730"/>
      <c r="H730"/>
    </row>
    <row r="731" spans="2:8" x14ac:dyDescent="0.35">
      <c r="B731"/>
      <c r="C731"/>
      <c r="H731"/>
    </row>
    <row r="732" spans="2:8" x14ac:dyDescent="0.35">
      <c r="B732"/>
      <c r="C732"/>
      <c r="H732"/>
    </row>
    <row r="733" spans="2:8" x14ac:dyDescent="0.35">
      <c r="B733"/>
      <c r="C733"/>
      <c r="H733"/>
    </row>
    <row r="734" spans="2:8" x14ac:dyDescent="0.35">
      <c r="B734"/>
      <c r="C734"/>
      <c r="H734"/>
    </row>
    <row r="735" spans="2:8" x14ac:dyDescent="0.35">
      <c r="B735"/>
      <c r="C735"/>
      <c r="H735"/>
    </row>
    <row r="736" spans="2:8" x14ac:dyDescent="0.35">
      <c r="B736"/>
      <c r="C736"/>
      <c r="H736"/>
    </row>
    <row r="737" spans="2:8" x14ac:dyDescent="0.35">
      <c r="B737"/>
      <c r="C737"/>
      <c r="H737"/>
    </row>
    <row r="738" spans="2:8" x14ac:dyDescent="0.35">
      <c r="B738"/>
      <c r="C738"/>
      <c r="H738"/>
    </row>
    <row r="739" spans="2:8" x14ac:dyDescent="0.35">
      <c r="B739"/>
      <c r="C739"/>
      <c r="H739"/>
    </row>
    <row r="740" spans="2:8" x14ac:dyDescent="0.35">
      <c r="B740"/>
      <c r="C740"/>
      <c r="H740"/>
    </row>
    <row r="741" spans="2:8" x14ac:dyDescent="0.35">
      <c r="B741"/>
      <c r="C741"/>
      <c r="H741"/>
    </row>
    <row r="742" spans="2:8" x14ac:dyDescent="0.35">
      <c r="B742"/>
      <c r="C742"/>
      <c r="H742"/>
    </row>
    <row r="743" spans="2:8" x14ac:dyDescent="0.35">
      <c r="B743"/>
      <c r="C743"/>
      <c r="H743"/>
    </row>
    <row r="744" spans="2:8" x14ac:dyDescent="0.35">
      <c r="B744"/>
      <c r="C744"/>
      <c r="H744"/>
    </row>
    <row r="745" spans="2:8" x14ac:dyDescent="0.35">
      <c r="B745"/>
      <c r="C745"/>
      <c r="H745"/>
    </row>
    <row r="746" spans="2:8" x14ac:dyDescent="0.35">
      <c r="B746"/>
      <c r="C746"/>
      <c r="H746"/>
    </row>
    <row r="747" spans="2:8" x14ac:dyDescent="0.35">
      <c r="B747"/>
      <c r="C747"/>
      <c r="H747"/>
    </row>
    <row r="748" spans="2:8" x14ac:dyDescent="0.35">
      <c r="B748"/>
      <c r="C748"/>
      <c r="H748"/>
    </row>
    <row r="749" spans="2:8" x14ac:dyDescent="0.35">
      <c r="B749"/>
      <c r="C749"/>
      <c r="H749"/>
    </row>
    <row r="750" spans="2:8" x14ac:dyDescent="0.35">
      <c r="B750"/>
      <c r="C750"/>
      <c r="H750"/>
    </row>
    <row r="751" spans="2:8" x14ac:dyDescent="0.35">
      <c r="B751"/>
      <c r="C751"/>
      <c r="H751"/>
    </row>
    <row r="752" spans="2:8" x14ac:dyDescent="0.35">
      <c r="B752"/>
      <c r="C752"/>
      <c r="H752"/>
    </row>
    <row r="753" spans="2:8" x14ac:dyDescent="0.35">
      <c r="B753"/>
      <c r="C753"/>
      <c r="H753"/>
    </row>
    <row r="754" spans="2:8" x14ac:dyDescent="0.35">
      <c r="B754"/>
      <c r="C754"/>
      <c r="H754"/>
    </row>
    <row r="755" spans="2:8" x14ac:dyDescent="0.35">
      <c r="B755"/>
      <c r="C755"/>
      <c r="H755"/>
    </row>
    <row r="756" spans="2:8" x14ac:dyDescent="0.35">
      <c r="B756"/>
      <c r="C756"/>
      <c r="H756"/>
    </row>
    <row r="757" spans="2:8" x14ac:dyDescent="0.35">
      <c r="B757"/>
      <c r="C757"/>
      <c r="H757"/>
    </row>
    <row r="758" spans="2:8" x14ac:dyDescent="0.35">
      <c r="B758"/>
      <c r="C758"/>
      <c r="H758"/>
    </row>
    <row r="759" spans="2:8" x14ac:dyDescent="0.35">
      <c r="B759"/>
      <c r="C759"/>
      <c r="H759"/>
    </row>
    <row r="760" spans="2:8" x14ac:dyDescent="0.35">
      <c r="B760"/>
      <c r="C760"/>
      <c r="H760"/>
    </row>
    <row r="761" spans="2:8" x14ac:dyDescent="0.35">
      <c r="B761"/>
      <c r="C761"/>
      <c r="H761"/>
    </row>
    <row r="762" spans="2:8" x14ac:dyDescent="0.35">
      <c r="B762"/>
      <c r="C762"/>
      <c r="H762"/>
    </row>
    <row r="763" spans="2:8" x14ac:dyDescent="0.35">
      <c r="B763"/>
      <c r="C763"/>
      <c r="H763"/>
    </row>
    <row r="764" spans="2:8" x14ac:dyDescent="0.35">
      <c r="B764"/>
      <c r="C764"/>
      <c r="H764"/>
    </row>
    <row r="765" spans="2:8" x14ac:dyDescent="0.35">
      <c r="B765"/>
      <c r="C765"/>
      <c r="H765"/>
    </row>
    <row r="766" spans="2:8" x14ac:dyDescent="0.35">
      <c r="B766"/>
      <c r="C766"/>
      <c r="H766"/>
    </row>
    <row r="767" spans="2:8" x14ac:dyDescent="0.35">
      <c r="B767"/>
      <c r="C767"/>
      <c r="H767"/>
    </row>
    <row r="768" spans="2:8" x14ac:dyDescent="0.35">
      <c r="B768"/>
      <c r="C768"/>
      <c r="H768"/>
    </row>
    <row r="769" spans="2:8" x14ac:dyDescent="0.35">
      <c r="B769"/>
      <c r="C769"/>
      <c r="H769"/>
    </row>
    <row r="770" spans="2:8" x14ac:dyDescent="0.35">
      <c r="B770"/>
      <c r="C770"/>
      <c r="H770"/>
    </row>
    <row r="771" spans="2:8" x14ac:dyDescent="0.35">
      <c r="B771"/>
      <c r="C771"/>
      <c r="H771"/>
    </row>
    <row r="772" spans="2:8" x14ac:dyDescent="0.35">
      <c r="B772"/>
      <c r="C772"/>
      <c r="H772"/>
    </row>
    <row r="773" spans="2:8" x14ac:dyDescent="0.35">
      <c r="B773"/>
      <c r="C773"/>
      <c r="H773"/>
    </row>
    <row r="774" spans="2:8" x14ac:dyDescent="0.35">
      <c r="B774"/>
      <c r="C774"/>
      <c r="H774"/>
    </row>
    <row r="775" spans="2:8" x14ac:dyDescent="0.35">
      <c r="B775"/>
      <c r="C775"/>
      <c r="H775"/>
    </row>
    <row r="776" spans="2:8" x14ac:dyDescent="0.35">
      <c r="B776"/>
      <c r="C776"/>
      <c r="H776"/>
    </row>
    <row r="777" spans="2:8" x14ac:dyDescent="0.35">
      <c r="B777"/>
      <c r="C777"/>
      <c r="H777"/>
    </row>
    <row r="778" spans="2:8" x14ac:dyDescent="0.35">
      <c r="B778"/>
      <c r="C778"/>
      <c r="H778"/>
    </row>
    <row r="779" spans="2:8" x14ac:dyDescent="0.35">
      <c r="B779"/>
      <c r="C779"/>
      <c r="H779"/>
    </row>
    <row r="780" spans="2:8" x14ac:dyDescent="0.35">
      <c r="B780"/>
      <c r="C780"/>
      <c r="H780"/>
    </row>
    <row r="781" spans="2:8" x14ac:dyDescent="0.35">
      <c r="B781"/>
      <c r="C781"/>
      <c r="H781"/>
    </row>
    <row r="782" spans="2:8" x14ac:dyDescent="0.35">
      <c r="B782"/>
      <c r="C782"/>
      <c r="H782"/>
    </row>
    <row r="783" spans="2:8" x14ac:dyDescent="0.35">
      <c r="B783"/>
      <c r="C783"/>
      <c r="H783"/>
    </row>
    <row r="784" spans="2:8" x14ac:dyDescent="0.35">
      <c r="B784"/>
      <c r="C784"/>
      <c r="H784"/>
    </row>
    <row r="785" spans="2:8" x14ac:dyDescent="0.35">
      <c r="B785"/>
      <c r="C785"/>
      <c r="H785"/>
    </row>
    <row r="786" spans="2:8" x14ac:dyDescent="0.35">
      <c r="B786"/>
      <c r="C786"/>
      <c r="H786"/>
    </row>
    <row r="787" spans="2:8" x14ac:dyDescent="0.35">
      <c r="B787"/>
      <c r="C787"/>
      <c r="H787"/>
    </row>
    <row r="788" spans="2:8" x14ac:dyDescent="0.35">
      <c r="B788"/>
      <c r="C788"/>
      <c r="H788"/>
    </row>
    <row r="789" spans="2:8" x14ac:dyDescent="0.35">
      <c r="B789"/>
      <c r="C789"/>
      <c r="H789"/>
    </row>
    <row r="790" spans="2:8" x14ac:dyDescent="0.35">
      <c r="B790"/>
      <c r="C790"/>
      <c r="H790"/>
    </row>
    <row r="791" spans="2:8" x14ac:dyDescent="0.35">
      <c r="B791"/>
      <c r="C791"/>
      <c r="H791"/>
    </row>
    <row r="792" spans="2:8" x14ac:dyDescent="0.35">
      <c r="B792"/>
      <c r="C792"/>
      <c r="H792"/>
    </row>
    <row r="793" spans="2:8" x14ac:dyDescent="0.35">
      <c r="B793"/>
      <c r="C793"/>
      <c r="H793"/>
    </row>
    <row r="794" spans="2:8" x14ac:dyDescent="0.35">
      <c r="B794"/>
      <c r="C794"/>
      <c r="H794"/>
    </row>
    <row r="795" spans="2:8" x14ac:dyDescent="0.35">
      <c r="B795"/>
      <c r="C795"/>
      <c r="H795"/>
    </row>
    <row r="796" spans="2:8" x14ac:dyDescent="0.35">
      <c r="B796"/>
      <c r="C796"/>
      <c r="H796"/>
    </row>
    <row r="797" spans="2:8" x14ac:dyDescent="0.35">
      <c r="B797"/>
      <c r="C797"/>
      <c r="H797"/>
    </row>
    <row r="798" spans="2:8" x14ac:dyDescent="0.35">
      <c r="B798"/>
      <c r="C798"/>
      <c r="H798"/>
    </row>
    <row r="799" spans="2:8" x14ac:dyDescent="0.35">
      <c r="B799"/>
      <c r="C799"/>
      <c r="H799"/>
    </row>
    <row r="800" spans="2:8" x14ac:dyDescent="0.35">
      <c r="B800"/>
      <c r="C800"/>
      <c r="H800"/>
    </row>
    <row r="801" spans="2:8" x14ac:dyDescent="0.35">
      <c r="B801"/>
      <c r="C801"/>
      <c r="H801"/>
    </row>
    <row r="802" spans="2:8" x14ac:dyDescent="0.35">
      <c r="B802"/>
      <c r="C802"/>
      <c r="H802"/>
    </row>
    <row r="803" spans="2:8" x14ac:dyDescent="0.35">
      <c r="B803"/>
      <c r="C803"/>
      <c r="H803"/>
    </row>
    <row r="804" spans="2:8" x14ac:dyDescent="0.35">
      <c r="B804"/>
      <c r="C804"/>
      <c r="H804"/>
    </row>
    <row r="805" spans="2:8" x14ac:dyDescent="0.35">
      <c r="B805"/>
      <c r="C805"/>
      <c r="H805"/>
    </row>
    <row r="806" spans="2:8" x14ac:dyDescent="0.35">
      <c r="B806"/>
      <c r="C806"/>
      <c r="H806"/>
    </row>
    <row r="807" spans="2:8" x14ac:dyDescent="0.35">
      <c r="B807"/>
      <c r="C807"/>
      <c r="H807"/>
    </row>
    <row r="808" spans="2:8" x14ac:dyDescent="0.35">
      <c r="B808"/>
      <c r="C808"/>
      <c r="H808"/>
    </row>
    <row r="809" spans="2:8" x14ac:dyDescent="0.35">
      <c r="B809"/>
      <c r="C809"/>
      <c r="H809"/>
    </row>
    <row r="810" spans="2:8" x14ac:dyDescent="0.35">
      <c r="B810"/>
      <c r="C810"/>
      <c r="H810"/>
    </row>
    <row r="811" spans="2:8" x14ac:dyDescent="0.35">
      <c r="B811"/>
      <c r="C811"/>
      <c r="H811"/>
    </row>
    <row r="812" spans="2:8" x14ac:dyDescent="0.35">
      <c r="B812"/>
      <c r="C812"/>
      <c r="H812"/>
    </row>
    <row r="813" spans="2:8" x14ac:dyDescent="0.35">
      <c r="B813"/>
      <c r="C813"/>
      <c r="H813"/>
    </row>
    <row r="814" spans="2:8" x14ac:dyDescent="0.35">
      <c r="B814"/>
      <c r="C814"/>
      <c r="H814"/>
    </row>
    <row r="815" spans="2:8" x14ac:dyDescent="0.35">
      <c r="B815"/>
      <c r="C815"/>
      <c r="H815"/>
    </row>
    <row r="816" spans="2:8" x14ac:dyDescent="0.35">
      <c r="B816"/>
      <c r="C816"/>
      <c r="H816"/>
    </row>
    <row r="817" spans="2:8" x14ac:dyDescent="0.35">
      <c r="B817"/>
      <c r="C817"/>
      <c r="H817"/>
    </row>
    <row r="818" spans="2:8" x14ac:dyDescent="0.35">
      <c r="B818"/>
      <c r="C818"/>
      <c r="H818"/>
    </row>
    <row r="819" spans="2:8" x14ac:dyDescent="0.35">
      <c r="B819"/>
      <c r="C819"/>
      <c r="H819"/>
    </row>
    <row r="820" spans="2:8" x14ac:dyDescent="0.35">
      <c r="B820"/>
      <c r="C820"/>
      <c r="H820"/>
    </row>
    <row r="821" spans="2:8" x14ac:dyDescent="0.35">
      <c r="B821"/>
      <c r="C821"/>
      <c r="H821"/>
    </row>
    <row r="822" spans="2:8" x14ac:dyDescent="0.35">
      <c r="B822"/>
      <c r="C822"/>
      <c r="H822"/>
    </row>
    <row r="823" spans="2:8" x14ac:dyDescent="0.35">
      <c r="B823"/>
      <c r="C823"/>
      <c r="H823"/>
    </row>
    <row r="824" spans="2:8" x14ac:dyDescent="0.35">
      <c r="B824"/>
      <c r="C824"/>
      <c r="H824"/>
    </row>
    <row r="825" spans="2:8" x14ac:dyDescent="0.35">
      <c r="B825"/>
      <c r="C825"/>
      <c r="H825"/>
    </row>
    <row r="826" spans="2:8" x14ac:dyDescent="0.35">
      <c r="B826"/>
      <c r="C826"/>
      <c r="H826"/>
    </row>
    <row r="827" spans="2:8" x14ac:dyDescent="0.35">
      <c r="B827"/>
      <c r="C827"/>
      <c r="H827"/>
    </row>
    <row r="828" spans="2:8" x14ac:dyDescent="0.35">
      <c r="B828"/>
      <c r="C828"/>
      <c r="H828"/>
    </row>
    <row r="829" spans="2:8" x14ac:dyDescent="0.35">
      <c r="B829"/>
      <c r="C829"/>
      <c r="H829"/>
    </row>
    <row r="830" spans="2:8" x14ac:dyDescent="0.35">
      <c r="B830"/>
      <c r="C830"/>
      <c r="H830"/>
    </row>
    <row r="831" spans="2:8" x14ac:dyDescent="0.35">
      <c r="B831"/>
      <c r="C831"/>
      <c r="H831"/>
    </row>
    <row r="832" spans="2:8" x14ac:dyDescent="0.35">
      <c r="B832"/>
      <c r="C832"/>
      <c r="H832"/>
    </row>
    <row r="833" spans="2:8" x14ac:dyDescent="0.35">
      <c r="B833"/>
      <c r="C833"/>
      <c r="H833"/>
    </row>
    <row r="834" spans="2:8" x14ac:dyDescent="0.35">
      <c r="B834"/>
      <c r="C834"/>
      <c r="H834"/>
    </row>
    <row r="835" spans="2:8" x14ac:dyDescent="0.35">
      <c r="B835"/>
      <c r="C835"/>
      <c r="H835"/>
    </row>
    <row r="836" spans="2:8" x14ac:dyDescent="0.35">
      <c r="B836"/>
      <c r="C836"/>
      <c r="H836"/>
    </row>
    <row r="837" spans="2:8" x14ac:dyDescent="0.35">
      <c r="B837"/>
      <c r="C837"/>
      <c r="H837"/>
    </row>
    <row r="838" spans="2:8" x14ac:dyDescent="0.35">
      <c r="B838"/>
      <c r="C838"/>
      <c r="H838"/>
    </row>
    <row r="839" spans="2:8" x14ac:dyDescent="0.35">
      <c r="B839"/>
      <c r="C839"/>
      <c r="H839"/>
    </row>
    <row r="840" spans="2:8" x14ac:dyDescent="0.35">
      <c r="B840"/>
      <c r="C840"/>
      <c r="H840"/>
    </row>
    <row r="841" spans="2:8" x14ac:dyDescent="0.35">
      <c r="B841"/>
      <c r="C841"/>
      <c r="H841"/>
    </row>
    <row r="842" spans="2:8" x14ac:dyDescent="0.35">
      <c r="B842"/>
      <c r="C842"/>
      <c r="H842"/>
    </row>
    <row r="843" spans="2:8" x14ac:dyDescent="0.35">
      <c r="B843"/>
      <c r="C843"/>
      <c r="H843"/>
    </row>
    <row r="844" spans="2:8" x14ac:dyDescent="0.35">
      <c r="B844"/>
      <c r="C844"/>
      <c r="H844"/>
    </row>
    <row r="845" spans="2:8" x14ac:dyDescent="0.35">
      <c r="B845"/>
      <c r="C845"/>
      <c r="H845"/>
    </row>
    <row r="846" spans="2:8" x14ac:dyDescent="0.35">
      <c r="B846"/>
      <c r="C846"/>
      <c r="H846"/>
    </row>
    <row r="847" spans="2:8" x14ac:dyDescent="0.35">
      <c r="B847"/>
      <c r="C847"/>
      <c r="H847"/>
    </row>
    <row r="848" spans="2:8" x14ac:dyDescent="0.35">
      <c r="B848"/>
      <c r="C848"/>
      <c r="H848"/>
    </row>
    <row r="849" spans="2:8" x14ac:dyDescent="0.35">
      <c r="B849"/>
      <c r="C849"/>
      <c r="H849"/>
    </row>
    <row r="850" spans="2:8" x14ac:dyDescent="0.35">
      <c r="B850"/>
      <c r="C850"/>
      <c r="H850"/>
    </row>
    <row r="851" spans="2:8" x14ac:dyDescent="0.35">
      <c r="B851"/>
      <c r="C851"/>
      <c r="H851"/>
    </row>
    <row r="852" spans="2:8" x14ac:dyDescent="0.35">
      <c r="B852"/>
      <c r="C852"/>
      <c r="H852"/>
    </row>
    <row r="853" spans="2:8" x14ac:dyDescent="0.35">
      <c r="B853"/>
      <c r="C853"/>
      <c r="H853"/>
    </row>
    <row r="854" spans="2:8" x14ac:dyDescent="0.35">
      <c r="B854"/>
      <c r="C854"/>
      <c r="H854"/>
    </row>
    <row r="855" spans="2:8" x14ac:dyDescent="0.35">
      <c r="B855"/>
      <c r="C855"/>
      <c r="H855"/>
    </row>
    <row r="856" spans="2:8" x14ac:dyDescent="0.35">
      <c r="B856"/>
      <c r="C856"/>
      <c r="H856"/>
    </row>
    <row r="857" spans="2:8" x14ac:dyDescent="0.35">
      <c r="B857"/>
      <c r="C857"/>
      <c r="H857"/>
    </row>
    <row r="858" spans="2:8" x14ac:dyDescent="0.35">
      <c r="B858"/>
      <c r="C858"/>
      <c r="H858"/>
    </row>
    <row r="859" spans="2:8" x14ac:dyDescent="0.35">
      <c r="B859"/>
      <c r="C859"/>
      <c r="H859"/>
    </row>
    <row r="860" spans="2:8" x14ac:dyDescent="0.35">
      <c r="B860"/>
      <c r="C860"/>
      <c r="H860"/>
    </row>
    <row r="861" spans="2:8" x14ac:dyDescent="0.35">
      <c r="B861"/>
      <c r="C861"/>
      <c r="H861"/>
    </row>
    <row r="862" spans="2:8" x14ac:dyDescent="0.35">
      <c r="B862"/>
      <c r="C862"/>
      <c r="H862"/>
    </row>
    <row r="863" spans="2:8" x14ac:dyDescent="0.35">
      <c r="B863"/>
      <c r="C863"/>
      <c r="H863"/>
    </row>
    <row r="864" spans="2:8" x14ac:dyDescent="0.35">
      <c r="B864"/>
      <c r="C864"/>
      <c r="H864"/>
    </row>
    <row r="865" spans="2:8" x14ac:dyDescent="0.35">
      <c r="B865"/>
      <c r="C865"/>
      <c r="H865"/>
    </row>
    <row r="866" spans="2:8" x14ac:dyDescent="0.35">
      <c r="B866"/>
      <c r="C866"/>
      <c r="H866"/>
    </row>
    <row r="867" spans="2:8" x14ac:dyDescent="0.35">
      <c r="B867"/>
      <c r="C867"/>
      <c r="H867"/>
    </row>
    <row r="868" spans="2:8" x14ac:dyDescent="0.35">
      <c r="B868"/>
      <c r="C868"/>
      <c r="H868"/>
    </row>
    <row r="869" spans="2:8" x14ac:dyDescent="0.35">
      <c r="B869"/>
      <c r="C869"/>
      <c r="H869"/>
    </row>
    <row r="870" spans="2:8" x14ac:dyDescent="0.35">
      <c r="B870"/>
      <c r="C870"/>
      <c r="H870"/>
    </row>
    <row r="871" spans="2:8" x14ac:dyDescent="0.35">
      <c r="B871"/>
      <c r="C871"/>
      <c r="H871"/>
    </row>
    <row r="872" spans="2:8" x14ac:dyDescent="0.35">
      <c r="B872"/>
      <c r="C872"/>
      <c r="H872"/>
    </row>
    <row r="873" spans="2:8" x14ac:dyDescent="0.35">
      <c r="B873"/>
      <c r="C873"/>
      <c r="H873"/>
    </row>
    <row r="874" spans="2:8" x14ac:dyDescent="0.35">
      <c r="B874"/>
      <c r="C874"/>
      <c r="H874"/>
    </row>
    <row r="875" spans="2:8" x14ac:dyDescent="0.35">
      <c r="B875"/>
      <c r="C875"/>
      <c r="H875"/>
    </row>
    <row r="876" spans="2:8" x14ac:dyDescent="0.35">
      <c r="B876"/>
      <c r="C876"/>
      <c r="H876"/>
    </row>
    <row r="877" spans="2:8" x14ac:dyDescent="0.35">
      <c r="B877"/>
      <c r="C877"/>
      <c r="H877"/>
    </row>
    <row r="878" spans="2:8" x14ac:dyDescent="0.35">
      <c r="B878"/>
      <c r="C878"/>
      <c r="H878"/>
    </row>
    <row r="879" spans="2:8" x14ac:dyDescent="0.35">
      <c r="B879"/>
      <c r="C879"/>
      <c r="H879"/>
    </row>
    <row r="880" spans="2:8" x14ac:dyDescent="0.35">
      <c r="B880"/>
      <c r="C880"/>
      <c r="H880"/>
    </row>
    <row r="881" spans="2:8" x14ac:dyDescent="0.35">
      <c r="B881"/>
      <c r="C881"/>
      <c r="H881"/>
    </row>
    <row r="882" spans="2:8" x14ac:dyDescent="0.35">
      <c r="B882"/>
      <c r="C882"/>
      <c r="H882"/>
    </row>
    <row r="883" spans="2:8" x14ac:dyDescent="0.35">
      <c r="B883"/>
      <c r="C883"/>
      <c r="H883"/>
    </row>
    <row r="884" spans="2:8" x14ac:dyDescent="0.35">
      <c r="B884"/>
      <c r="C884"/>
      <c r="H884"/>
    </row>
    <row r="885" spans="2:8" x14ac:dyDescent="0.35">
      <c r="B885"/>
      <c r="C885"/>
      <c r="H885"/>
    </row>
    <row r="886" spans="2:8" x14ac:dyDescent="0.35">
      <c r="B886"/>
      <c r="C886"/>
      <c r="H886"/>
    </row>
    <row r="887" spans="2:8" x14ac:dyDescent="0.35">
      <c r="B887"/>
      <c r="C887"/>
      <c r="H887"/>
    </row>
    <row r="888" spans="2:8" x14ac:dyDescent="0.35">
      <c r="B888"/>
      <c r="C888"/>
      <c r="H888"/>
    </row>
    <row r="889" spans="2:8" x14ac:dyDescent="0.35">
      <c r="B889"/>
      <c r="C889"/>
      <c r="H889"/>
    </row>
    <row r="890" spans="2:8" x14ac:dyDescent="0.35">
      <c r="B890"/>
      <c r="C890"/>
      <c r="H890"/>
    </row>
    <row r="891" spans="2:8" x14ac:dyDescent="0.35">
      <c r="B891"/>
      <c r="C891"/>
      <c r="H891"/>
    </row>
    <row r="892" spans="2:8" x14ac:dyDescent="0.35">
      <c r="B892"/>
      <c r="C892"/>
      <c r="H892"/>
    </row>
    <row r="893" spans="2:8" x14ac:dyDescent="0.35">
      <c r="B893"/>
      <c r="C893"/>
      <c r="H893"/>
    </row>
    <row r="894" spans="2:8" x14ac:dyDescent="0.35">
      <c r="B894"/>
      <c r="C894"/>
      <c r="H894"/>
    </row>
    <row r="895" spans="2:8" x14ac:dyDescent="0.35">
      <c r="B895"/>
      <c r="C895"/>
      <c r="H895"/>
    </row>
    <row r="896" spans="2:8" x14ac:dyDescent="0.35">
      <c r="B896"/>
      <c r="C896"/>
      <c r="H896"/>
    </row>
    <row r="897" spans="2:8" x14ac:dyDescent="0.35">
      <c r="B897"/>
      <c r="C897"/>
      <c r="H897"/>
    </row>
    <row r="898" spans="2:8" x14ac:dyDescent="0.35">
      <c r="B898"/>
      <c r="C898"/>
      <c r="H898"/>
    </row>
    <row r="899" spans="2:8" x14ac:dyDescent="0.35">
      <c r="B899"/>
      <c r="C899"/>
      <c r="H899"/>
    </row>
    <row r="900" spans="2:8" x14ac:dyDescent="0.35">
      <c r="B900"/>
      <c r="C900"/>
      <c r="H900"/>
    </row>
    <row r="901" spans="2:8" x14ac:dyDescent="0.35">
      <c r="B901"/>
      <c r="C901"/>
      <c r="H901"/>
    </row>
    <row r="902" spans="2:8" x14ac:dyDescent="0.35">
      <c r="B902"/>
      <c r="C902"/>
      <c r="H902"/>
    </row>
    <row r="903" spans="2:8" x14ac:dyDescent="0.35">
      <c r="B903"/>
      <c r="C903"/>
      <c r="H903"/>
    </row>
    <row r="904" spans="2:8" x14ac:dyDescent="0.35">
      <c r="B904"/>
      <c r="C904"/>
      <c r="H904"/>
    </row>
    <row r="905" spans="2:8" x14ac:dyDescent="0.35">
      <c r="B905"/>
      <c r="C905"/>
      <c r="H905"/>
    </row>
    <row r="906" spans="2:8" x14ac:dyDescent="0.35">
      <c r="B906"/>
      <c r="C906"/>
      <c r="H906"/>
    </row>
    <row r="907" spans="2:8" x14ac:dyDescent="0.35">
      <c r="B907"/>
      <c r="C907"/>
      <c r="H907"/>
    </row>
    <row r="908" spans="2:8" x14ac:dyDescent="0.35">
      <c r="B908"/>
      <c r="C908"/>
      <c r="H908"/>
    </row>
    <row r="909" spans="2:8" x14ac:dyDescent="0.35">
      <c r="B909"/>
      <c r="C909"/>
      <c r="H909"/>
    </row>
    <row r="910" spans="2:8" x14ac:dyDescent="0.35">
      <c r="B910"/>
      <c r="C910"/>
      <c r="H910"/>
    </row>
    <row r="911" spans="2:8" x14ac:dyDescent="0.35">
      <c r="B911"/>
      <c r="C911"/>
      <c r="H911"/>
    </row>
    <row r="912" spans="2:8" x14ac:dyDescent="0.35">
      <c r="B912"/>
      <c r="C912"/>
      <c r="H912"/>
    </row>
    <row r="913" spans="2:8" x14ac:dyDescent="0.35">
      <c r="B913"/>
      <c r="C913"/>
      <c r="H913"/>
    </row>
    <row r="914" spans="2:8" x14ac:dyDescent="0.35">
      <c r="B914"/>
      <c r="C914"/>
      <c r="H914"/>
    </row>
    <row r="915" spans="2:8" x14ac:dyDescent="0.35">
      <c r="B915"/>
      <c r="C915"/>
      <c r="H915"/>
    </row>
    <row r="916" spans="2:8" x14ac:dyDescent="0.35">
      <c r="B916"/>
      <c r="C916"/>
      <c r="H916"/>
    </row>
    <row r="917" spans="2:8" x14ac:dyDescent="0.35">
      <c r="B917"/>
      <c r="C917"/>
      <c r="H917"/>
    </row>
    <row r="918" spans="2:8" x14ac:dyDescent="0.35">
      <c r="B918"/>
      <c r="C918"/>
      <c r="H918"/>
    </row>
    <row r="919" spans="2:8" x14ac:dyDescent="0.35">
      <c r="B919"/>
      <c r="C919"/>
      <c r="H919"/>
    </row>
    <row r="920" spans="2:8" x14ac:dyDescent="0.35">
      <c r="B920"/>
      <c r="C920"/>
      <c r="H920"/>
    </row>
    <row r="921" spans="2:8" x14ac:dyDescent="0.35">
      <c r="B921"/>
      <c r="C921"/>
      <c r="H921"/>
    </row>
    <row r="922" spans="2:8" x14ac:dyDescent="0.35">
      <c r="B922"/>
      <c r="C922"/>
      <c r="H922"/>
    </row>
    <row r="923" spans="2:8" x14ac:dyDescent="0.35">
      <c r="B923"/>
      <c r="C923"/>
      <c r="H923"/>
    </row>
    <row r="924" spans="2:8" x14ac:dyDescent="0.35">
      <c r="B924"/>
      <c r="C924"/>
      <c r="H924"/>
    </row>
    <row r="925" spans="2:8" x14ac:dyDescent="0.35">
      <c r="B925"/>
      <c r="C925"/>
      <c r="H925"/>
    </row>
    <row r="926" spans="2:8" x14ac:dyDescent="0.35">
      <c r="B926"/>
      <c r="C926"/>
      <c r="H926"/>
    </row>
    <row r="927" spans="2:8" x14ac:dyDescent="0.35">
      <c r="B927"/>
      <c r="C927"/>
      <c r="H927"/>
    </row>
    <row r="928" spans="2:8" x14ac:dyDescent="0.35">
      <c r="B928"/>
      <c r="C928"/>
      <c r="H928"/>
    </row>
    <row r="929" spans="2:8" x14ac:dyDescent="0.35">
      <c r="B929"/>
      <c r="C929"/>
      <c r="H929"/>
    </row>
    <row r="930" spans="2:8" x14ac:dyDescent="0.35">
      <c r="B930"/>
      <c r="C930"/>
      <c r="H930"/>
    </row>
    <row r="931" spans="2:8" x14ac:dyDescent="0.35">
      <c r="B931"/>
      <c r="C931"/>
      <c r="H931"/>
    </row>
    <row r="932" spans="2:8" x14ac:dyDescent="0.35">
      <c r="B932"/>
      <c r="C932"/>
      <c r="H932"/>
    </row>
    <row r="933" spans="2:8" x14ac:dyDescent="0.35">
      <c r="B933"/>
      <c r="C933"/>
      <c r="H933"/>
    </row>
    <row r="934" spans="2:8" x14ac:dyDescent="0.35">
      <c r="B934"/>
      <c r="C934"/>
      <c r="H934"/>
    </row>
    <row r="935" spans="2:8" x14ac:dyDescent="0.35">
      <c r="B935"/>
      <c r="C935"/>
      <c r="H935"/>
    </row>
    <row r="936" spans="2:8" x14ac:dyDescent="0.35">
      <c r="B936"/>
      <c r="C936"/>
      <c r="H936"/>
    </row>
    <row r="937" spans="2:8" x14ac:dyDescent="0.35">
      <c r="B937"/>
      <c r="C937"/>
      <c r="H937"/>
    </row>
    <row r="938" spans="2:8" x14ac:dyDescent="0.35">
      <c r="B938"/>
      <c r="C938"/>
      <c r="H938"/>
    </row>
    <row r="939" spans="2:8" x14ac:dyDescent="0.35">
      <c r="B939"/>
      <c r="C939"/>
      <c r="H939"/>
    </row>
    <row r="940" spans="2:8" x14ac:dyDescent="0.35">
      <c r="B940"/>
      <c r="C940"/>
      <c r="H940"/>
    </row>
    <row r="941" spans="2:8" x14ac:dyDescent="0.35">
      <c r="B941"/>
      <c r="C941"/>
      <c r="H941"/>
    </row>
    <row r="942" spans="2:8" x14ac:dyDescent="0.35">
      <c r="B942"/>
      <c r="C942"/>
      <c r="H942"/>
    </row>
    <row r="943" spans="2:8" x14ac:dyDescent="0.35">
      <c r="B943"/>
      <c r="C943"/>
      <c r="H943"/>
    </row>
    <row r="944" spans="2:8" x14ac:dyDescent="0.35">
      <c r="B944"/>
      <c r="C944"/>
      <c r="H944"/>
    </row>
    <row r="945" spans="2:8" x14ac:dyDescent="0.35">
      <c r="B945"/>
      <c r="C945"/>
      <c r="H945"/>
    </row>
    <row r="946" spans="2:8" x14ac:dyDescent="0.35">
      <c r="B946"/>
      <c r="C946"/>
      <c r="H946"/>
    </row>
    <row r="947" spans="2:8" x14ac:dyDescent="0.35">
      <c r="B947"/>
      <c r="C947"/>
      <c r="H947"/>
    </row>
    <row r="948" spans="2:8" x14ac:dyDescent="0.35">
      <c r="B948"/>
      <c r="C948"/>
      <c r="H948"/>
    </row>
    <row r="949" spans="2:8" x14ac:dyDescent="0.35">
      <c r="B949"/>
      <c r="C949"/>
      <c r="H949"/>
    </row>
    <row r="950" spans="2:8" x14ac:dyDescent="0.35">
      <c r="B950"/>
      <c r="C950"/>
      <c r="H950"/>
    </row>
    <row r="951" spans="2:8" x14ac:dyDescent="0.35">
      <c r="B951"/>
      <c r="C951"/>
      <c r="H951"/>
    </row>
    <row r="952" spans="2:8" x14ac:dyDescent="0.35">
      <c r="B952"/>
      <c r="C952"/>
      <c r="H952"/>
    </row>
    <row r="953" spans="2:8" x14ac:dyDescent="0.35">
      <c r="B953"/>
      <c r="C953"/>
      <c r="H953"/>
    </row>
    <row r="954" spans="2:8" x14ac:dyDescent="0.35">
      <c r="B954"/>
      <c r="C954"/>
      <c r="H954"/>
    </row>
    <row r="955" spans="2:8" x14ac:dyDescent="0.35">
      <c r="B955"/>
      <c r="C955"/>
      <c r="H955"/>
    </row>
    <row r="956" spans="2:8" x14ac:dyDescent="0.35">
      <c r="B956"/>
      <c r="C956"/>
      <c r="H956"/>
    </row>
    <row r="957" spans="2:8" x14ac:dyDescent="0.35">
      <c r="B957"/>
      <c r="C957"/>
      <c r="H957"/>
    </row>
    <row r="958" spans="2:8" x14ac:dyDescent="0.35">
      <c r="B958"/>
      <c r="C958"/>
      <c r="H958"/>
    </row>
    <row r="959" spans="2:8" x14ac:dyDescent="0.35">
      <c r="B959"/>
      <c r="C959"/>
      <c r="H959"/>
    </row>
    <row r="960" spans="2:8" x14ac:dyDescent="0.35">
      <c r="B960"/>
      <c r="C960"/>
      <c r="H960"/>
    </row>
    <row r="961" spans="2:8" x14ac:dyDescent="0.35">
      <c r="B961"/>
      <c r="C961"/>
      <c r="H961"/>
    </row>
    <row r="962" spans="2:8" x14ac:dyDescent="0.35">
      <c r="B962"/>
      <c r="C962"/>
      <c r="H962"/>
    </row>
    <row r="963" spans="2:8" x14ac:dyDescent="0.35">
      <c r="B963"/>
      <c r="C963"/>
      <c r="H963"/>
    </row>
    <row r="964" spans="2:8" x14ac:dyDescent="0.35">
      <c r="B964"/>
      <c r="C964"/>
      <c r="H964"/>
    </row>
    <row r="965" spans="2:8" x14ac:dyDescent="0.35">
      <c r="B965"/>
      <c r="C965"/>
      <c r="H965"/>
    </row>
    <row r="966" spans="2:8" x14ac:dyDescent="0.35">
      <c r="B966"/>
      <c r="C966"/>
      <c r="H966"/>
    </row>
    <row r="967" spans="2:8" x14ac:dyDescent="0.35">
      <c r="B967"/>
      <c r="C967"/>
      <c r="H967"/>
    </row>
    <row r="968" spans="2:8" x14ac:dyDescent="0.35">
      <c r="B968"/>
      <c r="C968"/>
      <c r="H968"/>
    </row>
    <row r="969" spans="2:8" x14ac:dyDescent="0.35">
      <c r="B969"/>
      <c r="C969"/>
      <c r="H969"/>
    </row>
    <row r="970" spans="2:8" x14ac:dyDescent="0.35">
      <c r="B970"/>
      <c r="C970"/>
      <c r="H970"/>
    </row>
    <row r="971" spans="2:8" x14ac:dyDescent="0.35">
      <c r="B971"/>
      <c r="C971"/>
      <c r="H971"/>
    </row>
    <row r="972" spans="2:8" x14ac:dyDescent="0.35">
      <c r="B972"/>
      <c r="C972"/>
      <c r="H972"/>
    </row>
    <row r="973" spans="2:8" x14ac:dyDescent="0.35">
      <c r="B973"/>
      <c r="C973"/>
      <c r="H973"/>
    </row>
    <row r="974" spans="2:8" x14ac:dyDescent="0.35">
      <c r="B974"/>
      <c r="C974"/>
      <c r="H974"/>
    </row>
    <row r="975" spans="2:8" x14ac:dyDescent="0.35">
      <c r="B975"/>
      <c r="C975"/>
      <c r="H975"/>
    </row>
    <row r="976" spans="2:8" x14ac:dyDescent="0.35">
      <c r="B976"/>
      <c r="C976"/>
      <c r="H976"/>
    </row>
    <row r="977" spans="2:8" x14ac:dyDescent="0.35">
      <c r="B977"/>
      <c r="C977"/>
      <c r="H977"/>
    </row>
    <row r="978" spans="2:8" x14ac:dyDescent="0.35">
      <c r="B978"/>
      <c r="C978"/>
      <c r="H978"/>
    </row>
    <row r="979" spans="2:8" x14ac:dyDescent="0.35">
      <c r="B979"/>
      <c r="C979"/>
      <c r="H979"/>
    </row>
    <row r="980" spans="2:8" x14ac:dyDescent="0.35">
      <c r="B980"/>
      <c r="C980"/>
      <c r="H980"/>
    </row>
    <row r="981" spans="2:8" x14ac:dyDescent="0.35">
      <c r="B981"/>
      <c r="C981"/>
      <c r="H981"/>
    </row>
    <row r="982" spans="2:8" x14ac:dyDescent="0.35">
      <c r="B982"/>
      <c r="C982"/>
      <c r="H982"/>
    </row>
    <row r="983" spans="2:8" x14ac:dyDescent="0.35">
      <c r="B983"/>
      <c r="C983"/>
      <c r="H983"/>
    </row>
    <row r="984" spans="2:8" x14ac:dyDescent="0.35">
      <c r="B984"/>
      <c r="C984"/>
      <c r="H984"/>
    </row>
    <row r="985" spans="2:8" x14ac:dyDescent="0.35">
      <c r="B985"/>
      <c r="C985"/>
      <c r="H985"/>
    </row>
    <row r="986" spans="2:8" x14ac:dyDescent="0.35">
      <c r="B986"/>
      <c r="C986"/>
      <c r="H986"/>
    </row>
    <row r="987" spans="2:8" x14ac:dyDescent="0.35">
      <c r="B987"/>
      <c r="C987"/>
      <c r="H987"/>
    </row>
    <row r="988" spans="2:8" x14ac:dyDescent="0.35">
      <c r="B988"/>
      <c r="C988"/>
      <c r="H988"/>
    </row>
    <row r="989" spans="2:8" x14ac:dyDescent="0.35">
      <c r="B989"/>
      <c r="C989"/>
      <c r="H989"/>
    </row>
    <row r="990" spans="2:8" x14ac:dyDescent="0.35">
      <c r="B990"/>
      <c r="C990"/>
      <c r="H990"/>
    </row>
    <row r="991" spans="2:8" x14ac:dyDescent="0.35">
      <c r="B991"/>
      <c r="C991"/>
      <c r="H991"/>
    </row>
    <row r="992" spans="2:8" x14ac:dyDescent="0.35">
      <c r="B992"/>
      <c r="C992"/>
      <c r="H992"/>
    </row>
    <row r="993" spans="2:8" x14ac:dyDescent="0.35">
      <c r="B993"/>
      <c r="C993"/>
      <c r="H993"/>
    </row>
    <row r="994" spans="2:8" x14ac:dyDescent="0.35">
      <c r="B994"/>
      <c r="C994"/>
      <c r="H994"/>
    </row>
    <row r="995" spans="2:8" x14ac:dyDescent="0.35">
      <c r="B995"/>
      <c r="C995"/>
      <c r="H995"/>
    </row>
    <row r="996" spans="2:8" x14ac:dyDescent="0.35">
      <c r="B996"/>
      <c r="C996"/>
      <c r="H996"/>
    </row>
    <row r="997" spans="2:8" x14ac:dyDescent="0.35">
      <c r="B997"/>
      <c r="C997"/>
      <c r="H997"/>
    </row>
    <row r="998" spans="2:8" x14ac:dyDescent="0.35">
      <c r="B998"/>
      <c r="C998"/>
      <c r="H998"/>
    </row>
    <row r="999" spans="2:8" x14ac:dyDescent="0.35">
      <c r="B999"/>
      <c r="C999"/>
      <c r="H999"/>
    </row>
    <row r="1000" spans="2:8" x14ac:dyDescent="0.35">
      <c r="B1000"/>
      <c r="C1000"/>
      <c r="H1000"/>
    </row>
    <row r="1001" spans="2:8" x14ac:dyDescent="0.35">
      <c r="B1001"/>
      <c r="C1001"/>
      <c r="H1001"/>
    </row>
    <row r="1002" spans="2:8" x14ac:dyDescent="0.35">
      <c r="B1002"/>
      <c r="C1002"/>
      <c r="H1002"/>
    </row>
    <row r="1003" spans="2:8" x14ac:dyDescent="0.35">
      <c r="B1003"/>
      <c r="C1003"/>
      <c r="H1003"/>
    </row>
    <row r="1004" spans="2:8" x14ac:dyDescent="0.35">
      <c r="B1004"/>
      <c r="C1004"/>
      <c r="H1004"/>
    </row>
    <row r="1005" spans="2:8" x14ac:dyDescent="0.35">
      <c r="B1005"/>
      <c r="C1005"/>
      <c r="H1005"/>
    </row>
    <row r="1006" spans="2:8" x14ac:dyDescent="0.35">
      <c r="B1006"/>
      <c r="C1006"/>
      <c r="H1006"/>
    </row>
    <row r="1007" spans="2:8" x14ac:dyDescent="0.35">
      <c r="B1007"/>
      <c r="C1007"/>
      <c r="H1007"/>
    </row>
    <row r="1008" spans="2:8" x14ac:dyDescent="0.35">
      <c r="B1008"/>
      <c r="C1008"/>
      <c r="H1008"/>
    </row>
    <row r="1009" spans="2:8" x14ac:dyDescent="0.35">
      <c r="B1009"/>
      <c r="C1009"/>
      <c r="H1009"/>
    </row>
    <row r="1010" spans="2:8" x14ac:dyDescent="0.35">
      <c r="B1010"/>
      <c r="C1010"/>
      <c r="H1010"/>
    </row>
    <row r="1011" spans="2:8" x14ac:dyDescent="0.35">
      <c r="B1011"/>
      <c r="C1011"/>
      <c r="H1011"/>
    </row>
    <row r="1012" spans="2:8" x14ac:dyDescent="0.35">
      <c r="B1012"/>
      <c r="C1012"/>
      <c r="H1012"/>
    </row>
    <row r="1013" spans="2:8" x14ac:dyDescent="0.35">
      <c r="B1013"/>
      <c r="C1013"/>
      <c r="H1013"/>
    </row>
    <row r="1014" spans="2:8" x14ac:dyDescent="0.35">
      <c r="B1014"/>
      <c r="C1014"/>
      <c r="H1014"/>
    </row>
    <row r="1015" spans="2:8" x14ac:dyDescent="0.35">
      <c r="B1015"/>
      <c r="C1015"/>
      <c r="H1015"/>
    </row>
    <row r="1016" spans="2:8" x14ac:dyDescent="0.35">
      <c r="B1016"/>
      <c r="C1016"/>
      <c r="H1016"/>
    </row>
    <row r="1017" spans="2:8" x14ac:dyDescent="0.35">
      <c r="B1017"/>
      <c r="C1017"/>
      <c r="H1017"/>
    </row>
    <row r="1018" spans="2:8" x14ac:dyDescent="0.35">
      <c r="B1018"/>
      <c r="C1018"/>
      <c r="H1018"/>
    </row>
    <row r="1019" spans="2:8" x14ac:dyDescent="0.35">
      <c r="B1019"/>
      <c r="C1019"/>
      <c r="H1019"/>
    </row>
    <row r="1020" spans="2:8" x14ac:dyDescent="0.35">
      <c r="B1020"/>
      <c r="C1020"/>
      <c r="H1020"/>
    </row>
    <row r="1021" spans="2:8" x14ac:dyDescent="0.35">
      <c r="B1021"/>
      <c r="C1021"/>
      <c r="H1021"/>
    </row>
    <row r="1022" spans="2:8" x14ac:dyDescent="0.35">
      <c r="B1022"/>
      <c r="C1022"/>
      <c r="H1022"/>
    </row>
    <row r="1023" spans="2:8" x14ac:dyDescent="0.35">
      <c r="B1023"/>
      <c r="C1023"/>
      <c r="H1023"/>
    </row>
    <row r="1024" spans="2:8" x14ac:dyDescent="0.35">
      <c r="B1024"/>
      <c r="C1024"/>
      <c r="H1024"/>
    </row>
    <row r="1025" spans="2:8" x14ac:dyDescent="0.35">
      <c r="B1025"/>
      <c r="C1025"/>
      <c r="H1025"/>
    </row>
    <row r="1026" spans="2:8" x14ac:dyDescent="0.35">
      <c r="B1026"/>
      <c r="C1026"/>
      <c r="H1026"/>
    </row>
    <row r="1027" spans="2:8" x14ac:dyDescent="0.35">
      <c r="B1027"/>
      <c r="C1027"/>
      <c r="H1027"/>
    </row>
    <row r="1028" spans="2:8" x14ac:dyDescent="0.35">
      <c r="B1028"/>
      <c r="C1028"/>
      <c r="H1028"/>
    </row>
    <row r="1029" spans="2:8" x14ac:dyDescent="0.35">
      <c r="B1029"/>
      <c r="C1029"/>
      <c r="H1029"/>
    </row>
    <row r="1030" spans="2:8" x14ac:dyDescent="0.35">
      <c r="B1030"/>
      <c r="C1030"/>
      <c r="H1030"/>
    </row>
    <row r="1031" spans="2:8" x14ac:dyDescent="0.35">
      <c r="B1031"/>
      <c r="C1031"/>
      <c r="H1031"/>
    </row>
    <row r="1032" spans="2:8" x14ac:dyDescent="0.35">
      <c r="B1032"/>
      <c r="C1032"/>
      <c r="H1032"/>
    </row>
    <row r="1033" spans="2:8" x14ac:dyDescent="0.35">
      <c r="B1033"/>
      <c r="C1033"/>
      <c r="H1033"/>
    </row>
    <row r="1034" spans="2:8" x14ac:dyDescent="0.35">
      <c r="B1034"/>
      <c r="C1034"/>
      <c r="H1034"/>
    </row>
    <row r="1035" spans="2:8" x14ac:dyDescent="0.35">
      <c r="B1035"/>
      <c r="C1035"/>
      <c r="H1035"/>
    </row>
    <row r="1036" spans="2:8" x14ac:dyDescent="0.35">
      <c r="B1036"/>
      <c r="C1036"/>
      <c r="H1036"/>
    </row>
    <row r="1037" spans="2:8" x14ac:dyDescent="0.35">
      <c r="B1037"/>
      <c r="C1037"/>
      <c r="H1037"/>
    </row>
    <row r="1038" spans="2:8" x14ac:dyDescent="0.35">
      <c r="B1038"/>
      <c r="C1038"/>
      <c r="H1038"/>
    </row>
    <row r="1039" spans="2:8" x14ac:dyDescent="0.35">
      <c r="B1039"/>
      <c r="C1039"/>
      <c r="H1039"/>
    </row>
    <row r="1040" spans="2:8" x14ac:dyDescent="0.35">
      <c r="B1040"/>
      <c r="C1040"/>
      <c r="H1040"/>
    </row>
    <row r="1041" spans="2:8" x14ac:dyDescent="0.35">
      <c r="B1041"/>
      <c r="C1041"/>
      <c r="H1041"/>
    </row>
    <row r="1042" spans="2:8" x14ac:dyDescent="0.35">
      <c r="B1042"/>
      <c r="C1042"/>
      <c r="H1042"/>
    </row>
    <row r="1043" spans="2:8" x14ac:dyDescent="0.35">
      <c r="B1043"/>
      <c r="C1043"/>
      <c r="H1043"/>
    </row>
    <row r="1044" spans="2:8" x14ac:dyDescent="0.35">
      <c r="B1044"/>
      <c r="C1044"/>
      <c r="H1044"/>
    </row>
    <row r="1045" spans="2:8" x14ac:dyDescent="0.35">
      <c r="B1045"/>
      <c r="C1045"/>
      <c r="H1045"/>
    </row>
    <row r="1046" spans="2:8" x14ac:dyDescent="0.35">
      <c r="B1046"/>
      <c r="C1046"/>
      <c r="H1046"/>
    </row>
    <row r="1047" spans="2:8" x14ac:dyDescent="0.35">
      <c r="B1047"/>
      <c r="C1047"/>
      <c r="H1047"/>
    </row>
    <row r="1048" spans="2:8" x14ac:dyDescent="0.35">
      <c r="B1048"/>
      <c r="C1048"/>
      <c r="H1048"/>
    </row>
    <row r="1049" spans="2:8" x14ac:dyDescent="0.35">
      <c r="B1049"/>
      <c r="C1049"/>
      <c r="H1049"/>
    </row>
    <row r="1050" spans="2:8" x14ac:dyDescent="0.35">
      <c r="B1050"/>
      <c r="C1050"/>
      <c r="H1050"/>
    </row>
    <row r="1051" spans="2:8" x14ac:dyDescent="0.35">
      <c r="B1051"/>
      <c r="C1051"/>
      <c r="H1051"/>
    </row>
    <row r="1052" spans="2:8" x14ac:dyDescent="0.35">
      <c r="B1052"/>
      <c r="C1052"/>
      <c r="H1052"/>
    </row>
    <row r="1053" spans="2:8" x14ac:dyDescent="0.35">
      <c r="B1053"/>
      <c r="C1053"/>
      <c r="H1053"/>
    </row>
    <row r="1054" spans="2:8" x14ac:dyDescent="0.35">
      <c r="B1054"/>
      <c r="C1054"/>
      <c r="H1054"/>
    </row>
    <row r="1055" spans="2:8" x14ac:dyDescent="0.35">
      <c r="B1055"/>
      <c r="C1055"/>
      <c r="H1055"/>
    </row>
    <row r="1056" spans="2:8" x14ac:dyDescent="0.35">
      <c r="B1056"/>
      <c r="C1056"/>
      <c r="H1056"/>
    </row>
    <row r="1057" spans="2:8" x14ac:dyDescent="0.35">
      <c r="B1057"/>
      <c r="C1057"/>
      <c r="H1057"/>
    </row>
    <row r="1058" spans="2:8" x14ac:dyDescent="0.35">
      <c r="B1058"/>
      <c r="C1058"/>
      <c r="H1058"/>
    </row>
    <row r="1059" spans="2:8" x14ac:dyDescent="0.35">
      <c r="B1059"/>
      <c r="C1059"/>
      <c r="H1059"/>
    </row>
    <row r="1060" spans="2:8" x14ac:dyDescent="0.35">
      <c r="B1060"/>
      <c r="C1060"/>
      <c r="H1060"/>
    </row>
    <row r="1061" spans="2:8" x14ac:dyDescent="0.35">
      <c r="B1061"/>
      <c r="C1061"/>
      <c r="H1061"/>
    </row>
    <row r="1062" spans="2:8" x14ac:dyDescent="0.35">
      <c r="B1062"/>
      <c r="C1062"/>
      <c r="H1062"/>
    </row>
    <row r="1063" spans="2:8" x14ac:dyDescent="0.35">
      <c r="B1063"/>
      <c r="C1063"/>
      <c r="H1063"/>
    </row>
    <row r="1064" spans="2:8" x14ac:dyDescent="0.35">
      <c r="B1064"/>
      <c r="C1064"/>
      <c r="H1064"/>
    </row>
    <row r="1065" spans="2:8" x14ac:dyDescent="0.35">
      <c r="B1065"/>
      <c r="C1065"/>
      <c r="H1065"/>
    </row>
    <row r="1066" spans="2:8" x14ac:dyDescent="0.35">
      <c r="B1066"/>
      <c r="C1066"/>
      <c r="H1066"/>
    </row>
    <row r="1067" spans="2:8" x14ac:dyDescent="0.35">
      <c r="B1067"/>
      <c r="C1067"/>
      <c r="H1067"/>
    </row>
    <row r="1068" spans="2:8" x14ac:dyDescent="0.35">
      <c r="B1068"/>
      <c r="C1068"/>
      <c r="H1068"/>
    </row>
    <row r="1069" spans="2:8" x14ac:dyDescent="0.35">
      <c r="B1069"/>
      <c r="C1069"/>
      <c r="H1069"/>
    </row>
    <row r="1070" spans="2:8" x14ac:dyDescent="0.35">
      <c r="B1070"/>
      <c r="C1070"/>
      <c r="H1070"/>
    </row>
    <row r="1071" spans="2:8" x14ac:dyDescent="0.35">
      <c r="B1071"/>
      <c r="C1071"/>
      <c r="H1071"/>
    </row>
    <row r="1072" spans="2:8" x14ac:dyDescent="0.35">
      <c r="B1072"/>
      <c r="C1072"/>
      <c r="H1072"/>
    </row>
    <row r="1073" spans="2:8" x14ac:dyDescent="0.35">
      <c r="B1073"/>
      <c r="C1073"/>
      <c r="H1073"/>
    </row>
    <row r="1074" spans="2:8" x14ac:dyDescent="0.35">
      <c r="B1074"/>
      <c r="C1074"/>
      <c r="H1074"/>
    </row>
    <row r="1075" spans="2:8" x14ac:dyDescent="0.35">
      <c r="B1075"/>
      <c r="C1075"/>
      <c r="H1075"/>
    </row>
    <row r="1076" spans="2:8" x14ac:dyDescent="0.35">
      <c r="B1076"/>
      <c r="C1076"/>
      <c r="H1076"/>
    </row>
    <row r="1077" spans="2:8" x14ac:dyDescent="0.35">
      <c r="B1077"/>
      <c r="C1077"/>
      <c r="H1077"/>
    </row>
    <row r="1078" spans="2:8" x14ac:dyDescent="0.35">
      <c r="B1078"/>
      <c r="C1078"/>
      <c r="H1078"/>
    </row>
    <row r="1079" spans="2:8" x14ac:dyDescent="0.35">
      <c r="B1079"/>
      <c r="C1079"/>
      <c r="H1079"/>
    </row>
    <row r="1080" spans="2:8" x14ac:dyDescent="0.35">
      <c r="B1080"/>
      <c r="C1080"/>
      <c r="H1080"/>
    </row>
    <row r="1081" spans="2:8" x14ac:dyDescent="0.35">
      <c r="B1081"/>
      <c r="C1081"/>
      <c r="H1081"/>
    </row>
    <row r="1082" spans="2:8" x14ac:dyDescent="0.35">
      <c r="B1082"/>
      <c r="C1082"/>
      <c r="H1082"/>
    </row>
    <row r="1083" spans="2:8" x14ac:dyDescent="0.35">
      <c r="B1083"/>
      <c r="C1083"/>
      <c r="H1083"/>
    </row>
    <row r="1084" spans="2:8" x14ac:dyDescent="0.35">
      <c r="B1084"/>
      <c r="C1084"/>
      <c r="H1084"/>
    </row>
    <row r="1085" spans="2:8" x14ac:dyDescent="0.35">
      <c r="B1085"/>
      <c r="C1085"/>
      <c r="H1085"/>
    </row>
    <row r="1086" spans="2:8" x14ac:dyDescent="0.35">
      <c r="B1086"/>
      <c r="C1086"/>
      <c r="H1086"/>
    </row>
    <row r="1087" spans="2:8" x14ac:dyDescent="0.35">
      <c r="B1087"/>
      <c r="C1087"/>
      <c r="H1087"/>
    </row>
    <row r="1088" spans="2:8" x14ac:dyDescent="0.35">
      <c r="B1088"/>
      <c r="C1088"/>
      <c r="H1088"/>
    </row>
    <row r="1089" spans="2:8" x14ac:dyDescent="0.35">
      <c r="B1089"/>
      <c r="C1089"/>
      <c r="H1089"/>
    </row>
    <row r="1090" spans="2:8" x14ac:dyDescent="0.35">
      <c r="B1090"/>
      <c r="C1090"/>
      <c r="H1090"/>
    </row>
    <row r="1091" spans="2:8" x14ac:dyDescent="0.35">
      <c r="B1091"/>
      <c r="C1091"/>
      <c r="H1091"/>
    </row>
    <row r="1092" spans="2:8" x14ac:dyDescent="0.35">
      <c r="B1092"/>
      <c r="C1092"/>
      <c r="H1092"/>
    </row>
    <row r="1093" spans="2:8" x14ac:dyDescent="0.35">
      <c r="B1093"/>
      <c r="C1093"/>
      <c r="H1093"/>
    </row>
    <row r="1094" spans="2:8" x14ac:dyDescent="0.35">
      <c r="B1094"/>
      <c r="C1094"/>
      <c r="H1094"/>
    </row>
    <row r="1095" spans="2:8" x14ac:dyDescent="0.35">
      <c r="B1095"/>
      <c r="C1095"/>
      <c r="H1095"/>
    </row>
    <row r="1096" spans="2:8" x14ac:dyDescent="0.35">
      <c r="B1096"/>
      <c r="C1096"/>
      <c r="H1096"/>
    </row>
    <row r="1097" spans="2:8" x14ac:dyDescent="0.35">
      <c r="B1097"/>
      <c r="C1097"/>
      <c r="H1097"/>
    </row>
    <row r="1098" spans="2:8" x14ac:dyDescent="0.35">
      <c r="B1098"/>
      <c r="C1098"/>
      <c r="H1098"/>
    </row>
    <row r="1099" spans="2:8" x14ac:dyDescent="0.35">
      <c r="B1099"/>
      <c r="C1099"/>
      <c r="H1099"/>
    </row>
    <row r="1100" spans="2:8" x14ac:dyDescent="0.35">
      <c r="B1100"/>
      <c r="C1100"/>
      <c r="H1100"/>
    </row>
    <row r="1101" spans="2:8" x14ac:dyDescent="0.35">
      <c r="B1101"/>
      <c r="C1101"/>
      <c r="H1101"/>
    </row>
    <row r="1102" spans="2:8" x14ac:dyDescent="0.35">
      <c r="B1102"/>
      <c r="C1102"/>
      <c r="H1102"/>
    </row>
    <row r="1103" spans="2:8" x14ac:dyDescent="0.35">
      <c r="B1103"/>
      <c r="C1103"/>
      <c r="H1103"/>
    </row>
    <row r="1104" spans="2:8" x14ac:dyDescent="0.35">
      <c r="B1104"/>
      <c r="C1104"/>
      <c r="H1104"/>
    </row>
    <row r="1105" spans="2:8" x14ac:dyDescent="0.35">
      <c r="B1105"/>
      <c r="C1105"/>
      <c r="H1105"/>
    </row>
    <row r="1106" spans="2:8" x14ac:dyDescent="0.35">
      <c r="B1106"/>
      <c r="C1106"/>
      <c r="H1106"/>
    </row>
    <row r="1107" spans="2:8" x14ac:dyDescent="0.35">
      <c r="B1107"/>
      <c r="C1107"/>
      <c r="H1107"/>
    </row>
    <row r="1108" spans="2:8" x14ac:dyDescent="0.35">
      <c r="B1108"/>
      <c r="C1108"/>
      <c r="H1108"/>
    </row>
    <row r="1109" spans="2:8" x14ac:dyDescent="0.35">
      <c r="B1109"/>
      <c r="C1109"/>
      <c r="H1109"/>
    </row>
    <row r="1110" spans="2:8" x14ac:dyDescent="0.35">
      <c r="B1110"/>
      <c r="C1110"/>
      <c r="H1110"/>
    </row>
    <row r="1111" spans="2:8" x14ac:dyDescent="0.35">
      <c r="B1111"/>
      <c r="C1111"/>
      <c r="H1111"/>
    </row>
    <row r="1112" spans="2:8" x14ac:dyDescent="0.35">
      <c r="B1112"/>
      <c r="C1112"/>
      <c r="H1112"/>
    </row>
    <row r="1113" spans="2:8" x14ac:dyDescent="0.35">
      <c r="B1113"/>
      <c r="C1113"/>
      <c r="H1113"/>
    </row>
    <row r="1114" spans="2:8" x14ac:dyDescent="0.35">
      <c r="B1114"/>
      <c r="C1114"/>
      <c r="H1114"/>
    </row>
    <row r="1115" spans="2:8" x14ac:dyDescent="0.35">
      <c r="B1115"/>
      <c r="C1115"/>
      <c r="H1115"/>
    </row>
    <row r="1116" spans="2:8" x14ac:dyDescent="0.35">
      <c r="B1116"/>
      <c r="C1116"/>
      <c r="H1116"/>
    </row>
    <row r="1117" spans="2:8" x14ac:dyDescent="0.35">
      <c r="B1117"/>
      <c r="C1117"/>
      <c r="H1117"/>
    </row>
    <row r="1118" spans="2:8" x14ac:dyDescent="0.35">
      <c r="B1118"/>
      <c r="C1118"/>
      <c r="H1118"/>
    </row>
    <row r="1119" spans="2:8" x14ac:dyDescent="0.35">
      <c r="B1119"/>
      <c r="C1119"/>
      <c r="H1119"/>
    </row>
    <row r="1120" spans="2:8" x14ac:dyDescent="0.35">
      <c r="B1120"/>
      <c r="C1120"/>
      <c r="H1120"/>
    </row>
    <row r="1121" spans="2:8" x14ac:dyDescent="0.35">
      <c r="B1121"/>
      <c r="C1121"/>
      <c r="H1121"/>
    </row>
    <row r="1122" spans="2:8" x14ac:dyDescent="0.35">
      <c r="B1122"/>
      <c r="C1122"/>
      <c r="H1122"/>
    </row>
    <row r="1123" spans="2:8" x14ac:dyDescent="0.35">
      <c r="B1123"/>
      <c r="C1123"/>
      <c r="H1123"/>
    </row>
    <row r="1124" spans="2:8" x14ac:dyDescent="0.35">
      <c r="B1124"/>
      <c r="C1124"/>
      <c r="H1124"/>
    </row>
    <row r="1125" spans="2:8" x14ac:dyDescent="0.35">
      <c r="B1125"/>
      <c r="C1125"/>
      <c r="H1125"/>
    </row>
    <row r="1126" spans="2:8" x14ac:dyDescent="0.35">
      <c r="B1126"/>
      <c r="C1126"/>
      <c r="H1126"/>
    </row>
    <row r="1127" spans="2:8" x14ac:dyDescent="0.35">
      <c r="B1127"/>
      <c r="C1127"/>
      <c r="H1127"/>
    </row>
    <row r="1128" spans="2:8" x14ac:dyDescent="0.35">
      <c r="B1128"/>
      <c r="C1128"/>
      <c r="H1128"/>
    </row>
    <row r="1129" spans="2:8" x14ac:dyDescent="0.35">
      <c r="B1129"/>
      <c r="C1129"/>
      <c r="H1129"/>
    </row>
    <row r="1130" spans="2:8" x14ac:dyDescent="0.35">
      <c r="B1130"/>
      <c r="C1130"/>
      <c r="H1130"/>
    </row>
    <row r="1131" spans="2:8" x14ac:dyDescent="0.35">
      <c r="B1131"/>
      <c r="C1131"/>
      <c r="H1131"/>
    </row>
    <row r="1132" spans="2:8" x14ac:dyDescent="0.35">
      <c r="B1132"/>
      <c r="C1132"/>
      <c r="H1132"/>
    </row>
    <row r="1133" spans="2:8" x14ac:dyDescent="0.35">
      <c r="B1133"/>
      <c r="C1133"/>
      <c r="H1133"/>
    </row>
    <row r="1134" spans="2:8" x14ac:dyDescent="0.35">
      <c r="B1134"/>
      <c r="C1134"/>
      <c r="H1134"/>
    </row>
    <row r="1135" spans="2:8" x14ac:dyDescent="0.35">
      <c r="B1135"/>
      <c r="C1135"/>
      <c r="H1135"/>
    </row>
    <row r="1136" spans="2:8" x14ac:dyDescent="0.35">
      <c r="B1136"/>
      <c r="C1136"/>
      <c r="H1136"/>
    </row>
    <row r="1137" spans="2:8" x14ac:dyDescent="0.35">
      <c r="B1137"/>
      <c r="C1137"/>
      <c r="H1137"/>
    </row>
    <row r="1138" spans="2:8" x14ac:dyDescent="0.35">
      <c r="B1138"/>
      <c r="C1138"/>
      <c r="H1138"/>
    </row>
    <row r="1139" spans="2:8" x14ac:dyDescent="0.35">
      <c r="B1139"/>
      <c r="C1139"/>
      <c r="H1139"/>
    </row>
    <row r="1140" spans="2:8" x14ac:dyDescent="0.35">
      <c r="B1140"/>
      <c r="C1140"/>
      <c r="H1140"/>
    </row>
    <row r="1141" spans="2:8" x14ac:dyDescent="0.35">
      <c r="B1141"/>
      <c r="C1141"/>
      <c r="H1141"/>
    </row>
    <row r="1142" spans="2:8" x14ac:dyDescent="0.35">
      <c r="B1142"/>
      <c r="C1142"/>
      <c r="H1142"/>
    </row>
    <row r="1143" spans="2:8" x14ac:dyDescent="0.35">
      <c r="B1143"/>
      <c r="C1143"/>
      <c r="H1143"/>
    </row>
    <row r="1144" spans="2:8" x14ac:dyDescent="0.35">
      <c r="B1144"/>
      <c r="C1144"/>
      <c r="H1144"/>
    </row>
    <row r="1145" spans="2:8" x14ac:dyDescent="0.35">
      <c r="B1145"/>
      <c r="C1145"/>
      <c r="H1145"/>
    </row>
    <row r="1146" spans="2:8" x14ac:dyDescent="0.35">
      <c r="B1146"/>
      <c r="C1146"/>
      <c r="H1146"/>
    </row>
    <row r="1147" spans="2:8" x14ac:dyDescent="0.35">
      <c r="B1147"/>
      <c r="C1147"/>
      <c r="H1147"/>
    </row>
    <row r="1148" spans="2:8" x14ac:dyDescent="0.35">
      <c r="B1148"/>
      <c r="C1148"/>
      <c r="H1148"/>
    </row>
    <row r="1149" spans="2:8" x14ac:dyDescent="0.35">
      <c r="B1149"/>
      <c r="C1149"/>
      <c r="H1149"/>
    </row>
    <row r="1150" spans="2:8" x14ac:dyDescent="0.35">
      <c r="B1150"/>
      <c r="C1150"/>
      <c r="H1150"/>
    </row>
    <row r="1151" spans="2:8" x14ac:dyDescent="0.35">
      <c r="B1151"/>
      <c r="C1151"/>
      <c r="H1151"/>
    </row>
    <row r="1152" spans="2:8" x14ac:dyDescent="0.35">
      <c r="B1152"/>
      <c r="C1152"/>
      <c r="H1152"/>
    </row>
    <row r="1153" spans="2:8" x14ac:dyDescent="0.35">
      <c r="B1153"/>
      <c r="C1153"/>
      <c r="H1153"/>
    </row>
    <row r="1154" spans="2:8" x14ac:dyDescent="0.35">
      <c r="B1154"/>
      <c r="C1154"/>
      <c r="H1154"/>
    </row>
    <row r="1155" spans="2:8" x14ac:dyDescent="0.35">
      <c r="B1155"/>
      <c r="C1155"/>
      <c r="H1155"/>
    </row>
    <row r="1156" spans="2:8" x14ac:dyDescent="0.35">
      <c r="B1156"/>
      <c r="C1156"/>
      <c r="H1156"/>
    </row>
    <row r="1157" spans="2:8" x14ac:dyDescent="0.35">
      <c r="B1157"/>
      <c r="C1157"/>
      <c r="H1157"/>
    </row>
    <row r="1158" spans="2:8" x14ac:dyDescent="0.35">
      <c r="B1158"/>
      <c r="C1158"/>
      <c r="H1158"/>
    </row>
    <row r="1159" spans="2:8" x14ac:dyDescent="0.35">
      <c r="B1159"/>
      <c r="C1159"/>
      <c r="H1159"/>
    </row>
    <row r="1160" spans="2:8" x14ac:dyDescent="0.35">
      <c r="B1160"/>
      <c r="C1160"/>
      <c r="H1160"/>
    </row>
    <row r="1161" spans="2:8" x14ac:dyDescent="0.35">
      <c r="B1161"/>
      <c r="C1161"/>
      <c r="H1161"/>
    </row>
    <row r="1162" spans="2:8" x14ac:dyDescent="0.35">
      <c r="B1162"/>
      <c r="C1162"/>
      <c r="H1162"/>
    </row>
    <row r="1163" spans="2:8" x14ac:dyDescent="0.35">
      <c r="B1163"/>
      <c r="C1163"/>
      <c r="H1163"/>
    </row>
    <row r="1164" spans="2:8" x14ac:dyDescent="0.35">
      <c r="B1164"/>
      <c r="C1164"/>
      <c r="H1164"/>
    </row>
    <row r="1165" spans="2:8" x14ac:dyDescent="0.35">
      <c r="B1165"/>
      <c r="C1165"/>
      <c r="H1165"/>
    </row>
    <row r="1166" spans="2:8" x14ac:dyDescent="0.35">
      <c r="B1166"/>
      <c r="C1166"/>
      <c r="H1166"/>
    </row>
    <row r="1167" spans="2:8" x14ac:dyDescent="0.35">
      <c r="B1167"/>
      <c r="C1167"/>
      <c r="H1167"/>
    </row>
    <row r="1168" spans="2:8" x14ac:dyDescent="0.35">
      <c r="B1168"/>
      <c r="C1168"/>
      <c r="H1168"/>
    </row>
    <row r="1169" spans="2:8" x14ac:dyDescent="0.35">
      <c r="B1169"/>
      <c r="C1169"/>
      <c r="H1169"/>
    </row>
    <row r="1170" spans="2:8" x14ac:dyDescent="0.35">
      <c r="B1170"/>
      <c r="C1170"/>
      <c r="H1170"/>
    </row>
    <row r="1171" spans="2:8" x14ac:dyDescent="0.35">
      <c r="B1171"/>
      <c r="C1171"/>
      <c r="H1171"/>
    </row>
    <row r="1172" spans="2:8" x14ac:dyDescent="0.35">
      <c r="B1172"/>
      <c r="C1172"/>
      <c r="H1172"/>
    </row>
    <row r="1173" spans="2:8" x14ac:dyDescent="0.35">
      <c r="B1173"/>
      <c r="C1173"/>
      <c r="H1173"/>
    </row>
    <row r="1174" spans="2:8" x14ac:dyDescent="0.35">
      <c r="B1174"/>
      <c r="C1174"/>
      <c r="H1174"/>
    </row>
    <row r="1175" spans="2:8" x14ac:dyDescent="0.35">
      <c r="B1175"/>
      <c r="C1175"/>
      <c r="H1175"/>
    </row>
    <row r="1176" spans="2:8" x14ac:dyDescent="0.35">
      <c r="B1176"/>
      <c r="C1176"/>
      <c r="H1176"/>
    </row>
    <row r="1177" spans="2:8" x14ac:dyDescent="0.35">
      <c r="B1177"/>
      <c r="C1177"/>
      <c r="H1177"/>
    </row>
    <row r="1178" spans="2:8" x14ac:dyDescent="0.35">
      <c r="B1178"/>
      <c r="C1178"/>
      <c r="H1178"/>
    </row>
    <row r="1179" spans="2:8" x14ac:dyDescent="0.35">
      <c r="B1179"/>
      <c r="C1179"/>
      <c r="H1179"/>
    </row>
    <row r="1180" spans="2:8" x14ac:dyDescent="0.35">
      <c r="B1180"/>
      <c r="C1180"/>
      <c r="H1180"/>
    </row>
    <row r="1181" spans="2:8" x14ac:dyDescent="0.35">
      <c r="B1181"/>
      <c r="C1181"/>
      <c r="H1181"/>
    </row>
    <row r="1182" spans="2:8" x14ac:dyDescent="0.35">
      <c r="B1182"/>
      <c r="C1182"/>
      <c r="H1182"/>
    </row>
    <row r="1183" spans="2:8" x14ac:dyDescent="0.35">
      <c r="B1183"/>
      <c r="C1183"/>
      <c r="H1183"/>
    </row>
    <row r="1184" spans="2:8" x14ac:dyDescent="0.35">
      <c r="B1184"/>
      <c r="C1184"/>
      <c r="H1184"/>
    </row>
    <row r="1185" spans="2:8" x14ac:dyDescent="0.35">
      <c r="B1185"/>
      <c r="C1185"/>
      <c r="H1185"/>
    </row>
    <row r="1186" spans="2:8" x14ac:dyDescent="0.35">
      <c r="B1186"/>
      <c r="C1186"/>
      <c r="H1186"/>
    </row>
    <row r="1187" spans="2:8" x14ac:dyDescent="0.35">
      <c r="B1187"/>
      <c r="C1187"/>
      <c r="H1187"/>
    </row>
    <row r="1188" spans="2:8" x14ac:dyDescent="0.35">
      <c r="B1188"/>
      <c r="C1188"/>
      <c r="H1188"/>
    </row>
    <row r="1189" spans="2:8" x14ac:dyDescent="0.35">
      <c r="B1189"/>
      <c r="C1189"/>
      <c r="H1189"/>
    </row>
    <row r="1190" spans="2:8" x14ac:dyDescent="0.35">
      <c r="B1190"/>
      <c r="C1190"/>
      <c r="H1190"/>
    </row>
    <row r="1191" spans="2:8" x14ac:dyDescent="0.35">
      <c r="B1191"/>
      <c r="C1191"/>
      <c r="H1191"/>
    </row>
    <row r="1192" spans="2:8" x14ac:dyDescent="0.35">
      <c r="B1192"/>
      <c r="C1192"/>
      <c r="H1192"/>
    </row>
    <row r="1193" spans="2:8" x14ac:dyDescent="0.35">
      <c r="B1193"/>
      <c r="C1193"/>
      <c r="H1193"/>
    </row>
    <row r="1194" spans="2:8" x14ac:dyDescent="0.35">
      <c r="B1194"/>
      <c r="C1194"/>
      <c r="H1194"/>
    </row>
    <row r="1195" spans="2:8" x14ac:dyDescent="0.35">
      <c r="B1195"/>
      <c r="C1195"/>
      <c r="H1195"/>
    </row>
    <row r="1196" spans="2:8" x14ac:dyDescent="0.35">
      <c r="B1196"/>
      <c r="C1196"/>
      <c r="H1196"/>
    </row>
    <row r="1197" spans="2:8" x14ac:dyDescent="0.35">
      <c r="B1197"/>
      <c r="C1197"/>
      <c r="H1197"/>
    </row>
    <row r="1198" spans="2:8" x14ac:dyDescent="0.35">
      <c r="B1198"/>
      <c r="C1198"/>
      <c r="H1198"/>
    </row>
    <row r="1199" spans="2:8" x14ac:dyDescent="0.35">
      <c r="B1199"/>
      <c r="C1199"/>
      <c r="H1199"/>
    </row>
    <row r="1200" spans="2:8" x14ac:dyDescent="0.35">
      <c r="B1200"/>
      <c r="C1200"/>
      <c r="H1200"/>
    </row>
    <row r="1201" spans="2:8" x14ac:dyDescent="0.35">
      <c r="B1201"/>
      <c r="C1201"/>
      <c r="H1201"/>
    </row>
    <row r="1202" spans="2:8" x14ac:dyDescent="0.35">
      <c r="B1202"/>
      <c r="C1202"/>
      <c r="H1202"/>
    </row>
    <row r="1203" spans="2:8" x14ac:dyDescent="0.35">
      <c r="B1203"/>
      <c r="C1203"/>
      <c r="H1203"/>
    </row>
    <row r="1204" spans="2:8" x14ac:dyDescent="0.35">
      <c r="B1204"/>
      <c r="C1204"/>
      <c r="H1204"/>
    </row>
    <row r="1205" spans="2:8" x14ac:dyDescent="0.35">
      <c r="B1205"/>
      <c r="C1205"/>
      <c r="H1205"/>
    </row>
    <row r="1206" spans="2:8" x14ac:dyDescent="0.35">
      <c r="B1206"/>
      <c r="C1206"/>
      <c r="H1206"/>
    </row>
    <row r="1207" spans="2:8" x14ac:dyDescent="0.35">
      <c r="B1207"/>
      <c r="C1207"/>
      <c r="H1207"/>
    </row>
    <row r="1208" spans="2:8" x14ac:dyDescent="0.35">
      <c r="B1208"/>
      <c r="C1208"/>
      <c r="H1208"/>
    </row>
    <row r="1209" spans="2:8" x14ac:dyDescent="0.35">
      <c r="B1209"/>
      <c r="C1209"/>
      <c r="H1209"/>
    </row>
    <row r="1210" spans="2:8" x14ac:dyDescent="0.35">
      <c r="B1210"/>
      <c r="C1210"/>
      <c r="H1210"/>
    </row>
    <row r="1211" spans="2:8" x14ac:dyDescent="0.35">
      <c r="B1211"/>
      <c r="C1211"/>
      <c r="H1211"/>
    </row>
    <row r="1212" spans="2:8" x14ac:dyDescent="0.35">
      <c r="B1212"/>
      <c r="C1212"/>
      <c r="H1212"/>
    </row>
    <row r="1213" spans="2:8" x14ac:dyDescent="0.35">
      <c r="B1213"/>
      <c r="C1213"/>
      <c r="H1213"/>
    </row>
    <row r="1214" spans="2:8" x14ac:dyDescent="0.35">
      <c r="B1214"/>
      <c r="C1214"/>
      <c r="H1214"/>
    </row>
    <row r="1215" spans="2:8" x14ac:dyDescent="0.35">
      <c r="B1215"/>
      <c r="C1215"/>
      <c r="H1215"/>
    </row>
    <row r="1216" spans="2:8" x14ac:dyDescent="0.35">
      <c r="B1216"/>
      <c r="C1216"/>
      <c r="H1216"/>
    </row>
    <row r="1217" spans="2:8" x14ac:dyDescent="0.35">
      <c r="B1217"/>
      <c r="C1217"/>
      <c r="H1217"/>
    </row>
    <row r="1218" spans="2:8" x14ac:dyDescent="0.35">
      <c r="B1218"/>
      <c r="C1218"/>
      <c r="H1218"/>
    </row>
    <row r="1219" spans="2:8" x14ac:dyDescent="0.35">
      <c r="B1219"/>
      <c r="C1219"/>
      <c r="H1219"/>
    </row>
    <row r="1220" spans="2:8" x14ac:dyDescent="0.35">
      <c r="B1220"/>
      <c r="C1220"/>
      <c r="H1220"/>
    </row>
    <row r="1221" spans="2:8" x14ac:dyDescent="0.35">
      <c r="B1221"/>
      <c r="C1221"/>
      <c r="H1221"/>
    </row>
    <row r="1222" spans="2:8" x14ac:dyDescent="0.35">
      <c r="B1222"/>
      <c r="C1222"/>
      <c r="H1222"/>
    </row>
    <row r="1223" spans="2:8" x14ac:dyDescent="0.35">
      <c r="B1223"/>
      <c r="C1223"/>
      <c r="H1223"/>
    </row>
    <row r="1224" spans="2:8" x14ac:dyDescent="0.35">
      <c r="B1224"/>
      <c r="C1224"/>
      <c r="H1224"/>
    </row>
    <row r="1225" spans="2:8" x14ac:dyDescent="0.35">
      <c r="B1225"/>
      <c r="C1225"/>
      <c r="H1225"/>
    </row>
    <row r="1226" spans="2:8" x14ac:dyDescent="0.35">
      <c r="B1226"/>
      <c r="C1226"/>
      <c r="H1226"/>
    </row>
    <row r="1227" spans="2:8" x14ac:dyDescent="0.35">
      <c r="B1227"/>
      <c r="C1227"/>
      <c r="H1227"/>
    </row>
    <row r="1228" spans="2:8" x14ac:dyDescent="0.35">
      <c r="B1228"/>
      <c r="C1228"/>
      <c r="H1228"/>
    </row>
    <row r="1229" spans="2:8" x14ac:dyDescent="0.35">
      <c r="B1229"/>
      <c r="C1229"/>
      <c r="H1229"/>
    </row>
    <row r="1230" spans="2:8" x14ac:dyDescent="0.35">
      <c r="B1230"/>
      <c r="C1230"/>
      <c r="H1230"/>
    </row>
    <row r="1231" spans="2:8" x14ac:dyDescent="0.35">
      <c r="B1231"/>
      <c r="C1231"/>
      <c r="H1231"/>
    </row>
    <row r="1232" spans="2:8" x14ac:dyDescent="0.35">
      <c r="B1232"/>
      <c r="C1232"/>
      <c r="H1232"/>
    </row>
    <row r="1233" spans="2:8" x14ac:dyDescent="0.35">
      <c r="B1233"/>
      <c r="C1233"/>
      <c r="H1233"/>
    </row>
    <row r="1234" spans="2:8" x14ac:dyDescent="0.35">
      <c r="B1234"/>
      <c r="C1234"/>
      <c r="H1234"/>
    </row>
    <row r="1235" spans="2:8" x14ac:dyDescent="0.35">
      <c r="B1235"/>
      <c r="C1235"/>
      <c r="H1235"/>
    </row>
    <row r="1236" spans="2:8" x14ac:dyDescent="0.35">
      <c r="B1236"/>
      <c r="C1236"/>
      <c r="H1236"/>
    </row>
    <row r="1237" spans="2:8" x14ac:dyDescent="0.35">
      <c r="B1237"/>
      <c r="C1237"/>
      <c r="H1237"/>
    </row>
    <row r="1238" spans="2:8" x14ac:dyDescent="0.35">
      <c r="B1238"/>
      <c r="C1238"/>
      <c r="H1238"/>
    </row>
    <row r="1239" spans="2:8" x14ac:dyDescent="0.35">
      <c r="B1239"/>
      <c r="C1239"/>
      <c r="H1239"/>
    </row>
    <row r="1240" spans="2:8" x14ac:dyDescent="0.35">
      <c r="B1240"/>
      <c r="C1240"/>
      <c r="H1240"/>
    </row>
    <row r="1241" spans="2:8" x14ac:dyDescent="0.35">
      <c r="B1241"/>
      <c r="C1241"/>
      <c r="H1241"/>
    </row>
    <row r="1242" spans="2:8" x14ac:dyDescent="0.35">
      <c r="B1242"/>
      <c r="C1242"/>
      <c r="H1242"/>
    </row>
    <row r="1243" spans="2:8" x14ac:dyDescent="0.35">
      <c r="B1243"/>
      <c r="C1243"/>
      <c r="H1243"/>
    </row>
    <row r="1244" spans="2:8" x14ac:dyDescent="0.35">
      <c r="B1244"/>
      <c r="C1244"/>
      <c r="H1244"/>
    </row>
    <row r="1245" spans="2:8" x14ac:dyDescent="0.35">
      <c r="B1245"/>
      <c r="C1245"/>
      <c r="H1245"/>
    </row>
    <row r="1246" spans="2:8" x14ac:dyDescent="0.35">
      <c r="B1246"/>
      <c r="C1246"/>
      <c r="H1246"/>
    </row>
    <row r="1247" spans="2:8" x14ac:dyDescent="0.35">
      <c r="B1247"/>
      <c r="C1247"/>
      <c r="H1247"/>
    </row>
    <row r="1248" spans="2:8" x14ac:dyDescent="0.35">
      <c r="B1248"/>
      <c r="C1248"/>
      <c r="H1248"/>
    </row>
    <row r="1249" spans="2:8" x14ac:dyDescent="0.35">
      <c r="B1249"/>
      <c r="C1249"/>
      <c r="H1249"/>
    </row>
    <row r="1250" spans="2:8" x14ac:dyDescent="0.35">
      <c r="B1250"/>
      <c r="C1250"/>
      <c r="H1250"/>
    </row>
    <row r="1251" spans="2:8" x14ac:dyDescent="0.35">
      <c r="B1251"/>
      <c r="C1251"/>
      <c r="H1251"/>
    </row>
    <row r="1252" spans="2:8" x14ac:dyDescent="0.35">
      <c r="B1252"/>
      <c r="C1252"/>
      <c r="H1252"/>
    </row>
    <row r="1253" spans="2:8" x14ac:dyDescent="0.35">
      <c r="B1253"/>
      <c r="C1253"/>
      <c r="H1253"/>
    </row>
    <row r="1254" spans="2:8" x14ac:dyDescent="0.35">
      <c r="B1254"/>
      <c r="C1254"/>
      <c r="H1254"/>
    </row>
    <row r="1255" spans="2:8" x14ac:dyDescent="0.35">
      <c r="B1255"/>
      <c r="C1255"/>
      <c r="H1255"/>
    </row>
    <row r="1256" spans="2:8" x14ac:dyDescent="0.35">
      <c r="B1256"/>
      <c r="C1256"/>
      <c r="H1256"/>
    </row>
    <row r="1257" spans="2:8" x14ac:dyDescent="0.35">
      <c r="B1257"/>
      <c r="C1257"/>
      <c r="H1257"/>
    </row>
    <row r="1258" spans="2:8" x14ac:dyDescent="0.35">
      <c r="B1258"/>
      <c r="C1258"/>
      <c r="H1258"/>
    </row>
    <row r="1259" spans="2:8" x14ac:dyDescent="0.35">
      <c r="B1259"/>
      <c r="C1259"/>
      <c r="H1259"/>
    </row>
    <row r="1260" spans="2:8" x14ac:dyDescent="0.35">
      <c r="B1260"/>
      <c r="C1260"/>
      <c r="H1260"/>
    </row>
    <row r="1261" spans="2:8" x14ac:dyDescent="0.35">
      <c r="B1261"/>
      <c r="C1261"/>
      <c r="H1261"/>
    </row>
    <row r="1262" spans="2:8" x14ac:dyDescent="0.35">
      <c r="B1262"/>
      <c r="C1262"/>
      <c r="H1262"/>
    </row>
    <row r="1263" spans="2:8" x14ac:dyDescent="0.35">
      <c r="B1263"/>
      <c r="C1263"/>
      <c r="H1263"/>
    </row>
    <row r="1264" spans="2:8" x14ac:dyDescent="0.35">
      <c r="B1264"/>
      <c r="C1264"/>
      <c r="H1264"/>
    </row>
    <row r="1265" spans="2:8" x14ac:dyDescent="0.35">
      <c r="B1265"/>
      <c r="C1265"/>
      <c r="H1265"/>
    </row>
    <row r="1266" spans="2:8" x14ac:dyDescent="0.35">
      <c r="B1266"/>
      <c r="C1266"/>
      <c r="H1266"/>
    </row>
    <row r="1267" spans="2:8" x14ac:dyDescent="0.35">
      <c r="B1267"/>
      <c r="C1267"/>
      <c r="H1267"/>
    </row>
    <row r="1268" spans="2:8" x14ac:dyDescent="0.35">
      <c r="B1268"/>
      <c r="C1268"/>
      <c r="H1268"/>
    </row>
    <row r="1269" spans="2:8" x14ac:dyDescent="0.35">
      <c r="B1269"/>
      <c r="C1269"/>
      <c r="H1269"/>
    </row>
    <row r="1270" spans="2:8" x14ac:dyDescent="0.35">
      <c r="B1270"/>
      <c r="C1270"/>
      <c r="H1270"/>
    </row>
    <row r="1271" spans="2:8" x14ac:dyDescent="0.35">
      <c r="B1271"/>
      <c r="C1271"/>
      <c r="H1271"/>
    </row>
    <row r="1272" spans="2:8" x14ac:dyDescent="0.35">
      <c r="B1272"/>
      <c r="C1272"/>
      <c r="H1272"/>
    </row>
    <row r="1273" spans="2:8" x14ac:dyDescent="0.35">
      <c r="B1273"/>
      <c r="C1273"/>
      <c r="H1273"/>
    </row>
    <row r="1274" spans="2:8" x14ac:dyDescent="0.35">
      <c r="B1274"/>
      <c r="C1274"/>
      <c r="H1274"/>
    </row>
    <row r="1275" spans="2:8" x14ac:dyDescent="0.35">
      <c r="B1275"/>
      <c r="C1275"/>
      <c r="H1275"/>
    </row>
    <row r="1276" spans="2:8" x14ac:dyDescent="0.35">
      <c r="B1276"/>
      <c r="C1276"/>
      <c r="H1276"/>
    </row>
    <row r="1277" spans="2:8" x14ac:dyDescent="0.35">
      <c r="B1277"/>
      <c r="C1277"/>
      <c r="H1277"/>
    </row>
    <row r="1278" spans="2:8" x14ac:dyDescent="0.35">
      <c r="B1278"/>
      <c r="C1278"/>
      <c r="H1278"/>
    </row>
    <row r="1279" spans="2:8" x14ac:dyDescent="0.35">
      <c r="B1279"/>
      <c r="C1279"/>
      <c r="H1279"/>
    </row>
    <row r="1280" spans="2:8" x14ac:dyDescent="0.35">
      <c r="B1280"/>
      <c r="C1280"/>
      <c r="H1280"/>
    </row>
    <row r="1281" spans="2:8" x14ac:dyDescent="0.35">
      <c r="B1281"/>
      <c r="C1281"/>
      <c r="H1281"/>
    </row>
    <row r="1282" spans="2:8" x14ac:dyDescent="0.35">
      <c r="B1282"/>
      <c r="C1282"/>
      <c r="H1282"/>
    </row>
    <row r="1283" spans="2:8" x14ac:dyDescent="0.35">
      <c r="B1283"/>
      <c r="C1283"/>
      <c r="H1283"/>
    </row>
    <row r="1284" spans="2:8" x14ac:dyDescent="0.35">
      <c r="B1284"/>
      <c r="C1284"/>
      <c r="H1284"/>
    </row>
    <row r="1285" spans="2:8" x14ac:dyDescent="0.35">
      <c r="B1285"/>
      <c r="C1285"/>
      <c r="H1285"/>
    </row>
    <row r="1286" spans="2:8" x14ac:dyDescent="0.35">
      <c r="B1286"/>
      <c r="C1286"/>
      <c r="H1286"/>
    </row>
    <row r="1287" spans="2:8" x14ac:dyDescent="0.35">
      <c r="B1287"/>
      <c r="C1287"/>
      <c r="H1287"/>
    </row>
    <row r="1288" spans="2:8" x14ac:dyDescent="0.35">
      <c r="B1288"/>
      <c r="C1288"/>
      <c r="H1288"/>
    </row>
    <row r="1289" spans="2:8" x14ac:dyDescent="0.35">
      <c r="B1289"/>
      <c r="C1289"/>
      <c r="H1289"/>
    </row>
    <row r="1290" spans="2:8" x14ac:dyDescent="0.35">
      <c r="B1290"/>
      <c r="C1290"/>
      <c r="H1290"/>
    </row>
    <row r="1291" spans="2:8" x14ac:dyDescent="0.35">
      <c r="B1291"/>
      <c r="C1291"/>
      <c r="H1291"/>
    </row>
    <row r="1292" spans="2:8" x14ac:dyDescent="0.35">
      <c r="B1292"/>
      <c r="C1292"/>
      <c r="H1292"/>
    </row>
    <row r="1293" spans="2:8" x14ac:dyDescent="0.35">
      <c r="B1293"/>
      <c r="C1293"/>
      <c r="H1293"/>
    </row>
    <row r="1294" spans="2:8" x14ac:dyDescent="0.35">
      <c r="B1294"/>
      <c r="C1294"/>
      <c r="H1294"/>
    </row>
    <row r="1295" spans="2:8" x14ac:dyDescent="0.35">
      <c r="B1295"/>
      <c r="C1295"/>
      <c r="H1295"/>
    </row>
    <row r="1296" spans="2:8" x14ac:dyDescent="0.35">
      <c r="B1296"/>
      <c r="C1296"/>
      <c r="H1296"/>
    </row>
    <row r="1297" spans="2:8" x14ac:dyDescent="0.35">
      <c r="B1297"/>
      <c r="C1297"/>
      <c r="H1297"/>
    </row>
    <row r="1298" spans="2:8" x14ac:dyDescent="0.35">
      <c r="B1298"/>
      <c r="C1298"/>
      <c r="H1298"/>
    </row>
    <row r="1299" spans="2:8" x14ac:dyDescent="0.35">
      <c r="B1299"/>
      <c r="C1299"/>
      <c r="H1299"/>
    </row>
    <row r="1300" spans="2:8" x14ac:dyDescent="0.35">
      <c r="B1300"/>
      <c r="C1300"/>
      <c r="H1300"/>
    </row>
    <row r="1301" spans="2:8" x14ac:dyDescent="0.35">
      <c r="B1301"/>
      <c r="C1301"/>
      <c r="H1301"/>
    </row>
    <row r="1302" spans="2:8" x14ac:dyDescent="0.35">
      <c r="B1302"/>
      <c r="C1302"/>
      <c r="H1302"/>
    </row>
    <row r="1303" spans="2:8" x14ac:dyDescent="0.35">
      <c r="B1303"/>
      <c r="C1303"/>
      <c r="H1303"/>
    </row>
    <row r="1304" spans="2:8" x14ac:dyDescent="0.35">
      <c r="B1304"/>
      <c r="C1304"/>
      <c r="H1304"/>
    </row>
    <row r="1305" spans="2:8" x14ac:dyDescent="0.35">
      <c r="B1305"/>
      <c r="C1305"/>
      <c r="H1305"/>
    </row>
    <row r="1306" spans="2:8" x14ac:dyDescent="0.35">
      <c r="B1306"/>
      <c r="C1306"/>
      <c r="H1306"/>
    </row>
    <row r="1307" spans="2:8" x14ac:dyDescent="0.35">
      <c r="B1307"/>
      <c r="C1307"/>
      <c r="H1307"/>
    </row>
    <row r="1308" spans="2:8" x14ac:dyDescent="0.35">
      <c r="B1308"/>
      <c r="C1308"/>
      <c r="H1308"/>
    </row>
    <row r="1309" spans="2:8" x14ac:dyDescent="0.35">
      <c r="B1309"/>
      <c r="C1309"/>
      <c r="H1309"/>
    </row>
    <row r="1310" spans="2:8" x14ac:dyDescent="0.35">
      <c r="B1310"/>
      <c r="C1310"/>
      <c r="H1310"/>
    </row>
    <row r="1311" spans="2:8" x14ac:dyDescent="0.35">
      <c r="B1311"/>
      <c r="C1311"/>
      <c r="H1311"/>
    </row>
    <row r="1312" spans="2:8" x14ac:dyDescent="0.35">
      <c r="B1312"/>
      <c r="C1312"/>
      <c r="H1312"/>
    </row>
    <row r="1313" spans="2:8" x14ac:dyDescent="0.35">
      <c r="B1313"/>
      <c r="C1313"/>
      <c r="H1313"/>
    </row>
    <row r="1314" spans="2:8" x14ac:dyDescent="0.35">
      <c r="B1314"/>
      <c r="C1314"/>
      <c r="H1314"/>
    </row>
    <row r="1315" spans="2:8" x14ac:dyDescent="0.35">
      <c r="B1315"/>
      <c r="C1315"/>
      <c r="H1315"/>
    </row>
    <row r="1316" spans="2:8" x14ac:dyDescent="0.35">
      <c r="B1316"/>
      <c r="C1316"/>
      <c r="H1316"/>
    </row>
    <row r="1317" spans="2:8" x14ac:dyDescent="0.35">
      <c r="B1317"/>
      <c r="C1317"/>
      <c r="H1317"/>
    </row>
    <row r="1318" spans="2:8" x14ac:dyDescent="0.35">
      <c r="B1318"/>
      <c r="C1318"/>
      <c r="H1318"/>
    </row>
    <row r="1319" spans="2:8" x14ac:dyDescent="0.35">
      <c r="B1319"/>
      <c r="C1319"/>
      <c r="H1319"/>
    </row>
    <row r="1320" spans="2:8" x14ac:dyDescent="0.35">
      <c r="B1320"/>
      <c r="C1320"/>
      <c r="H1320"/>
    </row>
    <row r="1321" spans="2:8" x14ac:dyDescent="0.35">
      <c r="B1321"/>
      <c r="C1321"/>
      <c r="H1321"/>
    </row>
    <row r="1322" spans="2:8" x14ac:dyDescent="0.35">
      <c r="B1322"/>
      <c r="C1322"/>
      <c r="H1322"/>
    </row>
    <row r="1323" spans="2:8" x14ac:dyDescent="0.35">
      <c r="B1323"/>
      <c r="C1323"/>
      <c r="H1323"/>
    </row>
    <row r="1324" spans="2:8" x14ac:dyDescent="0.35">
      <c r="B1324"/>
      <c r="C1324"/>
      <c r="H1324"/>
    </row>
    <row r="1325" spans="2:8" x14ac:dyDescent="0.35">
      <c r="B1325"/>
      <c r="C1325"/>
      <c r="H1325"/>
    </row>
    <row r="1326" spans="2:8" x14ac:dyDescent="0.35">
      <c r="B1326"/>
      <c r="C1326"/>
      <c r="H1326"/>
    </row>
    <row r="1327" spans="2:8" x14ac:dyDescent="0.35">
      <c r="B1327"/>
      <c r="C1327"/>
      <c r="H1327"/>
    </row>
    <row r="1328" spans="2:8" x14ac:dyDescent="0.35">
      <c r="B1328"/>
      <c r="C1328"/>
      <c r="H1328"/>
    </row>
    <row r="1329" spans="2:8" x14ac:dyDescent="0.35">
      <c r="B1329"/>
      <c r="C1329"/>
      <c r="H1329"/>
    </row>
    <row r="1330" spans="2:8" x14ac:dyDescent="0.35">
      <c r="B1330"/>
      <c r="C1330"/>
      <c r="H1330"/>
    </row>
    <row r="1331" spans="2:8" x14ac:dyDescent="0.35">
      <c r="B1331"/>
      <c r="C1331"/>
      <c r="H1331"/>
    </row>
    <row r="1332" spans="2:8" x14ac:dyDescent="0.35">
      <c r="B1332"/>
      <c r="C1332"/>
      <c r="H1332"/>
    </row>
    <row r="1333" spans="2:8" x14ac:dyDescent="0.35">
      <c r="B1333"/>
      <c r="C1333"/>
      <c r="H1333"/>
    </row>
    <row r="1334" spans="2:8" x14ac:dyDescent="0.35">
      <c r="B1334"/>
      <c r="C1334"/>
      <c r="H1334"/>
    </row>
    <row r="1335" spans="2:8" x14ac:dyDescent="0.35">
      <c r="B1335"/>
      <c r="C1335"/>
      <c r="H1335"/>
    </row>
    <row r="1336" spans="2:8" x14ac:dyDescent="0.35">
      <c r="B1336"/>
      <c r="C1336"/>
      <c r="H1336"/>
    </row>
    <row r="1337" spans="2:8" x14ac:dyDescent="0.35">
      <c r="B1337"/>
      <c r="C1337"/>
      <c r="H1337"/>
    </row>
    <row r="1338" spans="2:8" x14ac:dyDescent="0.35">
      <c r="B1338"/>
      <c r="C1338"/>
      <c r="H1338"/>
    </row>
    <row r="1339" spans="2:8" x14ac:dyDescent="0.35">
      <c r="B1339"/>
      <c r="C1339"/>
      <c r="H1339"/>
    </row>
    <row r="1340" spans="2:8" x14ac:dyDescent="0.35">
      <c r="B1340"/>
      <c r="C1340"/>
      <c r="H1340"/>
    </row>
    <row r="1341" spans="2:8" x14ac:dyDescent="0.35">
      <c r="B1341"/>
      <c r="C1341"/>
      <c r="H1341"/>
    </row>
    <row r="1342" spans="2:8" x14ac:dyDescent="0.35">
      <c r="B1342"/>
      <c r="C1342"/>
      <c r="H1342"/>
    </row>
    <row r="1343" spans="2:8" x14ac:dyDescent="0.35">
      <c r="B1343"/>
      <c r="C1343"/>
      <c r="H1343"/>
    </row>
    <row r="1344" spans="2:8" x14ac:dyDescent="0.35">
      <c r="B1344"/>
      <c r="C1344"/>
      <c r="H1344"/>
    </row>
    <row r="1345" spans="2:8" x14ac:dyDescent="0.35">
      <c r="B1345"/>
      <c r="C1345"/>
      <c r="H1345"/>
    </row>
    <row r="1346" spans="2:8" x14ac:dyDescent="0.35">
      <c r="B1346"/>
      <c r="C1346"/>
      <c r="H1346"/>
    </row>
    <row r="1347" spans="2:8" x14ac:dyDescent="0.35">
      <c r="B1347"/>
      <c r="C1347"/>
      <c r="H1347"/>
    </row>
    <row r="1348" spans="2:8" x14ac:dyDescent="0.35">
      <c r="B1348"/>
      <c r="C1348"/>
      <c r="H1348"/>
    </row>
    <row r="1349" spans="2:8" x14ac:dyDescent="0.35">
      <c r="B1349"/>
      <c r="C1349"/>
      <c r="H1349"/>
    </row>
    <row r="1350" spans="2:8" x14ac:dyDescent="0.35">
      <c r="B1350"/>
      <c r="C1350"/>
      <c r="H1350"/>
    </row>
    <row r="1351" spans="2:8" x14ac:dyDescent="0.35">
      <c r="B1351"/>
      <c r="C1351"/>
      <c r="H1351"/>
    </row>
    <row r="1352" spans="2:8" x14ac:dyDescent="0.35">
      <c r="B1352"/>
      <c r="C1352"/>
      <c r="H1352"/>
    </row>
    <row r="1353" spans="2:8" x14ac:dyDescent="0.35">
      <c r="B1353"/>
      <c r="C1353"/>
      <c r="H1353"/>
    </row>
    <row r="1354" spans="2:8" x14ac:dyDescent="0.35">
      <c r="B1354"/>
      <c r="C1354"/>
      <c r="H1354"/>
    </row>
    <row r="1355" spans="2:8" x14ac:dyDescent="0.35">
      <c r="B1355"/>
      <c r="C1355"/>
      <c r="H1355"/>
    </row>
    <row r="1356" spans="2:8" x14ac:dyDescent="0.35">
      <c r="B1356"/>
      <c r="C1356"/>
      <c r="H1356"/>
    </row>
    <row r="1357" spans="2:8" x14ac:dyDescent="0.35">
      <c r="B1357"/>
      <c r="C1357"/>
      <c r="H1357"/>
    </row>
    <row r="1358" spans="2:8" x14ac:dyDescent="0.35">
      <c r="B1358"/>
      <c r="C1358"/>
      <c r="H1358"/>
    </row>
    <row r="1359" spans="2:8" x14ac:dyDescent="0.35">
      <c r="B1359"/>
      <c r="C1359"/>
      <c r="H1359"/>
    </row>
    <row r="1360" spans="2:8" x14ac:dyDescent="0.35">
      <c r="B1360"/>
      <c r="C1360"/>
      <c r="H1360"/>
    </row>
    <row r="1361" spans="2:8" x14ac:dyDescent="0.35">
      <c r="B1361"/>
      <c r="C1361"/>
      <c r="H1361"/>
    </row>
    <row r="1362" spans="2:8" x14ac:dyDescent="0.35">
      <c r="B1362"/>
      <c r="C1362"/>
      <c r="H1362"/>
    </row>
    <row r="1363" spans="2:8" x14ac:dyDescent="0.35">
      <c r="B1363"/>
      <c r="C1363"/>
      <c r="H1363"/>
    </row>
    <row r="1364" spans="2:8" x14ac:dyDescent="0.35">
      <c r="B1364"/>
      <c r="C1364"/>
      <c r="H1364"/>
    </row>
    <row r="1365" spans="2:8" x14ac:dyDescent="0.35">
      <c r="B1365"/>
      <c r="C1365"/>
      <c r="H1365"/>
    </row>
    <row r="1366" spans="2:8" x14ac:dyDescent="0.35">
      <c r="B1366"/>
      <c r="C1366"/>
      <c r="H1366"/>
    </row>
    <row r="1367" spans="2:8" x14ac:dyDescent="0.35">
      <c r="B1367"/>
      <c r="C1367"/>
      <c r="H1367"/>
    </row>
    <row r="1368" spans="2:8" x14ac:dyDescent="0.35">
      <c r="B1368"/>
      <c r="C1368"/>
      <c r="H1368"/>
    </row>
    <row r="1369" spans="2:8" x14ac:dyDescent="0.35">
      <c r="B1369"/>
      <c r="C1369"/>
      <c r="H1369"/>
    </row>
    <row r="1370" spans="2:8" x14ac:dyDescent="0.35">
      <c r="B1370"/>
      <c r="C1370"/>
      <c r="H1370"/>
    </row>
    <row r="1371" spans="2:8" x14ac:dyDescent="0.35">
      <c r="B1371"/>
      <c r="C1371"/>
      <c r="H1371"/>
    </row>
    <row r="1372" spans="2:8" x14ac:dyDescent="0.35">
      <c r="B1372"/>
      <c r="C1372"/>
      <c r="H1372"/>
    </row>
    <row r="1373" spans="2:8" x14ac:dyDescent="0.35">
      <c r="B1373"/>
      <c r="C1373"/>
      <c r="H1373"/>
    </row>
    <row r="1374" spans="2:8" x14ac:dyDescent="0.35">
      <c r="B1374"/>
      <c r="C1374"/>
      <c r="H1374"/>
    </row>
    <row r="1375" spans="2:8" x14ac:dyDescent="0.35">
      <c r="B1375"/>
      <c r="C1375"/>
      <c r="H1375"/>
    </row>
    <row r="1376" spans="2:8" x14ac:dyDescent="0.35">
      <c r="B1376"/>
      <c r="C1376"/>
      <c r="H1376"/>
    </row>
    <row r="1377" spans="2:8" x14ac:dyDescent="0.35">
      <c r="B1377"/>
      <c r="C1377"/>
      <c r="H1377"/>
    </row>
    <row r="1378" spans="2:8" x14ac:dyDescent="0.35">
      <c r="B1378"/>
      <c r="C1378"/>
      <c r="H1378"/>
    </row>
    <row r="1379" spans="2:8" x14ac:dyDescent="0.35">
      <c r="B1379"/>
      <c r="C1379"/>
      <c r="H1379"/>
    </row>
    <row r="1380" spans="2:8" x14ac:dyDescent="0.35">
      <c r="B1380"/>
      <c r="C1380"/>
      <c r="H1380"/>
    </row>
    <row r="1381" spans="2:8" x14ac:dyDescent="0.35">
      <c r="B1381"/>
      <c r="C1381"/>
      <c r="H1381"/>
    </row>
    <row r="1382" spans="2:8" x14ac:dyDescent="0.35">
      <c r="B1382"/>
      <c r="C1382"/>
      <c r="H1382"/>
    </row>
    <row r="1383" spans="2:8" x14ac:dyDescent="0.35">
      <c r="B1383"/>
      <c r="C1383"/>
      <c r="H1383"/>
    </row>
    <row r="1384" spans="2:8" x14ac:dyDescent="0.35">
      <c r="B1384"/>
      <c r="C1384"/>
      <c r="H1384"/>
    </row>
    <row r="1385" spans="2:8" x14ac:dyDescent="0.35">
      <c r="B1385"/>
      <c r="C1385"/>
      <c r="H1385"/>
    </row>
    <row r="1386" spans="2:8" x14ac:dyDescent="0.35">
      <c r="B1386"/>
      <c r="C1386"/>
      <c r="H1386"/>
    </row>
    <row r="1387" spans="2:8" x14ac:dyDescent="0.35">
      <c r="B1387"/>
      <c r="C1387"/>
      <c r="H1387"/>
    </row>
    <row r="1388" spans="2:8" x14ac:dyDescent="0.35">
      <c r="B1388"/>
      <c r="C1388"/>
      <c r="H1388"/>
    </row>
    <row r="1389" spans="2:8" x14ac:dyDescent="0.35">
      <c r="B1389"/>
      <c r="C1389"/>
      <c r="H1389"/>
    </row>
    <row r="1390" spans="2:8" x14ac:dyDescent="0.35">
      <c r="B1390"/>
      <c r="C1390"/>
      <c r="H1390"/>
    </row>
    <row r="1391" spans="2:8" x14ac:dyDescent="0.35">
      <c r="B1391"/>
      <c r="C1391"/>
      <c r="H1391"/>
    </row>
    <row r="1392" spans="2:8" x14ac:dyDescent="0.35">
      <c r="B1392"/>
      <c r="C1392"/>
      <c r="H1392"/>
    </row>
    <row r="1393" spans="2:8" x14ac:dyDescent="0.35">
      <c r="B1393"/>
      <c r="C1393"/>
      <c r="H1393"/>
    </row>
    <row r="1394" spans="2:8" x14ac:dyDescent="0.35">
      <c r="B1394"/>
      <c r="C1394"/>
      <c r="H1394"/>
    </row>
    <row r="1395" spans="2:8" x14ac:dyDescent="0.35">
      <c r="B1395"/>
      <c r="C1395"/>
      <c r="H1395"/>
    </row>
    <row r="1396" spans="2:8" x14ac:dyDescent="0.35">
      <c r="B1396"/>
      <c r="C1396"/>
      <c r="H1396"/>
    </row>
    <row r="1397" spans="2:8" x14ac:dyDescent="0.35">
      <c r="B1397"/>
      <c r="C1397"/>
      <c r="H1397"/>
    </row>
    <row r="1398" spans="2:8" x14ac:dyDescent="0.35">
      <c r="B1398"/>
      <c r="C1398"/>
      <c r="H1398"/>
    </row>
    <row r="1399" spans="2:8" x14ac:dyDescent="0.35">
      <c r="B1399"/>
      <c r="C1399"/>
      <c r="H1399"/>
    </row>
    <row r="1400" spans="2:8" x14ac:dyDescent="0.35">
      <c r="B1400"/>
      <c r="C1400"/>
      <c r="H1400"/>
    </row>
    <row r="1401" spans="2:8" x14ac:dyDescent="0.35">
      <c r="B1401"/>
      <c r="C1401"/>
      <c r="H1401"/>
    </row>
    <row r="1402" spans="2:8" x14ac:dyDescent="0.35">
      <c r="B1402"/>
      <c r="C1402"/>
      <c r="H1402"/>
    </row>
    <row r="1403" spans="2:8" x14ac:dyDescent="0.35">
      <c r="B1403"/>
      <c r="C1403"/>
      <c r="H1403"/>
    </row>
    <row r="1404" spans="2:8" x14ac:dyDescent="0.35">
      <c r="B1404"/>
      <c r="C1404"/>
      <c r="H1404"/>
    </row>
    <row r="1405" spans="2:8" x14ac:dyDescent="0.35">
      <c r="B1405"/>
      <c r="C1405"/>
      <c r="H1405"/>
    </row>
    <row r="1406" spans="2:8" x14ac:dyDescent="0.35">
      <c r="B1406"/>
      <c r="C1406"/>
      <c r="H1406"/>
    </row>
    <row r="1407" spans="2:8" x14ac:dyDescent="0.35">
      <c r="B1407"/>
      <c r="C1407"/>
      <c r="H1407"/>
    </row>
    <row r="1408" spans="2:8" x14ac:dyDescent="0.35">
      <c r="B1408"/>
      <c r="C1408"/>
      <c r="H1408"/>
    </row>
    <row r="1409" spans="2:8" x14ac:dyDescent="0.35">
      <c r="B1409"/>
      <c r="C1409"/>
      <c r="H1409"/>
    </row>
    <row r="1410" spans="2:8" x14ac:dyDescent="0.35">
      <c r="B1410"/>
      <c r="C1410"/>
      <c r="H1410"/>
    </row>
    <row r="1411" spans="2:8" x14ac:dyDescent="0.35">
      <c r="B1411"/>
      <c r="C1411"/>
      <c r="H1411"/>
    </row>
    <row r="1412" spans="2:8" x14ac:dyDescent="0.35">
      <c r="B1412"/>
      <c r="C1412"/>
      <c r="H1412"/>
    </row>
    <row r="1413" spans="2:8" x14ac:dyDescent="0.35">
      <c r="B1413"/>
      <c r="C1413"/>
      <c r="H1413"/>
    </row>
    <row r="1414" spans="2:8" x14ac:dyDescent="0.35">
      <c r="B1414"/>
      <c r="C1414"/>
      <c r="H1414"/>
    </row>
    <row r="1415" spans="2:8" x14ac:dyDescent="0.35">
      <c r="B1415"/>
      <c r="C1415"/>
      <c r="H1415"/>
    </row>
    <row r="1416" spans="2:8" x14ac:dyDescent="0.35">
      <c r="B1416"/>
      <c r="C1416"/>
      <c r="H1416"/>
    </row>
    <row r="1417" spans="2:8" x14ac:dyDescent="0.35">
      <c r="B1417"/>
      <c r="C1417"/>
      <c r="H1417"/>
    </row>
    <row r="1418" spans="2:8" x14ac:dyDescent="0.35">
      <c r="B1418"/>
      <c r="C1418"/>
      <c r="H1418"/>
    </row>
    <row r="1419" spans="2:8" x14ac:dyDescent="0.35">
      <c r="B1419"/>
      <c r="C1419"/>
      <c r="H1419"/>
    </row>
    <row r="1420" spans="2:8" x14ac:dyDescent="0.35">
      <c r="B1420"/>
      <c r="C1420"/>
      <c r="H1420"/>
    </row>
    <row r="1421" spans="2:8" x14ac:dyDescent="0.35">
      <c r="B1421"/>
      <c r="C1421"/>
      <c r="H1421"/>
    </row>
    <row r="1422" spans="2:8" x14ac:dyDescent="0.35">
      <c r="B1422"/>
      <c r="C1422"/>
      <c r="H1422"/>
    </row>
    <row r="1423" spans="2:8" x14ac:dyDescent="0.35">
      <c r="B1423"/>
      <c r="C1423"/>
      <c r="H1423"/>
    </row>
    <row r="1424" spans="2:8" x14ac:dyDescent="0.35">
      <c r="B1424"/>
      <c r="C1424"/>
      <c r="H1424"/>
    </row>
    <row r="1425" spans="2:8" x14ac:dyDescent="0.35">
      <c r="B1425"/>
      <c r="C1425"/>
      <c r="H1425"/>
    </row>
    <row r="1426" spans="2:8" x14ac:dyDescent="0.35">
      <c r="B1426"/>
      <c r="C1426"/>
      <c r="H1426"/>
    </row>
    <row r="1427" spans="2:8" x14ac:dyDescent="0.35">
      <c r="B1427"/>
      <c r="C1427"/>
      <c r="H1427"/>
    </row>
    <row r="1428" spans="2:8" x14ac:dyDescent="0.35">
      <c r="B1428"/>
      <c r="C1428"/>
      <c r="H1428"/>
    </row>
    <row r="1429" spans="2:8" x14ac:dyDescent="0.35">
      <c r="B1429"/>
      <c r="C1429"/>
      <c r="H1429"/>
    </row>
    <row r="1430" spans="2:8" x14ac:dyDescent="0.35">
      <c r="B1430"/>
      <c r="C1430"/>
      <c r="H1430"/>
    </row>
    <row r="1431" spans="2:8" x14ac:dyDescent="0.35">
      <c r="B1431"/>
      <c r="C1431"/>
      <c r="H1431"/>
    </row>
    <row r="1432" spans="2:8" x14ac:dyDescent="0.35">
      <c r="B1432"/>
      <c r="C1432"/>
      <c r="H1432"/>
    </row>
    <row r="1433" spans="2:8" x14ac:dyDescent="0.35">
      <c r="B1433"/>
      <c r="C1433"/>
      <c r="H1433"/>
    </row>
    <row r="1434" spans="2:8" x14ac:dyDescent="0.35">
      <c r="B1434"/>
      <c r="C1434"/>
      <c r="H1434"/>
    </row>
    <row r="1435" spans="2:8" x14ac:dyDescent="0.35">
      <c r="B1435"/>
      <c r="C1435"/>
      <c r="H1435"/>
    </row>
    <row r="1436" spans="2:8" x14ac:dyDescent="0.35">
      <c r="B1436"/>
      <c r="C1436"/>
      <c r="H1436"/>
    </row>
    <row r="1437" spans="2:8" x14ac:dyDescent="0.35">
      <c r="B1437"/>
      <c r="C1437"/>
      <c r="H1437"/>
    </row>
    <row r="1438" spans="2:8" x14ac:dyDescent="0.35">
      <c r="B1438"/>
      <c r="C1438"/>
      <c r="H1438"/>
    </row>
    <row r="1439" spans="2:8" x14ac:dyDescent="0.35">
      <c r="B1439"/>
      <c r="C1439"/>
      <c r="H1439"/>
    </row>
    <row r="1440" spans="2:8" x14ac:dyDescent="0.35">
      <c r="B1440"/>
      <c r="C1440"/>
      <c r="H1440"/>
    </row>
    <row r="1441" spans="2:8" x14ac:dyDescent="0.35">
      <c r="B1441"/>
      <c r="C1441"/>
      <c r="H1441"/>
    </row>
    <row r="1442" spans="2:8" x14ac:dyDescent="0.35">
      <c r="B1442"/>
      <c r="C1442"/>
      <c r="H1442"/>
    </row>
    <row r="1443" spans="2:8" x14ac:dyDescent="0.35">
      <c r="B1443"/>
      <c r="C1443"/>
      <c r="H1443"/>
    </row>
    <row r="1444" spans="2:8" x14ac:dyDescent="0.35">
      <c r="B1444"/>
      <c r="C1444"/>
      <c r="H1444"/>
    </row>
    <row r="1445" spans="2:8" x14ac:dyDescent="0.35">
      <c r="B1445"/>
      <c r="C1445"/>
      <c r="H1445"/>
    </row>
    <row r="1446" spans="2:8" x14ac:dyDescent="0.35">
      <c r="B1446"/>
      <c r="C1446"/>
      <c r="H1446"/>
    </row>
    <row r="1447" spans="2:8" x14ac:dyDescent="0.35">
      <c r="B1447"/>
      <c r="C1447"/>
      <c r="H1447"/>
    </row>
    <row r="1448" spans="2:8" x14ac:dyDescent="0.35">
      <c r="B1448"/>
      <c r="C1448"/>
      <c r="H1448"/>
    </row>
    <row r="1449" spans="2:8" x14ac:dyDescent="0.35">
      <c r="B1449"/>
      <c r="C1449"/>
      <c r="H1449"/>
    </row>
    <row r="1450" spans="2:8" x14ac:dyDescent="0.35">
      <c r="B1450"/>
      <c r="C1450"/>
      <c r="H1450"/>
    </row>
    <row r="1451" spans="2:8" x14ac:dyDescent="0.35">
      <c r="B1451"/>
      <c r="C1451"/>
      <c r="H1451"/>
    </row>
    <row r="1452" spans="2:8" x14ac:dyDescent="0.35">
      <c r="B1452"/>
      <c r="C1452"/>
      <c r="H1452"/>
    </row>
    <row r="1453" spans="2:8" x14ac:dyDescent="0.35">
      <c r="B1453"/>
      <c r="C1453"/>
      <c r="H1453"/>
    </row>
    <row r="1454" spans="2:8" x14ac:dyDescent="0.35">
      <c r="B1454"/>
      <c r="C1454"/>
      <c r="H1454"/>
    </row>
    <row r="1455" spans="2:8" x14ac:dyDescent="0.35">
      <c r="B1455"/>
      <c r="C1455"/>
      <c r="H1455"/>
    </row>
    <row r="1456" spans="2:8" x14ac:dyDescent="0.35">
      <c r="B1456"/>
      <c r="C1456"/>
      <c r="H1456"/>
    </row>
    <row r="1457" spans="2:8" x14ac:dyDescent="0.35">
      <c r="B1457"/>
      <c r="C1457"/>
      <c r="H1457"/>
    </row>
    <row r="1458" spans="2:8" x14ac:dyDescent="0.35">
      <c r="B1458"/>
      <c r="C1458"/>
      <c r="H1458"/>
    </row>
    <row r="1459" spans="2:8" x14ac:dyDescent="0.35">
      <c r="B1459"/>
      <c r="C1459"/>
      <c r="H1459"/>
    </row>
    <row r="1460" spans="2:8" x14ac:dyDescent="0.35">
      <c r="B1460"/>
      <c r="C1460"/>
      <c r="H1460"/>
    </row>
    <row r="1461" spans="2:8" x14ac:dyDescent="0.35">
      <c r="B1461"/>
      <c r="C1461"/>
      <c r="H1461"/>
    </row>
    <row r="1462" spans="2:8" x14ac:dyDescent="0.35">
      <c r="B1462"/>
      <c r="C1462"/>
      <c r="H1462"/>
    </row>
    <row r="1463" spans="2:8" x14ac:dyDescent="0.35">
      <c r="B1463"/>
      <c r="C1463"/>
      <c r="H1463"/>
    </row>
    <row r="1464" spans="2:8" x14ac:dyDescent="0.35">
      <c r="B1464"/>
      <c r="C1464"/>
      <c r="H1464"/>
    </row>
    <row r="1465" spans="2:8" x14ac:dyDescent="0.35">
      <c r="B1465"/>
      <c r="C1465"/>
      <c r="H1465"/>
    </row>
    <row r="1466" spans="2:8" x14ac:dyDescent="0.35">
      <c r="B1466"/>
      <c r="C1466"/>
      <c r="H1466"/>
    </row>
    <row r="1467" spans="2:8" x14ac:dyDescent="0.35">
      <c r="B1467"/>
      <c r="C1467"/>
      <c r="H1467"/>
    </row>
    <row r="1468" spans="2:8" x14ac:dyDescent="0.35">
      <c r="B1468"/>
      <c r="C1468"/>
      <c r="H1468"/>
    </row>
    <row r="1469" spans="2:8" x14ac:dyDescent="0.35">
      <c r="B1469"/>
      <c r="C1469"/>
      <c r="H1469"/>
    </row>
    <row r="1470" spans="2:8" x14ac:dyDescent="0.35">
      <c r="B1470"/>
      <c r="C1470"/>
      <c r="H1470"/>
    </row>
    <row r="1471" spans="2:8" x14ac:dyDescent="0.35">
      <c r="B1471"/>
      <c r="C1471"/>
      <c r="H1471"/>
    </row>
    <row r="1472" spans="2:8" x14ac:dyDescent="0.35">
      <c r="B1472"/>
      <c r="C1472"/>
      <c r="H1472"/>
    </row>
    <row r="1473" spans="2:8" x14ac:dyDescent="0.35">
      <c r="B1473"/>
      <c r="C1473"/>
      <c r="H1473"/>
    </row>
    <row r="1474" spans="2:8" x14ac:dyDescent="0.35">
      <c r="B1474"/>
      <c r="C1474"/>
      <c r="H1474"/>
    </row>
    <row r="1475" spans="2:8" x14ac:dyDescent="0.35">
      <c r="B1475"/>
      <c r="C1475"/>
      <c r="H1475"/>
    </row>
    <row r="1476" spans="2:8" x14ac:dyDescent="0.35">
      <c r="B1476"/>
      <c r="C1476"/>
      <c r="H1476"/>
    </row>
    <row r="1477" spans="2:8" x14ac:dyDescent="0.35">
      <c r="B1477"/>
      <c r="C1477"/>
      <c r="H1477"/>
    </row>
    <row r="1478" spans="2:8" x14ac:dyDescent="0.35">
      <c r="B1478"/>
      <c r="C1478"/>
      <c r="H1478"/>
    </row>
    <row r="1479" spans="2:8" x14ac:dyDescent="0.35">
      <c r="B1479"/>
      <c r="C1479"/>
      <c r="H1479"/>
    </row>
    <row r="1480" spans="2:8" x14ac:dyDescent="0.35">
      <c r="B1480"/>
      <c r="C1480"/>
      <c r="H1480"/>
    </row>
    <row r="1481" spans="2:8" x14ac:dyDescent="0.35">
      <c r="B1481"/>
      <c r="C1481"/>
      <c r="H1481"/>
    </row>
    <row r="1482" spans="2:8" x14ac:dyDescent="0.35">
      <c r="B1482"/>
      <c r="C1482"/>
      <c r="H1482"/>
    </row>
    <row r="1483" spans="2:8" x14ac:dyDescent="0.35">
      <c r="B1483"/>
      <c r="C1483"/>
      <c r="H1483"/>
    </row>
    <row r="1484" spans="2:8" x14ac:dyDescent="0.35">
      <c r="B1484"/>
      <c r="C1484"/>
      <c r="H1484"/>
    </row>
    <row r="1485" spans="2:8" x14ac:dyDescent="0.35">
      <c r="B1485"/>
      <c r="C1485"/>
      <c r="H1485"/>
    </row>
    <row r="1486" spans="2:8" x14ac:dyDescent="0.35">
      <c r="B1486"/>
      <c r="C1486"/>
      <c r="H1486"/>
    </row>
    <row r="1487" spans="2:8" x14ac:dyDescent="0.35">
      <c r="B1487"/>
      <c r="C1487"/>
      <c r="H1487"/>
    </row>
    <row r="1488" spans="2:8" x14ac:dyDescent="0.35">
      <c r="B1488"/>
      <c r="C1488"/>
      <c r="H1488"/>
    </row>
    <row r="1489" spans="2:8" x14ac:dyDescent="0.35">
      <c r="B1489"/>
      <c r="C1489"/>
      <c r="H1489"/>
    </row>
    <row r="1490" spans="2:8" x14ac:dyDescent="0.35">
      <c r="B1490"/>
      <c r="C1490"/>
      <c r="H1490"/>
    </row>
    <row r="1491" spans="2:8" x14ac:dyDescent="0.35">
      <c r="B1491"/>
      <c r="C1491"/>
      <c r="H1491"/>
    </row>
    <row r="1492" spans="2:8" x14ac:dyDescent="0.35">
      <c r="B1492"/>
      <c r="C1492"/>
      <c r="H1492"/>
    </row>
    <row r="1493" spans="2:8" x14ac:dyDescent="0.35">
      <c r="B1493"/>
      <c r="C1493"/>
      <c r="H1493"/>
    </row>
    <row r="1494" spans="2:8" x14ac:dyDescent="0.35">
      <c r="B1494"/>
      <c r="C1494"/>
      <c r="H1494"/>
    </row>
    <row r="1495" spans="2:8" x14ac:dyDescent="0.35">
      <c r="B1495"/>
      <c r="C1495"/>
      <c r="H1495"/>
    </row>
    <row r="1496" spans="2:8" x14ac:dyDescent="0.35">
      <c r="B1496"/>
      <c r="C1496"/>
      <c r="H1496"/>
    </row>
    <row r="1497" spans="2:8" x14ac:dyDescent="0.35">
      <c r="B1497"/>
      <c r="C1497"/>
      <c r="H1497"/>
    </row>
    <row r="1498" spans="2:8" x14ac:dyDescent="0.35">
      <c r="B1498"/>
      <c r="C1498"/>
      <c r="H1498"/>
    </row>
    <row r="1499" spans="2:8" x14ac:dyDescent="0.35">
      <c r="B1499"/>
      <c r="C1499"/>
      <c r="H1499"/>
    </row>
    <row r="1500" spans="2:8" x14ac:dyDescent="0.35">
      <c r="B1500"/>
      <c r="C1500"/>
      <c r="H1500"/>
    </row>
    <row r="1501" spans="2:8" x14ac:dyDescent="0.35">
      <c r="B1501"/>
      <c r="C1501"/>
      <c r="H1501"/>
    </row>
    <row r="1502" spans="2:8" x14ac:dyDescent="0.35">
      <c r="B1502"/>
      <c r="C1502"/>
      <c r="H1502"/>
    </row>
    <row r="1503" spans="2:8" x14ac:dyDescent="0.35">
      <c r="B1503"/>
      <c r="C1503"/>
      <c r="H1503"/>
    </row>
    <row r="1504" spans="2:8" x14ac:dyDescent="0.35">
      <c r="B1504"/>
      <c r="C1504"/>
      <c r="H1504"/>
    </row>
    <row r="1505" spans="2:8" x14ac:dyDescent="0.35">
      <c r="B1505"/>
      <c r="C1505"/>
      <c r="H1505"/>
    </row>
    <row r="1506" spans="2:8" x14ac:dyDescent="0.35">
      <c r="B1506"/>
      <c r="C1506"/>
      <c r="H1506"/>
    </row>
    <row r="1507" spans="2:8" x14ac:dyDescent="0.35">
      <c r="B1507"/>
      <c r="C1507"/>
      <c r="H1507"/>
    </row>
    <row r="1508" spans="2:8" x14ac:dyDescent="0.35">
      <c r="B1508"/>
      <c r="C1508"/>
      <c r="H1508"/>
    </row>
    <row r="1509" spans="2:8" x14ac:dyDescent="0.35">
      <c r="B1509"/>
      <c r="C1509"/>
      <c r="H1509"/>
    </row>
    <row r="1510" spans="2:8" x14ac:dyDescent="0.35">
      <c r="B1510"/>
      <c r="C1510"/>
      <c r="H1510"/>
    </row>
    <row r="1511" spans="2:8" x14ac:dyDescent="0.35">
      <c r="B1511"/>
      <c r="C1511"/>
      <c r="H1511"/>
    </row>
    <row r="1512" spans="2:8" x14ac:dyDescent="0.35">
      <c r="B1512"/>
      <c r="C1512"/>
      <c r="H1512"/>
    </row>
    <row r="1513" spans="2:8" x14ac:dyDescent="0.35">
      <c r="B1513"/>
      <c r="C1513"/>
      <c r="H1513"/>
    </row>
    <row r="1514" spans="2:8" x14ac:dyDescent="0.35">
      <c r="B1514"/>
      <c r="C1514"/>
      <c r="H1514"/>
    </row>
    <row r="1515" spans="2:8" x14ac:dyDescent="0.35">
      <c r="B1515"/>
      <c r="C1515"/>
      <c r="H1515"/>
    </row>
    <row r="1516" spans="2:8" x14ac:dyDescent="0.35">
      <c r="B1516"/>
      <c r="C1516"/>
      <c r="H1516"/>
    </row>
    <row r="1517" spans="2:8" x14ac:dyDescent="0.35">
      <c r="B1517"/>
      <c r="C1517"/>
      <c r="H1517"/>
    </row>
    <row r="1518" spans="2:8" x14ac:dyDescent="0.35">
      <c r="B1518"/>
      <c r="C1518"/>
      <c r="H1518"/>
    </row>
    <row r="1519" spans="2:8" x14ac:dyDescent="0.35">
      <c r="B1519"/>
      <c r="C1519"/>
      <c r="H1519"/>
    </row>
    <row r="1520" spans="2:8" x14ac:dyDescent="0.35">
      <c r="B1520"/>
      <c r="C1520"/>
      <c r="H1520"/>
    </row>
    <row r="1521" spans="2:8" x14ac:dyDescent="0.35">
      <c r="B1521"/>
      <c r="C1521"/>
      <c r="H1521"/>
    </row>
    <row r="1522" spans="2:8" x14ac:dyDescent="0.35">
      <c r="B1522"/>
      <c r="C1522"/>
      <c r="H1522"/>
    </row>
    <row r="1523" spans="2:8" x14ac:dyDescent="0.35">
      <c r="B1523"/>
      <c r="C1523"/>
      <c r="H1523"/>
    </row>
    <row r="1524" spans="2:8" x14ac:dyDescent="0.35">
      <c r="B1524"/>
      <c r="C1524"/>
      <c r="H1524"/>
    </row>
    <row r="1525" spans="2:8" x14ac:dyDescent="0.35">
      <c r="B1525"/>
      <c r="C1525"/>
      <c r="H1525"/>
    </row>
    <row r="1526" spans="2:8" x14ac:dyDescent="0.35">
      <c r="B1526"/>
      <c r="C1526"/>
      <c r="H1526"/>
    </row>
    <row r="1527" spans="2:8" x14ac:dyDescent="0.35">
      <c r="B1527"/>
      <c r="C1527"/>
      <c r="H1527"/>
    </row>
    <row r="1528" spans="2:8" x14ac:dyDescent="0.35">
      <c r="B1528"/>
      <c r="C1528"/>
      <c r="H1528"/>
    </row>
    <row r="1529" spans="2:8" x14ac:dyDescent="0.35">
      <c r="B1529"/>
      <c r="C1529"/>
      <c r="H1529"/>
    </row>
    <row r="1530" spans="2:8" x14ac:dyDescent="0.35">
      <c r="B1530"/>
      <c r="C1530"/>
      <c r="H1530"/>
    </row>
    <row r="1531" spans="2:8" x14ac:dyDescent="0.35">
      <c r="B1531"/>
      <c r="C1531"/>
      <c r="H1531"/>
    </row>
    <row r="1532" spans="2:8" x14ac:dyDescent="0.35">
      <c r="B1532"/>
      <c r="C1532"/>
      <c r="H1532"/>
    </row>
    <row r="1533" spans="2:8" x14ac:dyDescent="0.35">
      <c r="B1533"/>
      <c r="C1533"/>
      <c r="H1533"/>
    </row>
    <row r="1534" spans="2:8" x14ac:dyDescent="0.35">
      <c r="B1534"/>
      <c r="C1534"/>
      <c r="H1534"/>
    </row>
    <row r="1535" spans="2:8" x14ac:dyDescent="0.35">
      <c r="B1535"/>
      <c r="C1535"/>
      <c r="H1535"/>
    </row>
    <row r="1536" spans="2:8" x14ac:dyDescent="0.35">
      <c r="B1536"/>
      <c r="C1536"/>
      <c r="H1536"/>
    </row>
    <row r="1537" spans="2:8" x14ac:dyDescent="0.35">
      <c r="B1537"/>
      <c r="C1537"/>
      <c r="H1537"/>
    </row>
    <row r="1538" spans="2:8" x14ac:dyDescent="0.35">
      <c r="B1538"/>
      <c r="C1538"/>
      <c r="H1538"/>
    </row>
    <row r="1539" spans="2:8" x14ac:dyDescent="0.35">
      <c r="B1539"/>
      <c r="C1539"/>
      <c r="H1539"/>
    </row>
    <row r="1540" spans="2:8" x14ac:dyDescent="0.35">
      <c r="B1540"/>
      <c r="C1540"/>
      <c r="H1540"/>
    </row>
    <row r="1541" spans="2:8" x14ac:dyDescent="0.35">
      <c r="B1541"/>
      <c r="C1541"/>
      <c r="H1541"/>
    </row>
    <row r="1542" spans="2:8" x14ac:dyDescent="0.35">
      <c r="B1542"/>
      <c r="C1542"/>
      <c r="H1542"/>
    </row>
    <row r="1543" spans="2:8" x14ac:dyDescent="0.35">
      <c r="B1543"/>
      <c r="C1543"/>
      <c r="H1543"/>
    </row>
    <row r="1544" spans="2:8" x14ac:dyDescent="0.35">
      <c r="B1544"/>
      <c r="C1544"/>
      <c r="H1544"/>
    </row>
    <row r="1545" spans="2:8" x14ac:dyDescent="0.35">
      <c r="B1545"/>
      <c r="C1545"/>
      <c r="H1545"/>
    </row>
    <row r="1546" spans="2:8" x14ac:dyDescent="0.35">
      <c r="B1546"/>
      <c r="C1546"/>
      <c r="H1546"/>
    </row>
    <row r="1547" spans="2:8" x14ac:dyDescent="0.35">
      <c r="B1547"/>
      <c r="C1547"/>
      <c r="H1547"/>
    </row>
    <row r="1548" spans="2:8" x14ac:dyDescent="0.35">
      <c r="B1548"/>
      <c r="C1548"/>
      <c r="H1548"/>
    </row>
    <row r="1549" spans="2:8" x14ac:dyDescent="0.35">
      <c r="B1549"/>
      <c r="C1549"/>
      <c r="H1549"/>
    </row>
    <row r="1550" spans="2:8" x14ac:dyDescent="0.35">
      <c r="B1550"/>
      <c r="C1550"/>
      <c r="H1550"/>
    </row>
    <row r="1551" spans="2:8" x14ac:dyDescent="0.35">
      <c r="B1551"/>
      <c r="C1551"/>
      <c r="H1551"/>
    </row>
    <row r="1552" spans="2:8" x14ac:dyDescent="0.35">
      <c r="B1552"/>
      <c r="C1552"/>
      <c r="H1552"/>
    </row>
    <row r="1553" spans="2:8" x14ac:dyDescent="0.35">
      <c r="B1553"/>
      <c r="C1553"/>
      <c r="H1553"/>
    </row>
    <row r="1554" spans="2:8" x14ac:dyDescent="0.35">
      <c r="B1554"/>
      <c r="C1554"/>
      <c r="H1554"/>
    </row>
    <row r="1555" spans="2:8" x14ac:dyDescent="0.35">
      <c r="B1555"/>
      <c r="C1555"/>
      <c r="H1555"/>
    </row>
    <row r="1556" spans="2:8" x14ac:dyDescent="0.35">
      <c r="B1556"/>
      <c r="C1556"/>
      <c r="H1556"/>
    </row>
    <row r="1557" spans="2:8" x14ac:dyDescent="0.35">
      <c r="B1557"/>
      <c r="C1557"/>
      <c r="H1557"/>
    </row>
    <row r="1558" spans="2:8" x14ac:dyDescent="0.35">
      <c r="B1558"/>
      <c r="C1558"/>
      <c r="H1558"/>
    </row>
    <row r="1559" spans="2:8" x14ac:dyDescent="0.35">
      <c r="B1559"/>
      <c r="C1559"/>
      <c r="H1559"/>
    </row>
    <row r="1560" spans="2:8" x14ac:dyDescent="0.35">
      <c r="B1560"/>
      <c r="C1560"/>
      <c r="H1560"/>
    </row>
    <row r="1561" spans="2:8" x14ac:dyDescent="0.35">
      <c r="B1561"/>
      <c r="C1561"/>
      <c r="H1561"/>
    </row>
    <row r="1562" spans="2:8" x14ac:dyDescent="0.35">
      <c r="B1562"/>
      <c r="C1562"/>
      <c r="H1562"/>
    </row>
    <row r="1563" spans="2:8" x14ac:dyDescent="0.35">
      <c r="B1563"/>
      <c r="C1563"/>
      <c r="H1563"/>
    </row>
    <row r="1564" spans="2:8" x14ac:dyDescent="0.35">
      <c r="B1564"/>
      <c r="C1564"/>
      <c r="H1564"/>
    </row>
    <row r="1565" spans="2:8" x14ac:dyDescent="0.35">
      <c r="B1565"/>
      <c r="C1565"/>
      <c r="H1565"/>
    </row>
    <row r="1566" spans="2:8" x14ac:dyDescent="0.35">
      <c r="B1566"/>
      <c r="C1566"/>
      <c r="H1566"/>
    </row>
    <row r="1567" spans="2:8" x14ac:dyDescent="0.35">
      <c r="B1567"/>
      <c r="C1567"/>
      <c r="H1567"/>
    </row>
    <row r="1568" spans="2:8" x14ac:dyDescent="0.35">
      <c r="B1568"/>
      <c r="C1568"/>
      <c r="H1568"/>
    </row>
    <row r="1569" spans="2:8" x14ac:dyDescent="0.35">
      <c r="B1569"/>
      <c r="C1569"/>
      <c r="H1569"/>
    </row>
    <row r="1570" spans="2:8" x14ac:dyDescent="0.35">
      <c r="B1570"/>
      <c r="C1570"/>
      <c r="H1570"/>
    </row>
    <row r="1571" spans="2:8" x14ac:dyDescent="0.35">
      <c r="B1571"/>
      <c r="C1571"/>
      <c r="H1571"/>
    </row>
    <row r="1572" spans="2:8" x14ac:dyDescent="0.35">
      <c r="B1572"/>
      <c r="C1572"/>
      <c r="H1572"/>
    </row>
    <row r="1573" spans="2:8" x14ac:dyDescent="0.35">
      <c r="B1573"/>
      <c r="C1573"/>
      <c r="H1573"/>
    </row>
    <row r="1574" spans="2:8" x14ac:dyDescent="0.35">
      <c r="B1574"/>
      <c r="C1574"/>
      <c r="H1574"/>
    </row>
    <row r="1575" spans="2:8" x14ac:dyDescent="0.35">
      <c r="B1575"/>
      <c r="C1575"/>
      <c r="H1575"/>
    </row>
    <row r="1576" spans="2:8" x14ac:dyDescent="0.35">
      <c r="B1576"/>
      <c r="C1576"/>
      <c r="H1576"/>
    </row>
    <row r="1577" spans="2:8" x14ac:dyDescent="0.35">
      <c r="B1577"/>
      <c r="C1577"/>
      <c r="H1577"/>
    </row>
    <row r="1578" spans="2:8" x14ac:dyDescent="0.35">
      <c r="B1578"/>
      <c r="C1578"/>
      <c r="H1578"/>
    </row>
    <row r="1579" spans="2:8" x14ac:dyDescent="0.35">
      <c r="B1579"/>
      <c r="C1579"/>
      <c r="H1579"/>
    </row>
    <row r="1580" spans="2:8" x14ac:dyDescent="0.35">
      <c r="B1580"/>
      <c r="C1580"/>
      <c r="H1580"/>
    </row>
    <row r="1581" spans="2:8" x14ac:dyDescent="0.35">
      <c r="B1581"/>
      <c r="C1581"/>
      <c r="H1581"/>
    </row>
    <row r="1582" spans="2:8" x14ac:dyDescent="0.35">
      <c r="B1582"/>
      <c r="C1582"/>
      <c r="H1582"/>
    </row>
    <row r="1583" spans="2:8" x14ac:dyDescent="0.35">
      <c r="B1583"/>
      <c r="C1583"/>
      <c r="H1583"/>
    </row>
    <row r="1584" spans="2:8" x14ac:dyDescent="0.35">
      <c r="B1584"/>
      <c r="C1584"/>
      <c r="H1584"/>
    </row>
    <row r="1585" spans="2:8" x14ac:dyDescent="0.35">
      <c r="B1585"/>
      <c r="C1585"/>
      <c r="H1585"/>
    </row>
    <row r="1586" spans="2:8" x14ac:dyDescent="0.35">
      <c r="B1586"/>
      <c r="C1586"/>
      <c r="H1586"/>
    </row>
    <row r="1587" spans="2:8" x14ac:dyDescent="0.35">
      <c r="B1587"/>
      <c r="C1587"/>
      <c r="H1587"/>
    </row>
    <row r="1588" spans="2:8" x14ac:dyDescent="0.35">
      <c r="B1588"/>
      <c r="C1588"/>
      <c r="H1588"/>
    </row>
    <row r="1589" spans="2:8" x14ac:dyDescent="0.35">
      <c r="B1589"/>
      <c r="C1589"/>
      <c r="H1589"/>
    </row>
    <row r="1590" spans="2:8" x14ac:dyDescent="0.35">
      <c r="B1590"/>
      <c r="C1590"/>
      <c r="H1590"/>
    </row>
    <row r="1591" spans="2:8" x14ac:dyDescent="0.35">
      <c r="B1591"/>
      <c r="C1591"/>
      <c r="H1591"/>
    </row>
    <row r="1592" spans="2:8" x14ac:dyDescent="0.35">
      <c r="B1592"/>
      <c r="C1592"/>
      <c r="H1592"/>
    </row>
    <row r="1593" spans="2:8" x14ac:dyDescent="0.35">
      <c r="B1593"/>
      <c r="C1593"/>
      <c r="H1593"/>
    </row>
    <row r="1594" spans="2:8" x14ac:dyDescent="0.35">
      <c r="B1594"/>
      <c r="C1594"/>
      <c r="H1594"/>
    </row>
    <row r="1595" spans="2:8" x14ac:dyDescent="0.35">
      <c r="B1595"/>
      <c r="C1595"/>
      <c r="H1595"/>
    </row>
    <row r="1596" spans="2:8" x14ac:dyDescent="0.35">
      <c r="B1596"/>
      <c r="C1596"/>
      <c r="H1596"/>
    </row>
    <row r="1597" spans="2:8" x14ac:dyDescent="0.35">
      <c r="B1597"/>
      <c r="C1597"/>
      <c r="H1597"/>
    </row>
    <row r="1598" spans="2:8" x14ac:dyDescent="0.35">
      <c r="B1598"/>
      <c r="C1598"/>
      <c r="H1598"/>
    </row>
    <row r="1599" spans="2:8" x14ac:dyDescent="0.35">
      <c r="B1599"/>
      <c r="C1599"/>
      <c r="H1599"/>
    </row>
    <row r="1600" spans="2:8" x14ac:dyDescent="0.35">
      <c r="B1600"/>
      <c r="C1600"/>
      <c r="H1600"/>
    </row>
    <row r="1601" spans="2:8" x14ac:dyDescent="0.35">
      <c r="B1601"/>
      <c r="C1601"/>
      <c r="H1601"/>
    </row>
    <row r="1602" spans="2:8" x14ac:dyDescent="0.35">
      <c r="B1602"/>
      <c r="C1602"/>
      <c r="H1602"/>
    </row>
    <row r="1603" spans="2:8" x14ac:dyDescent="0.35">
      <c r="B1603"/>
      <c r="C1603"/>
      <c r="H1603"/>
    </row>
    <row r="1604" spans="2:8" x14ac:dyDescent="0.35">
      <c r="B1604"/>
      <c r="C1604"/>
      <c r="H1604"/>
    </row>
    <row r="1605" spans="2:8" x14ac:dyDescent="0.35">
      <c r="B1605"/>
      <c r="C1605"/>
      <c r="H1605"/>
    </row>
    <row r="1606" spans="2:8" x14ac:dyDescent="0.35">
      <c r="B1606"/>
      <c r="C1606"/>
      <c r="H1606"/>
    </row>
    <row r="1607" spans="2:8" x14ac:dyDescent="0.35">
      <c r="B1607"/>
      <c r="C1607"/>
      <c r="H1607"/>
    </row>
    <row r="1608" spans="2:8" x14ac:dyDescent="0.35">
      <c r="B1608"/>
      <c r="C1608"/>
      <c r="H1608"/>
    </row>
    <row r="1609" spans="2:8" x14ac:dyDescent="0.35">
      <c r="B1609"/>
      <c r="C1609"/>
      <c r="H1609"/>
    </row>
    <row r="1610" spans="2:8" x14ac:dyDescent="0.35">
      <c r="B1610"/>
      <c r="C1610"/>
      <c r="H1610"/>
    </row>
    <row r="1611" spans="2:8" x14ac:dyDescent="0.35">
      <c r="B1611"/>
      <c r="C1611"/>
      <c r="H1611"/>
    </row>
    <row r="1612" spans="2:8" x14ac:dyDescent="0.35">
      <c r="B1612"/>
      <c r="C1612"/>
      <c r="H1612"/>
    </row>
    <row r="1613" spans="2:8" x14ac:dyDescent="0.35">
      <c r="B1613"/>
      <c r="C1613"/>
      <c r="H1613"/>
    </row>
    <row r="1614" spans="2:8" x14ac:dyDescent="0.35">
      <c r="B1614"/>
      <c r="C1614"/>
      <c r="H1614"/>
    </row>
    <row r="1615" spans="2:8" x14ac:dyDescent="0.35">
      <c r="B1615"/>
      <c r="C1615"/>
      <c r="H1615"/>
    </row>
    <row r="1616" spans="2:8" x14ac:dyDescent="0.35">
      <c r="B1616"/>
      <c r="C1616"/>
      <c r="H1616"/>
    </row>
    <row r="1617" spans="2:8" x14ac:dyDescent="0.35">
      <c r="B1617"/>
      <c r="C1617"/>
      <c r="H1617"/>
    </row>
    <row r="1618" spans="2:8" x14ac:dyDescent="0.35">
      <c r="B1618"/>
      <c r="C1618"/>
      <c r="H1618"/>
    </row>
    <row r="1619" spans="2:8" x14ac:dyDescent="0.35">
      <c r="B1619"/>
      <c r="C1619"/>
      <c r="H1619"/>
    </row>
    <row r="1620" spans="2:8" x14ac:dyDescent="0.35">
      <c r="B1620"/>
      <c r="C1620"/>
      <c r="H1620"/>
    </row>
    <row r="1621" spans="2:8" x14ac:dyDescent="0.35">
      <c r="B1621"/>
      <c r="C1621"/>
      <c r="H1621"/>
    </row>
    <row r="1622" spans="2:8" x14ac:dyDescent="0.35">
      <c r="B1622"/>
      <c r="C1622"/>
      <c r="H1622"/>
    </row>
    <row r="1623" spans="2:8" x14ac:dyDescent="0.35">
      <c r="B1623"/>
      <c r="C1623"/>
      <c r="H1623"/>
    </row>
    <row r="1624" spans="2:8" x14ac:dyDescent="0.35">
      <c r="B1624"/>
      <c r="C1624"/>
      <c r="H1624"/>
    </row>
    <row r="1625" spans="2:8" x14ac:dyDescent="0.35">
      <c r="B1625"/>
      <c r="C1625"/>
      <c r="H1625"/>
    </row>
    <row r="1626" spans="2:8" x14ac:dyDescent="0.35">
      <c r="B1626"/>
      <c r="C1626"/>
      <c r="H1626"/>
    </row>
    <row r="1627" spans="2:8" x14ac:dyDescent="0.35">
      <c r="B1627"/>
      <c r="C1627"/>
      <c r="H1627"/>
    </row>
    <row r="1628" spans="2:8" x14ac:dyDescent="0.35">
      <c r="B1628"/>
      <c r="C1628"/>
      <c r="H1628"/>
    </row>
    <row r="1629" spans="2:8" x14ac:dyDescent="0.35">
      <c r="B1629"/>
      <c r="C1629"/>
      <c r="H1629"/>
    </row>
    <row r="1630" spans="2:8" x14ac:dyDescent="0.35">
      <c r="B1630"/>
      <c r="C1630"/>
      <c r="H1630"/>
    </row>
    <row r="1631" spans="2:8" x14ac:dyDescent="0.35">
      <c r="B1631"/>
      <c r="C1631"/>
      <c r="H1631"/>
    </row>
    <row r="1632" spans="2:8" x14ac:dyDescent="0.35">
      <c r="B1632"/>
      <c r="C1632"/>
      <c r="H1632"/>
    </row>
    <row r="1633" spans="2:8" x14ac:dyDescent="0.35">
      <c r="B1633"/>
      <c r="C1633"/>
      <c r="H1633"/>
    </row>
    <row r="1634" spans="2:8" x14ac:dyDescent="0.35">
      <c r="B1634"/>
      <c r="C1634"/>
      <c r="H1634"/>
    </row>
    <row r="1635" spans="2:8" x14ac:dyDescent="0.35">
      <c r="B1635"/>
      <c r="C1635"/>
      <c r="H1635"/>
    </row>
    <row r="1636" spans="2:8" x14ac:dyDescent="0.35">
      <c r="B1636"/>
      <c r="C1636"/>
      <c r="H1636"/>
    </row>
    <row r="1637" spans="2:8" x14ac:dyDescent="0.35">
      <c r="B1637"/>
      <c r="C1637"/>
      <c r="H1637"/>
    </row>
    <row r="1638" spans="2:8" x14ac:dyDescent="0.35">
      <c r="B1638"/>
      <c r="C1638"/>
      <c r="H1638"/>
    </row>
    <row r="1639" spans="2:8" x14ac:dyDescent="0.35">
      <c r="B1639"/>
      <c r="C1639"/>
      <c r="H1639"/>
    </row>
    <row r="1640" spans="2:8" x14ac:dyDescent="0.35">
      <c r="B1640"/>
      <c r="C1640"/>
      <c r="H1640"/>
    </row>
    <row r="1641" spans="2:8" x14ac:dyDescent="0.35">
      <c r="B1641"/>
      <c r="C1641"/>
      <c r="H1641"/>
    </row>
    <row r="1642" spans="2:8" x14ac:dyDescent="0.35">
      <c r="B1642"/>
      <c r="C1642"/>
      <c r="H1642"/>
    </row>
    <row r="1643" spans="2:8" x14ac:dyDescent="0.35">
      <c r="B1643"/>
      <c r="C1643"/>
      <c r="H1643"/>
    </row>
    <row r="1644" spans="2:8" x14ac:dyDescent="0.35">
      <c r="B1644"/>
      <c r="C1644"/>
      <c r="H1644"/>
    </row>
    <row r="1645" spans="2:8" x14ac:dyDescent="0.35">
      <c r="B1645"/>
      <c r="C1645"/>
      <c r="H1645"/>
    </row>
    <row r="1646" spans="2:8" x14ac:dyDescent="0.35">
      <c r="B1646"/>
      <c r="C1646"/>
      <c r="H1646"/>
    </row>
    <row r="1647" spans="2:8" x14ac:dyDescent="0.35">
      <c r="B1647"/>
      <c r="C1647"/>
      <c r="H1647"/>
    </row>
    <row r="1648" spans="2:8" x14ac:dyDescent="0.35">
      <c r="B1648"/>
      <c r="C1648"/>
      <c r="H1648"/>
    </row>
    <row r="1649" spans="2:8" x14ac:dyDescent="0.35">
      <c r="B1649"/>
      <c r="C1649"/>
      <c r="H1649"/>
    </row>
    <row r="1650" spans="2:8" x14ac:dyDescent="0.35">
      <c r="B1650"/>
      <c r="C1650"/>
      <c r="H1650"/>
    </row>
    <row r="1651" spans="2:8" x14ac:dyDescent="0.35">
      <c r="B1651"/>
      <c r="C1651"/>
      <c r="H1651"/>
    </row>
    <row r="1652" spans="2:8" x14ac:dyDescent="0.35">
      <c r="B1652"/>
      <c r="C1652"/>
      <c r="H1652"/>
    </row>
    <row r="1653" spans="2:8" x14ac:dyDescent="0.35">
      <c r="B1653"/>
      <c r="C1653"/>
      <c r="H1653"/>
    </row>
    <row r="1654" spans="2:8" x14ac:dyDescent="0.35">
      <c r="B1654"/>
      <c r="C1654"/>
      <c r="H1654"/>
    </row>
    <row r="1655" spans="2:8" x14ac:dyDescent="0.35">
      <c r="B1655"/>
      <c r="C1655"/>
      <c r="H1655"/>
    </row>
    <row r="1656" spans="2:8" x14ac:dyDescent="0.35">
      <c r="B1656"/>
      <c r="C1656"/>
      <c r="H1656"/>
    </row>
    <row r="1657" spans="2:8" x14ac:dyDescent="0.35">
      <c r="B1657"/>
      <c r="C1657"/>
      <c r="H1657"/>
    </row>
    <row r="1658" spans="2:8" x14ac:dyDescent="0.35">
      <c r="B1658"/>
      <c r="C1658"/>
      <c r="H1658"/>
    </row>
    <row r="1659" spans="2:8" x14ac:dyDescent="0.35">
      <c r="B1659"/>
      <c r="C1659"/>
      <c r="H1659"/>
    </row>
    <row r="1660" spans="2:8" x14ac:dyDescent="0.35">
      <c r="B1660"/>
      <c r="C1660"/>
      <c r="H1660"/>
    </row>
    <row r="1661" spans="2:8" x14ac:dyDescent="0.35">
      <c r="B1661"/>
      <c r="C1661"/>
      <c r="H1661"/>
    </row>
    <row r="1662" spans="2:8" x14ac:dyDescent="0.35">
      <c r="B1662"/>
      <c r="C1662"/>
      <c r="H1662"/>
    </row>
    <row r="1663" spans="2:8" x14ac:dyDescent="0.35">
      <c r="B1663"/>
      <c r="C1663"/>
      <c r="H1663"/>
    </row>
    <row r="1664" spans="2:8" x14ac:dyDescent="0.35">
      <c r="B1664"/>
      <c r="C1664"/>
      <c r="H1664"/>
    </row>
    <row r="1665" spans="2:8" x14ac:dyDescent="0.35">
      <c r="B1665"/>
      <c r="C1665"/>
      <c r="H1665"/>
    </row>
    <row r="1666" spans="2:8" x14ac:dyDescent="0.35">
      <c r="B1666"/>
      <c r="C1666"/>
      <c r="H1666"/>
    </row>
    <row r="1667" spans="2:8" x14ac:dyDescent="0.35">
      <c r="B1667"/>
      <c r="C1667"/>
      <c r="H1667"/>
    </row>
    <row r="1668" spans="2:8" x14ac:dyDescent="0.35">
      <c r="B1668"/>
      <c r="C1668"/>
      <c r="H1668"/>
    </row>
    <row r="1669" spans="2:8" x14ac:dyDescent="0.35">
      <c r="B1669"/>
      <c r="C1669"/>
      <c r="H1669"/>
    </row>
    <row r="1670" spans="2:8" x14ac:dyDescent="0.35">
      <c r="B1670"/>
      <c r="C1670"/>
      <c r="H1670"/>
    </row>
    <row r="1671" spans="2:8" x14ac:dyDescent="0.35">
      <c r="B1671"/>
      <c r="C1671"/>
      <c r="H1671"/>
    </row>
    <row r="1672" spans="2:8" x14ac:dyDescent="0.35">
      <c r="B1672"/>
      <c r="C1672"/>
      <c r="H1672"/>
    </row>
    <row r="1673" spans="2:8" x14ac:dyDescent="0.35">
      <c r="B1673"/>
      <c r="C1673"/>
      <c r="H1673"/>
    </row>
    <row r="1674" spans="2:8" x14ac:dyDescent="0.35">
      <c r="B1674"/>
      <c r="C1674"/>
      <c r="H1674"/>
    </row>
    <row r="1675" spans="2:8" x14ac:dyDescent="0.35">
      <c r="B1675"/>
      <c r="C1675"/>
      <c r="H1675"/>
    </row>
    <row r="1676" spans="2:8" x14ac:dyDescent="0.35">
      <c r="B1676"/>
      <c r="C1676"/>
      <c r="H1676"/>
    </row>
    <row r="1677" spans="2:8" x14ac:dyDescent="0.35">
      <c r="B1677"/>
      <c r="C1677"/>
      <c r="H1677"/>
    </row>
    <row r="1678" spans="2:8" x14ac:dyDescent="0.35">
      <c r="B1678"/>
      <c r="C1678"/>
      <c r="H1678"/>
    </row>
    <row r="1679" spans="2:8" x14ac:dyDescent="0.35">
      <c r="B1679"/>
      <c r="C1679"/>
      <c r="H1679"/>
    </row>
    <row r="1680" spans="2:8" x14ac:dyDescent="0.35">
      <c r="B1680"/>
      <c r="C1680"/>
      <c r="H1680"/>
    </row>
    <row r="1681" spans="2:8" x14ac:dyDescent="0.35">
      <c r="B1681"/>
      <c r="C1681"/>
      <c r="H1681"/>
    </row>
    <row r="1682" spans="2:8" x14ac:dyDescent="0.35">
      <c r="B1682"/>
      <c r="C1682"/>
      <c r="H1682"/>
    </row>
    <row r="1683" spans="2:8" x14ac:dyDescent="0.35">
      <c r="B1683"/>
      <c r="C1683"/>
      <c r="H1683"/>
    </row>
    <row r="1684" spans="2:8" x14ac:dyDescent="0.35">
      <c r="B1684"/>
      <c r="C1684"/>
      <c r="H1684"/>
    </row>
    <row r="1685" spans="2:8" x14ac:dyDescent="0.35">
      <c r="B1685"/>
      <c r="C1685"/>
      <c r="H1685"/>
    </row>
    <row r="1686" spans="2:8" x14ac:dyDescent="0.35">
      <c r="B1686"/>
      <c r="C1686"/>
      <c r="H1686"/>
    </row>
    <row r="1687" spans="2:8" x14ac:dyDescent="0.35">
      <c r="B1687"/>
      <c r="C1687"/>
      <c r="H1687"/>
    </row>
    <row r="1688" spans="2:8" x14ac:dyDescent="0.35">
      <c r="B1688"/>
      <c r="C1688"/>
      <c r="H1688"/>
    </row>
    <row r="1689" spans="2:8" x14ac:dyDescent="0.35">
      <c r="B1689"/>
      <c r="C1689"/>
      <c r="H1689"/>
    </row>
    <row r="1690" spans="2:8" x14ac:dyDescent="0.35">
      <c r="B1690"/>
      <c r="C1690"/>
      <c r="H1690"/>
    </row>
    <row r="1691" spans="2:8" x14ac:dyDescent="0.35">
      <c r="B1691"/>
      <c r="C1691"/>
      <c r="H1691"/>
    </row>
    <row r="1692" spans="2:8" x14ac:dyDescent="0.35">
      <c r="B1692"/>
      <c r="C1692"/>
      <c r="H1692"/>
    </row>
    <row r="1693" spans="2:8" x14ac:dyDescent="0.35">
      <c r="B1693"/>
      <c r="C1693"/>
      <c r="H1693"/>
    </row>
    <row r="1694" spans="2:8" x14ac:dyDescent="0.35">
      <c r="B1694"/>
      <c r="C1694"/>
      <c r="H1694"/>
    </row>
    <row r="1695" spans="2:8" x14ac:dyDescent="0.35">
      <c r="B1695"/>
      <c r="C1695"/>
      <c r="H1695"/>
    </row>
    <row r="1696" spans="2:8" x14ac:dyDescent="0.35">
      <c r="B1696"/>
      <c r="C1696"/>
      <c r="H1696"/>
    </row>
    <row r="1697" spans="2:8" x14ac:dyDescent="0.35">
      <c r="B1697"/>
      <c r="C1697"/>
      <c r="H1697"/>
    </row>
    <row r="1698" spans="2:8" x14ac:dyDescent="0.35">
      <c r="B1698"/>
      <c r="C1698"/>
      <c r="H1698"/>
    </row>
    <row r="1699" spans="2:8" x14ac:dyDescent="0.35">
      <c r="B1699"/>
      <c r="C1699"/>
      <c r="H1699"/>
    </row>
    <row r="1700" spans="2:8" x14ac:dyDescent="0.35">
      <c r="B1700"/>
      <c r="C1700"/>
      <c r="H1700"/>
    </row>
    <row r="1701" spans="2:8" x14ac:dyDescent="0.35">
      <c r="B1701"/>
      <c r="C1701"/>
      <c r="H1701"/>
    </row>
    <row r="1702" spans="2:8" x14ac:dyDescent="0.35">
      <c r="B1702"/>
      <c r="C1702"/>
      <c r="H1702"/>
    </row>
    <row r="1703" spans="2:8" x14ac:dyDescent="0.35">
      <c r="B1703"/>
      <c r="C1703"/>
      <c r="H1703"/>
    </row>
    <row r="1704" spans="2:8" x14ac:dyDescent="0.35">
      <c r="B1704"/>
      <c r="C1704"/>
      <c r="H1704"/>
    </row>
    <row r="1705" spans="2:8" x14ac:dyDescent="0.35">
      <c r="B1705"/>
      <c r="C1705"/>
      <c r="H1705"/>
    </row>
    <row r="1706" spans="2:8" x14ac:dyDescent="0.35">
      <c r="B1706"/>
      <c r="C1706"/>
      <c r="H1706"/>
    </row>
    <row r="1707" spans="2:8" x14ac:dyDescent="0.35">
      <c r="B1707"/>
      <c r="C1707"/>
      <c r="H1707"/>
    </row>
    <row r="1708" spans="2:8" x14ac:dyDescent="0.35">
      <c r="B1708"/>
      <c r="C1708"/>
      <c r="H1708"/>
    </row>
    <row r="1709" spans="2:8" x14ac:dyDescent="0.35">
      <c r="B1709"/>
      <c r="C1709"/>
      <c r="H1709"/>
    </row>
    <row r="1710" spans="2:8" x14ac:dyDescent="0.35">
      <c r="B1710"/>
      <c r="C1710"/>
      <c r="H1710"/>
    </row>
    <row r="1711" spans="2:8" x14ac:dyDescent="0.35">
      <c r="B1711"/>
      <c r="C1711"/>
      <c r="H1711"/>
    </row>
    <row r="1712" spans="2:8" x14ac:dyDescent="0.35">
      <c r="B1712"/>
      <c r="C1712"/>
      <c r="H1712"/>
    </row>
    <row r="1713" spans="2:8" x14ac:dyDescent="0.35">
      <c r="B1713"/>
      <c r="C1713"/>
      <c r="H1713"/>
    </row>
    <row r="1714" spans="2:8" x14ac:dyDescent="0.35">
      <c r="B1714"/>
      <c r="C1714"/>
      <c r="H1714"/>
    </row>
    <row r="1715" spans="2:8" x14ac:dyDescent="0.35">
      <c r="B1715"/>
      <c r="C1715"/>
      <c r="H1715"/>
    </row>
    <row r="1716" spans="2:8" x14ac:dyDescent="0.35">
      <c r="B1716"/>
      <c r="C1716"/>
      <c r="H1716"/>
    </row>
    <row r="1717" spans="2:8" x14ac:dyDescent="0.35">
      <c r="B1717"/>
      <c r="C1717"/>
      <c r="H1717"/>
    </row>
    <row r="1718" spans="2:8" x14ac:dyDescent="0.35">
      <c r="B1718"/>
      <c r="C1718"/>
      <c r="H1718"/>
    </row>
    <row r="1719" spans="2:8" x14ac:dyDescent="0.35">
      <c r="B1719"/>
      <c r="C1719"/>
      <c r="H1719"/>
    </row>
    <row r="1720" spans="2:8" x14ac:dyDescent="0.35">
      <c r="B1720"/>
      <c r="C1720"/>
      <c r="H1720"/>
    </row>
    <row r="1721" spans="2:8" x14ac:dyDescent="0.35">
      <c r="B1721"/>
      <c r="C1721"/>
      <c r="H1721"/>
    </row>
    <row r="1722" spans="2:8" x14ac:dyDescent="0.35">
      <c r="B1722"/>
      <c r="C1722"/>
      <c r="H1722"/>
    </row>
    <row r="1723" spans="2:8" x14ac:dyDescent="0.35">
      <c r="B1723"/>
      <c r="C1723"/>
      <c r="H1723"/>
    </row>
    <row r="1724" spans="2:8" x14ac:dyDescent="0.35">
      <c r="B1724"/>
      <c r="C1724"/>
      <c r="H1724"/>
    </row>
    <row r="1725" spans="2:8" x14ac:dyDescent="0.35">
      <c r="B1725"/>
      <c r="C1725"/>
      <c r="H1725"/>
    </row>
    <row r="1726" spans="2:8" x14ac:dyDescent="0.35">
      <c r="B1726"/>
      <c r="C1726"/>
      <c r="H1726"/>
    </row>
    <row r="1727" spans="2:8" x14ac:dyDescent="0.35">
      <c r="B1727"/>
      <c r="C1727"/>
      <c r="H1727"/>
    </row>
    <row r="1728" spans="2:8" x14ac:dyDescent="0.35">
      <c r="B1728"/>
      <c r="C1728"/>
      <c r="H1728"/>
    </row>
    <row r="1729" spans="2:8" x14ac:dyDescent="0.35">
      <c r="B1729"/>
      <c r="C1729"/>
      <c r="H1729"/>
    </row>
    <row r="1730" spans="2:8" x14ac:dyDescent="0.35">
      <c r="B1730"/>
      <c r="C1730"/>
      <c r="H1730"/>
    </row>
    <row r="1731" spans="2:8" x14ac:dyDescent="0.35">
      <c r="B1731"/>
      <c r="C1731"/>
      <c r="H1731"/>
    </row>
    <row r="1732" spans="2:8" x14ac:dyDescent="0.35">
      <c r="B1732"/>
      <c r="C1732"/>
      <c r="H1732"/>
    </row>
    <row r="1733" spans="2:8" x14ac:dyDescent="0.35">
      <c r="B1733"/>
      <c r="C1733"/>
      <c r="H1733"/>
    </row>
    <row r="1734" spans="2:8" x14ac:dyDescent="0.35">
      <c r="B1734"/>
      <c r="C1734"/>
      <c r="H1734"/>
    </row>
    <row r="1735" spans="2:8" x14ac:dyDescent="0.35">
      <c r="B1735"/>
      <c r="C1735"/>
      <c r="H1735"/>
    </row>
    <row r="1736" spans="2:8" x14ac:dyDescent="0.35">
      <c r="B1736"/>
      <c r="C1736"/>
      <c r="H1736"/>
    </row>
    <row r="1737" spans="2:8" x14ac:dyDescent="0.35">
      <c r="B1737"/>
      <c r="C1737"/>
      <c r="H1737"/>
    </row>
    <row r="1738" spans="2:8" x14ac:dyDescent="0.35">
      <c r="B1738"/>
      <c r="C1738"/>
      <c r="H1738"/>
    </row>
    <row r="1739" spans="2:8" x14ac:dyDescent="0.35">
      <c r="B1739"/>
      <c r="C1739"/>
      <c r="H1739"/>
    </row>
    <row r="1740" spans="2:8" x14ac:dyDescent="0.35">
      <c r="B1740"/>
      <c r="C1740"/>
      <c r="H1740"/>
    </row>
    <row r="1741" spans="2:8" x14ac:dyDescent="0.35">
      <c r="B1741"/>
      <c r="C1741"/>
      <c r="H1741"/>
    </row>
    <row r="1742" spans="2:8" x14ac:dyDescent="0.35">
      <c r="B1742"/>
      <c r="C1742"/>
      <c r="H1742"/>
    </row>
    <row r="1743" spans="2:8" x14ac:dyDescent="0.35">
      <c r="B1743"/>
      <c r="C1743"/>
      <c r="H1743"/>
    </row>
    <row r="1744" spans="2:8" x14ac:dyDescent="0.35">
      <c r="B1744"/>
      <c r="C1744"/>
      <c r="H1744"/>
    </row>
    <row r="1745" spans="2:8" x14ac:dyDescent="0.35">
      <c r="B1745"/>
      <c r="C1745"/>
      <c r="H1745"/>
    </row>
    <row r="1746" spans="2:8" x14ac:dyDescent="0.35">
      <c r="B1746"/>
      <c r="C1746"/>
      <c r="H1746"/>
    </row>
    <row r="1747" spans="2:8" x14ac:dyDescent="0.35">
      <c r="B1747"/>
      <c r="C1747"/>
      <c r="H1747"/>
    </row>
    <row r="1748" spans="2:8" x14ac:dyDescent="0.35">
      <c r="B1748"/>
      <c r="C1748"/>
      <c r="H1748"/>
    </row>
    <row r="1749" spans="2:8" x14ac:dyDescent="0.35">
      <c r="B1749"/>
      <c r="C1749"/>
      <c r="H1749"/>
    </row>
    <row r="1750" spans="2:8" x14ac:dyDescent="0.35">
      <c r="B1750"/>
      <c r="C1750"/>
      <c r="H1750"/>
    </row>
    <row r="1751" spans="2:8" x14ac:dyDescent="0.35">
      <c r="B1751"/>
      <c r="C1751"/>
      <c r="H1751"/>
    </row>
    <row r="1752" spans="2:8" x14ac:dyDescent="0.35">
      <c r="B1752"/>
      <c r="C1752"/>
      <c r="H1752"/>
    </row>
    <row r="1753" spans="2:8" x14ac:dyDescent="0.35">
      <c r="B1753"/>
      <c r="C1753"/>
      <c r="H1753"/>
    </row>
    <row r="1754" spans="2:8" x14ac:dyDescent="0.35">
      <c r="B1754"/>
      <c r="C1754"/>
      <c r="H1754"/>
    </row>
    <row r="1755" spans="2:8" x14ac:dyDescent="0.35">
      <c r="B1755"/>
      <c r="C1755"/>
      <c r="H1755"/>
    </row>
    <row r="1756" spans="2:8" x14ac:dyDescent="0.35">
      <c r="B1756"/>
      <c r="C1756"/>
      <c r="H1756"/>
    </row>
    <row r="1757" spans="2:8" x14ac:dyDescent="0.35">
      <c r="B1757"/>
      <c r="C1757"/>
      <c r="H1757"/>
    </row>
    <row r="1758" spans="2:8" x14ac:dyDescent="0.35">
      <c r="B1758"/>
      <c r="C1758"/>
      <c r="H1758"/>
    </row>
    <row r="1759" spans="2:8" x14ac:dyDescent="0.35">
      <c r="B1759"/>
      <c r="C1759"/>
      <c r="H1759"/>
    </row>
    <row r="1760" spans="2:8" x14ac:dyDescent="0.35">
      <c r="B1760"/>
      <c r="C1760"/>
      <c r="H1760"/>
    </row>
    <row r="1761" spans="2:8" x14ac:dyDescent="0.35">
      <c r="B1761"/>
      <c r="C1761"/>
      <c r="H1761"/>
    </row>
    <row r="1762" spans="2:8" x14ac:dyDescent="0.35">
      <c r="B1762"/>
      <c r="C1762"/>
      <c r="H1762"/>
    </row>
    <row r="1763" spans="2:8" x14ac:dyDescent="0.35">
      <c r="B1763"/>
      <c r="C1763"/>
      <c r="H1763"/>
    </row>
    <row r="1764" spans="2:8" x14ac:dyDescent="0.35">
      <c r="B1764"/>
      <c r="C1764"/>
      <c r="H1764"/>
    </row>
    <row r="1765" spans="2:8" x14ac:dyDescent="0.35">
      <c r="B1765"/>
      <c r="C1765"/>
      <c r="H1765"/>
    </row>
    <row r="1766" spans="2:8" x14ac:dyDescent="0.35">
      <c r="B1766"/>
      <c r="C1766"/>
      <c r="H1766"/>
    </row>
    <row r="1767" spans="2:8" x14ac:dyDescent="0.35">
      <c r="B1767"/>
      <c r="C1767"/>
      <c r="H1767"/>
    </row>
    <row r="1768" spans="2:8" x14ac:dyDescent="0.35">
      <c r="B1768"/>
      <c r="C1768"/>
      <c r="H1768"/>
    </row>
    <row r="1769" spans="2:8" x14ac:dyDescent="0.35">
      <c r="B1769"/>
      <c r="C1769"/>
      <c r="H1769"/>
    </row>
    <row r="1770" spans="2:8" x14ac:dyDescent="0.35">
      <c r="B1770"/>
      <c r="C1770"/>
      <c r="H1770"/>
    </row>
    <row r="1771" spans="2:8" x14ac:dyDescent="0.35">
      <c r="B1771"/>
      <c r="C1771"/>
      <c r="H1771"/>
    </row>
    <row r="1772" spans="2:8" x14ac:dyDescent="0.35">
      <c r="B1772"/>
      <c r="C1772"/>
      <c r="H1772"/>
    </row>
    <row r="1773" spans="2:8" x14ac:dyDescent="0.35">
      <c r="B1773"/>
      <c r="C1773"/>
      <c r="H1773"/>
    </row>
    <row r="1774" spans="2:8" x14ac:dyDescent="0.35">
      <c r="B1774"/>
      <c r="C1774"/>
      <c r="H1774"/>
    </row>
    <row r="1775" spans="2:8" x14ac:dyDescent="0.35">
      <c r="B1775"/>
      <c r="C1775"/>
      <c r="H1775"/>
    </row>
    <row r="1776" spans="2:8" x14ac:dyDescent="0.35">
      <c r="B1776"/>
      <c r="C1776"/>
      <c r="H1776"/>
    </row>
    <row r="1777" spans="2:8" x14ac:dyDescent="0.35">
      <c r="B1777"/>
      <c r="C1777"/>
      <c r="H1777"/>
    </row>
    <row r="1778" spans="2:8" x14ac:dyDescent="0.35">
      <c r="B1778"/>
      <c r="C1778"/>
      <c r="H1778"/>
    </row>
    <row r="1779" spans="2:8" x14ac:dyDescent="0.35">
      <c r="B1779"/>
      <c r="C1779"/>
      <c r="H1779"/>
    </row>
    <row r="1780" spans="2:8" x14ac:dyDescent="0.35">
      <c r="B1780"/>
      <c r="C1780"/>
      <c r="H1780"/>
    </row>
    <row r="1781" spans="2:8" x14ac:dyDescent="0.35">
      <c r="B1781"/>
      <c r="C1781"/>
      <c r="H1781"/>
    </row>
    <row r="1782" spans="2:8" x14ac:dyDescent="0.35">
      <c r="B1782"/>
      <c r="C1782"/>
      <c r="H1782"/>
    </row>
    <row r="1783" spans="2:8" x14ac:dyDescent="0.35">
      <c r="B1783"/>
      <c r="C1783"/>
      <c r="H1783"/>
    </row>
    <row r="1784" spans="2:8" x14ac:dyDescent="0.35">
      <c r="B1784"/>
      <c r="C1784"/>
      <c r="H1784"/>
    </row>
    <row r="1785" spans="2:8" x14ac:dyDescent="0.35">
      <c r="B1785"/>
      <c r="C1785"/>
      <c r="H1785"/>
    </row>
    <row r="1786" spans="2:8" x14ac:dyDescent="0.35">
      <c r="B1786"/>
      <c r="C1786"/>
      <c r="H1786"/>
    </row>
    <row r="1787" spans="2:8" x14ac:dyDescent="0.35">
      <c r="B1787"/>
      <c r="C1787"/>
      <c r="H1787"/>
    </row>
    <row r="1788" spans="2:8" x14ac:dyDescent="0.35">
      <c r="B1788"/>
      <c r="C1788"/>
      <c r="H1788"/>
    </row>
    <row r="1789" spans="2:8" x14ac:dyDescent="0.35">
      <c r="B1789"/>
      <c r="C1789"/>
      <c r="H1789"/>
    </row>
    <row r="1790" spans="2:8" x14ac:dyDescent="0.35">
      <c r="B1790"/>
      <c r="C1790"/>
      <c r="H1790"/>
    </row>
    <row r="1791" spans="2:8" x14ac:dyDescent="0.35">
      <c r="B1791"/>
      <c r="C1791"/>
      <c r="H1791"/>
    </row>
    <row r="1792" spans="2:8" x14ac:dyDescent="0.35">
      <c r="B1792"/>
      <c r="C1792"/>
      <c r="H1792"/>
    </row>
    <row r="1793" spans="2:8" x14ac:dyDescent="0.35">
      <c r="B1793"/>
      <c r="C1793"/>
      <c r="H1793"/>
    </row>
    <row r="1794" spans="2:8" x14ac:dyDescent="0.35">
      <c r="B1794"/>
      <c r="C1794"/>
      <c r="H1794"/>
    </row>
    <row r="1795" spans="2:8" x14ac:dyDescent="0.35">
      <c r="B1795"/>
      <c r="C1795"/>
      <c r="H1795"/>
    </row>
    <row r="1796" spans="2:8" x14ac:dyDescent="0.35">
      <c r="B1796"/>
      <c r="C1796"/>
      <c r="H1796"/>
    </row>
    <row r="1797" spans="2:8" x14ac:dyDescent="0.35">
      <c r="B1797"/>
      <c r="C1797"/>
      <c r="H1797"/>
    </row>
    <row r="1798" spans="2:8" x14ac:dyDescent="0.35">
      <c r="B1798"/>
      <c r="C1798"/>
      <c r="H1798"/>
    </row>
    <row r="1799" spans="2:8" x14ac:dyDescent="0.35">
      <c r="B1799"/>
      <c r="C1799"/>
      <c r="H1799"/>
    </row>
    <row r="1800" spans="2:8" x14ac:dyDescent="0.35">
      <c r="B1800"/>
      <c r="C1800"/>
      <c r="H1800"/>
    </row>
    <row r="1801" spans="2:8" x14ac:dyDescent="0.35">
      <c r="B1801"/>
      <c r="C1801"/>
      <c r="H1801"/>
    </row>
    <row r="1802" spans="2:8" x14ac:dyDescent="0.35">
      <c r="B1802"/>
      <c r="C1802"/>
      <c r="H1802"/>
    </row>
    <row r="1803" spans="2:8" x14ac:dyDescent="0.35">
      <c r="B1803"/>
      <c r="C1803"/>
      <c r="H1803"/>
    </row>
    <row r="1804" spans="2:8" x14ac:dyDescent="0.35">
      <c r="B1804"/>
      <c r="C1804"/>
      <c r="H1804"/>
    </row>
    <row r="1805" spans="2:8" x14ac:dyDescent="0.35">
      <c r="B1805"/>
      <c r="C1805"/>
      <c r="H1805"/>
    </row>
    <row r="1806" spans="2:8" x14ac:dyDescent="0.35">
      <c r="B1806"/>
      <c r="C1806"/>
      <c r="H1806"/>
    </row>
    <row r="1807" spans="2:8" x14ac:dyDescent="0.35">
      <c r="B1807"/>
      <c r="C1807"/>
      <c r="H1807"/>
    </row>
    <row r="1808" spans="2:8" x14ac:dyDescent="0.35">
      <c r="B1808"/>
      <c r="C1808"/>
      <c r="H1808"/>
    </row>
    <row r="1809" spans="2:8" x14ac:dyDescent="0.35">
      <c r="B1809"/>
      <c r="C1809"/>
      <c r="H1809"/>
    </row>
    <row r="1810" spans="2:8" x14ac:dyDescent="0.35">
      <c r="B1810"/>
      <c r="C1810"/>
      <c r="H1810"/>
    </row>
    <row r="1811" spans="2:8" x14ac:dyDescent="0.35">
      <c r="B1811"/>
      <c r="C1811"/>
      <c r="H1811"/>
    </row>
    <row r="1812" spans="2:8" x14ac:dyDescent="0.35">
      <c r="B1812"/>
      <c r="C1812"/>
      <c r="H1812"/>
    </row>
    <row r="1813" spans="2:8" x14ac:dyDescent="0.35">
      <c r="B1813"/>
      <c r="C1813"/>
      <c r="H1813"/>
    </row>
    <row r="1814" spans="2:8" x14ac:dyDescent="0.35">
      <c r="B1814"/>
      <c r="C1814"/>
      <c r="H1814"/>
    </row>
    <row r="1815" spans="2:8" x14ac:dyDescent="0.35">
      <c r="B1815"/>
      <c r="C1815"/>
      <c r="H1815"/>
    </row>
    <row r="1816" spans="2:8" x14ac:dyDescent="0.35">
      <c r="B1816"/>
      <c r="C1816"/>
      <c r="H1816"/>
    </row>
    <row r="1817" spans="2:8" x14ac:dyDescent="0.35">
      <c r="B1817"/>
      <c r="C1817"/>
      <c r="H1817"/>
    </row>
    <row r="1818" spans="2:8" x14ac:dyDescent="0.35">
      <c r="B1818"/>
      <c r="C1818"/>
      <c r="H1818"/>
    </row>
    <row r="1819" spans="2:8" x14ac:dyDescent="0.35">
      <c r="B1819"/>
      <c r="C1819"/>
      <c r="H1819"/>
    </row>
    <row r="1820" spans="2:8" x14ac:dyDescent="0.35">
      <c r="B1820"/>
      <c r="C1820"/>
      <c r="H1820"/>
    </row>
    <row r="1821" spans="2:8" x14ac:dyDescent="0.35">
      <c r="B1821"/>
      <c r="C1821"/>
      <c r="H1821"/>
    </row>
    <row r="1822" spans="2:8" x14ac:dyDescent="0.35">
      <c r="B1822"/>
      <c r="C1822"/>
      <c r="H1822"/>
    </row>
    <row r="1823" spans="2:8" x14ac:dyDescent="0.35">
      <c r="B1823"/>
      <c r="C1823"/>
      <c r="H1823"/>
    </row>
    <row r="1824" spans="2:8" x14ac:dyDescent="0.35">
      <c r="B1824"/>
      <c r="C1824"/>
      <c r="H1824"/>
    </row>
    <row r="1825" spans="2:8" x14ac:dyDescent="0.35">
      <c r="B1825"/>
      <c r="C1825"/>
      <c r="H1825"/>
    </row>
    <row r="1826" spans="2:8" x14ac:dyDescent="0.35">
      <c r="B1826"/>
      <c r="C1826"/>
      <c r="H1826"/>
    </row>
    <row r="1827" spans="2:8" x14ac:dyDescent="0.35">
      <c r="B1827"/>
      <c r="C1827"/>
      <c r="H1827"/>
    </row>
    <row r="1828" spans="2:8" x14ac:dyDescent="0.35">
      <c r="B1828"/>
      <c r="C1828"/>
      <c r="H1828"/>
    </row>
    <row r="1829" spans="2:8" x14ac:dyDescent="0.35">
      <c r="B1829"/>
      <c r="C1829"/>
      <c r="H1829"/>
    </row>
    <row r="1830" spans="2:8" x14ac:dyDescent="0.35">
      <c r="B1830"/>
      <c r="C1830"/>
      <c r="H1830"/>
    </row>
    <row r="1831" spans="2:8" x14ac:dyDescent="0.35">
      <c r="B1831"/>
      <c r="C1831"/>
      <c r="H1831"/>
    </row>
    <row r="1832" spans="2:8" x14ac:dyDescent="0.35">
      <c r="B1832"/>
      <c r="C1832"/>
      <c r="H1832"/>
    </row>
    <row r="1833" spans="2:8" x14ac:dyDescent="0.35">
      <c r="B1833"/>
      <c r="C1833"/>
      <c r="H1833"/>
    </row>
    <row r="1834" spans="2:8" x14ac:dyDescent="0.35">
      <c r="B1834"/>
      <c r="C1834"/>
      <c r="H1834"/>
    </row>
    <row r="1835" spans="2:8" x14ac:dyDescent="0.35">
      <c r="B1835"/>
      <c r="C1835"/>
      <c r="H1835"/>
    </row>
    <row r="1836" spans="2:8" x14ac:dyDescent="0.35">
      <c r="B1836"/>
      <c r="C1836"/>
      <c r="H1836"/>
    </row>
    <row r="1837" spans="2:8" x14ac:dyDescent="0.35">
      <c r="B1837"/>
      <c r="C1837"/>
      <c r="H1837"/>
    </row>
    <row r="1838" spans="2:8" x14ac:dyDescent="0.35">
      <c r="B1838"/>
      <c r="C1838"/>
      <c r="H1838"/>
    </row>
    <row r="1839" spans="2:8" x14ac:dyDescent="0.35">
      <c r="B1839"/>
      <c r="C1839"/>
      <c r="H1839"/>
    </row>
    <row r="1840" spans="2:8" x14ac:dyDescent="0.35">
      <c r="B1840"/>
      <c r="C1840"/>
      <c r="H1840"/>
    </row>
    <row r="1841" spans="2:8" x14ac:dyDescent="0.35">
      <c r="B1841"/>
      <c r="C1841"/>
      <c r="H1841"/>
    </row>
    <row r="1842" spans="2:8" x14ac:dyDescent="0.35">
      <c r="B1842"/>
      <c r="C1842"/>
      <c r="H1842"/>
    </row>
    <row r="1843" spans="2:8" x14ac:dyDescent="0.35">
      <c r="B1843"/>
      <c r="C1843"/>
      <c r="H1843"/>
    </row>
    <row r="1844" spans="2:8" x14ac:dyDescent="0.35">
      <c r="B1844"/>
      <c r="C1844"/>
      <c r="H1844"/>
    </row>
    <row r="1845" spans="2:8" x14ac:dyDescent="0.35">
      <c r="B1845"/>
      <c r="C1845"/>
      <c r="H1845"/>
    </row>
    <row r="1846" spans="2:8" x14ac:dyDescent="0.35">
      <c r="B1846"/>
      <c r="C1846"/>
      <c r="H1846"/>
    </row>
    <row r="1847" spans="2:8" x14ac:dyDescent="0.35">
      <c r="B1847"/>
      <c r="C1847"/>
      <c r="H1847"/>
    </row>
    <row r="1848" spans="2:8" x14ac:dyDescent="0.35">
      <c r="B1848"/>
      <c r="C1848"/>
      <c r="H1848"/>
    </row>
    <row r="1849" spans="2:8" x14ac:dyDescent="0.35">
      <c r="B1849"/>
      <c r="C1849"/>
      <c r="H1849"/>
    </row>
    <row r="1850" spans="2:8" x14ac:dyDescent="0.35">
      <c r="B1850"/>
      <c r="C1850"/>
      <c r="H1850"/>
    </row>
    <row r="1851" spans="2:8" x14ac:dyDescent="0.35">
      <c r="B1851"/>
      <c r="C1851"/>
      <c r="H1851"/>
    </row>
    <row r="1852" spans="2:8" x14ac:dyDescent="0.35">
      <c r="B1852"/>
      <c r="C1852"/>
      <c r="H1852"/>
    </row>
    <row r="1853" spans="2:8" x14ac:dyDescent="0.35">
      <c r="B1853"/>
      <c r="C1853"/>
      <c r="H1853"/>
    </row>
    <row r="1854" spans="2:8" x14ac:dyDescent="0.35">
      <c r="B1854"/>
      <c r="C1854"/>
      <c r="H1854"/>
    </row>
    <row r="1855" spans="2:8" x14ac:dyDescent="0.35">
      <c r="B1855"/>
      <c r="C1855"/>
      <c r="H1855"/>
    </row>
    <row r="1856" spans="2:8" x14ac:dyDescent="0.35">
      <c r="B1856"/>
      <c r="C1856"/>
      <c r="H1856"/>
    </row>
    <row r="1857" spans="2:8" x14ac:dyDescent="0.35">
      <c r="B1857"/>
      <c r="C1857"/>
      <c r="H1857"/>
    </row>
    <row r="1858" spans="2:8" x14ac:dyDescent="0.35">
      <c r="B1858"/>
      <c r="C1858"/>
      <c r="H1858"/>
    </row>
    <row r="1859" spans="2:8" x14ac:dyDescent="0.35">
      <c r="B1859"/>
      <c r="C1859"/>
      <c r="H1859"/>
    </row>
    <row r="1860" spans="2:8" x14ac:dyDescent="0.35">
      <c r="B1860"/>
      <c r="C1860"/>
      <c r="H1860"/>
    </row>
    <row r="1861" spans="2:8" x14ac:dyDescent="0.35">
      <c r="B1861"/>
      <c r="C1861"/>
      <c r="H1861"/>
    </row>
    <row r="1862" spans="2:8" x14ac:dyDescent="0.35">
      <c r="B1862"/>
      <c r="C1862"/>
      <c r="H1862"/>
    </row>
    <row r="1863" spans="2:8" x14ac:dyDescent="0.35">
      <c r="B1863"/>
      <c r="C1863"/>
      <c r="H1863"/>
    </row>
    <row r="1864" spans="2:8" x14ac:dyDescent="0.35">
      <c r="B1864"/>
      <c r="C1864"/>
      <c r="H1864"/>
    </row>
    <row r="1865" spans="2:8" x14ac:dyDescent="0.35">
      <c r="B1865"/>
      <c r="C1865"/>
      <c r="H1865"/>
    </row>
    <row r="1866" spans="2:8" x14ac:dyDescent="0.35">
      <c r="B1866"/>
      <c r="C1866"/>
      <c r="H1866"/>
    </row>
    <row r="1867" spans="2:8" x14ac:dyDescent="0.35">
      <c r="B1867"/>
      <c r="C1867"/>
      <c r="H1867"/>
    </row>
    <row r="1868" spans="2:8" x14ac:dyDescent="0.35">
      <c r="B1868"/>
      <c r="C1868"/>
      <c r="H1868"/>
    </row>
    <row r="1869" spans="2:8" x14ac:dyDescent="0.35">
      <c r="B1869"/>
      <c r="C1869"/>
      <c r="H1869"/>
    </row>
    <row r="1870" spans="2:8" x14ac:dyDescent="0.35">
      <c r="B1870"/>
      <c r="C1870"/>
      <c r="H1870"/>
    </row>
    <row r="1871" spans="2:8" x14ac:dyDescent="0.35">
      <c r="B1871"/>
      <c r="C1871"/>
      <c r="H1871"/>
    </row>
    <row r="1872" spans="2:8" x14ac:dyDescent="0.35">
      <c r="B1872"/>
      <c r="C1872"/>
      <c r="H1872"/>
    </row>
    <row r="1873" spans="2:8" x14ac:dyDescent="0.35">
      <c r="B1873"/>
      <c r="C1873"/>
      <c r="H1873"/>
    </row>
    <row r="1874" spans="2:8" x14ac:dyDescent="0.35">
      <c r="B1874"/>
      <c r="C1874"/>
      <c r="H1874"/>
    </row>
    <row r="1875" spans="2:8" x14ac:dyDescent="0.35">
      <c r="B1875"/>
      <c r="C1875"/>
      <c r="H1875"/>
    </row>
    <row r="1876" spans="2:8" x14ac:dyDescent="0.35">
      <c r="B1876"/>
      <c r="C1876"/>
      <c r="H1876"/>
    </row>
    <row r="1877" spans="2:8" x14ac:dyDescent="0.35">
      <c r="B1877"/>
      <c r="C1877"/>
      <c r="H1877"/>
    </row>
    <row r="1878" spans="2:8" x14ac:dyDescent="0.35">
      <c r="B1878"/>
      <c r="C1878"/>
      <c r="H1878"/>
    </row>
    <row r="1879" spans="2:8" x14ac:dyDescent="0.35">
      <c r="B1879"/>
      <c r="C1879"/>
      <c r="H1879"/>
    </row>
    <row r="1880" spans="2:8" x14ac:dyDescent="0.35">
      <c r="B1880"/>
      <c r="C1880"/>
      <c r="H1880"/>
    </row>
    <row r="1881" spans="2:8" x14ac:dyDescent="0.35">
      <c r="B1881"/>
      <c r="C1881"/>
      <c r="H1881"/>
    </row>
    <row r="1882" spans="2:8" x14ac:dyDescent="0.35">
      <c r="B1882"/>
      <c r="C1882"/>
      <c r="H1882"/>
    </row>
    <row r="1883" spans="2:8" x14ac:dyDescent="0.35">
      <c r="B1883"/>
      <c r="C1883"/>
      <c r="H1883"/>
    </row>
    <row r="1884" spans="2:8" x14ac:dyDescent="0.35">
      <c r="B1884"/>
      <c r="C1884"/>
      <c r="H1884"/>
    </row>
    <row r="1885" spans="2:8" x14ac:dyDescent="0.35">
      <c r="B1885"/>
      <c r="C1885"/>
      <c r="H1885"/>
    </row>
    <row r="1886" spans="2:8" x14ac:dyDescent="0.35">
      <c r="B1886"/>
      <c r="C1886"/>
      <c r="H1886"/>
    </row>
    <row r="1887" spans="2:8" x14ac:dyDescent="0.35">
      <c r="B1887"/>
      <c r="C1887"/>
      <c r="H1887"/>
    </row>
    <row r="1888" spans="2:8" x14ac:dyDescent="0.35">
      <c r="B1888"/>
      <c r="C1888"/>
      <c r="H1888"/>
    </row>
    <row r="1889" spans="2:8" x14ac:dyDescent="0.35">
      <c r="B1889"/>
      <c r="C1889"/>
      <c r="H1889"/>
    </row>
    <row r="1890" spans="2:8" x14ac:dyDescent="0.35">
      <c r="B1890"/>
      <c r="C1890"/>
      <c r="H1890"/>
    </row>
    <row r="1891" spans="2:8" x14ac:dyDescent="0.35">
      <c r="B1891"/>
      <c r="C1891"/>
      <c r="H1891"/>
    </row>
    <row r="1892" spans="2:8" x14ac:dyDescent="0.35">
      <c r="B1892"/>
      <c r="C1892"/>
      <c r="H1892"/>
    </row>
    <row r="1893" spans="2:8" x14ac:dyDescent="0.35">
      <c r="B1893"/>
      <c r="C1893"/>
      <c r="H1893"/>
    </row>
    <row r="1894" spans="2:8" x14ac:dyDescent="0.35">
      <c r="B1894"/>
      <c r="C1894"/>
      <c r="H1894"/>
    </row>
    <row r="1895" spans="2:8" x14ac:dyDescent="0.35">
      <c r="B1895"/>
      <c r="C1895"/>
      <c r="H1895"/>
    </row>
    <row r="1896" spans="2:8" x14ac:dyDescent="0.35">
      <c r="B1896"/>
      <c r="C1896"/>
      <c r="H1896"/>
    </row>
    <row r="1897" spans="2:8" x14ac:dyDescent="0.35">
      <c r="B1897"/>
      <c r="C1897"/>
      <c r="H1897"/>
    </row>
    <row r="1898" spans="2:8" x14ac:dyDescent="0.35">
      <c r="B1898"/>
      <c r="C1898"/>
      <c r="H1898"/>
    </row>
    <row r="1899" spans="2:8" x14ac:dyDescent="0.35">
      <c r="B1899"/>
      <c r="C1899"/>
      <c r="H1899"/>
    </row>
    <row r="1900" spans="2:8" x14ac:dyDescent="0.35">
      <c r="B1900"/>
      <c r="C1900"/>
      <c r="H1900"/>
    </row>
    <row r="1901" spans="2:8" x14ac:dyDescent="0.35">
      <c r="B1901"/>
      <c r="C1901"/>
      <c r="H1901"/>
    </row>
    <row r="1902" spans="2:8" x14ac:dyDescent="0.35">
      <c r="B1902"/>
      <c r="C1902"/>
      <c r="H1902"/>
    </row>
    <row r="1903" spans="2:8" x14ac:dyDescent="0.35">
      <c r="B1903"/>
      <c r="C1903"/>
      <c r="H1903"/>
    </row>
    <row r="1904" spans="2:8" x14ac:dyDescent="0.35">
      <c r="B1904"/>
      <c r="C1904"/>
      <c r="H1904"/>
    </row>
    <row r="1905" spans="2:8" x14ac:dyDescent="0.35">
      <c r="B1905"/>
      <c r="C1905"/>
      <c r="H1905"/>
    </row>
    <row r="1906" spans="2:8" x14ac:dyDescent="0.35">
      <c r="B1906"/>
      <c r="C1906"/>
      <c r="H1906"/>
    </row>
    <row r="1907" spans="2:8" x14ac:dyDescent="0.35">
      <c r="B1907"/>
      <c r="C1907"/>
      <c r="H1907"/>
    </row>
    <row r="1908" spans="2:8" x14ac:dyDescent="0.35">
      <c r="B1908"/>
      <c r="C1908"/>
      <c r="H1908"/>
    </row>
    <row r="1909" spans="2:8" x14ac:dyDescent="0.35">
      <c r="B1909"/>
      <c r="C1909"/>
      <c r="H1909"/>
    </row>
    <row r="1910" spans="2:8" x14ac:dyDescent="0.35">
      <c r="B1910"/>
      <c r="C1910"/>
      <c r="H1910"/>
    </row>
    <row r="1911" spans="2:8" x14ac:dyDescent="0.35">
      <c r="B1911"/>
      <c r="C1911"/>
      <c r="H1911"/>
    </row>
    <row r="1912" spans="2:8" x14ac:dyDescent="0.35">
      <c r="B1912"/>
      <c r="C1912"/>
      <c r="H1912"/>
    </row>
    <row r="1913" spans="2:8" x14ac:dyDescent="0.35">
      <c r="B1913"/>
      <c r="C1913"/>
      <c r="H1913"/>
    </row>
    <row r="1914" spans="2:8" x14ac:dyDescent="0.35">
      <c r="B1914"/>
      <c r="C1914"/>
      <c r="H1914"/>
    </row>
    <row r="1915" spans="2:8" x14ac:dyDescent="0.35">
      <c r="B1915"/>
      <c r="C1915"/>
      <c r="H1915"/>
    </row>
    <row r="1916" spans="2:8" x14ac:dyDescent="0.35">
      <c r="B1916"/>
      <c r="C1916"/>
      <c r="H1916"/>
    </row>
    <row r="1917" spans="2:8" x14ac:dyDescent="0.35">
      <c r="B1917"/>
      <c r="C1917"/>
      <c r="H1917"/>
    </row>
    <row r="1918" spans="2:8" x14ac:dyDescent="0.35">
      <c r="B1918"/>
      <c r="C1918"/>
      <c r="H1918"/>
    </row>
    <row r="1919" spans="2:8" x14ac:dyDescent="0.35">
      <c r="B1919"/>
      <c r="C1919"/>
      <c r="H1919"/>
    </row>
    <row r="1920" spans="2:8" x14ac:dyDescent="0.35">
      <c r="B1920"/>
      <c r="C1920"/>
      <c r="H1920"/>
    </row>
    <row r="1921" spans="2:8" x14ac:dyDescent="0.35">
      <c r="B1921"/>
      <c r="C1921"/>
      <c r="H1921"/>
    </row>
    <row r="1922" spans="2:8" x14ac:dyDescent="0.35">
      <c r="B1922"/>
      <c r="C1922"/>
      <c r="H1922"/>
    </row>
    <row r="1923" spans="2:8" x14ac:dyDescent="0.35">
      <c r="B1923"/>
      <c r="C1923"/>
      <c r="H1923"/>
    </row>
    <row r="1924" spans="2:8" x14ac:dyDescent="0.35">
      <c r="B1924"/>
      <c r="C1924"/>
      <c r="H1924"/>
    </row>
    <row r="1925" spans="2:8" x14ac:dyDescent="0.35">
      <c r="B1925"/>
      <c r="C1925"/>
      <c r="H1925"/>
    </row>
    <row r="1926" spans="2:8" x14ac:dyDescent="0.35">
      <c r="B1926"/>
      <c r="C1926"/>
      <c r="H1926"/>
    </row>
    <row r="1927" spans="2:8" x14ac:dyDescent="0.35">
      <c r="B1927"/>
      <c r="C1927"/>
      <c r="H1927"/>
    </row>
    <row r="1928" spans="2:8" x14ac:dyDescent="0.35">
      <c r="B1928"/>
      <c r="C1928"/>
      <c r="H1928"/>
    </row>
    <row r="1929" spans="2:8" x14ac:dyDescent="0.35">
      <c r="B1929"/>
      <c r="C1929"/>
      <c r="H1929"/>
    </row>
    <row r="1930" spans="2:8" x14ac:dyDescent="0.35">
      <c r="B1930"/>
      <c r="C1930"/>
      <c r="H1930"/>
    </row>
    <row r="1931" spans="2:8" x14ac:dyDescent="0.35">
      <c r="B1931"/>
      <c r="C1931"/>
      <c r="H1931"/>
    </row>
    <row r="1932" spans="2:8" x14ac:dyDescent="0.35">
      <c r="B1932"/>
      <c r="C1932"/>
      <c r="H1932"/>
    </row>
    <row r="1933" spans="2:8" x14ac:dyDescent="0.35">
      <c r="B1933"/>
      <c r="C1933"/>
      <c r="H1933"/>
    </row>
    <row r="1934" spans="2:8" x14ac:dyDescent="0.35">
      <c r="B1934"/>
      <c r="C1934"/>
      <c r="H1934"/>
    </row>
    <row r="1935" spans="2:8" x14ac:dyDescent="0.35">
      <c r="B1935"/>
      <c r="C1935"/>
      <c r="H1935"/>
    </row>
    <row r="1936" spans="2:8" x14ac:dyDescent="0.35">
      <c r="B1936"/>
      <c r="C1936"/>
      <c r="H1936"/>
    </row>
    <row r="1937" spans="2:8" x14ac:dyDescent="0.35">
      <c r="B1937"/>
      <c r="C1937"/>
      <c r="H1937"/>
    </row>
    <row r="1938" spans="2:8" x14ac:dyDescent="0.35">
      <c r="B1938"/>
      <c r="C1938"/>
      <c r="H1938"/>
    </row>
    <row r="1939" spans="2:8" x14ac:dyDescent="0.35">
      <c r="B1939"/>
      <c r="C1939"/>
      <c r="H1939"/>
    </row>
    <row r="1940" spans="2:8" x14ac:dyDescent="0.35">
      <c r="B1940"/>
      <c r="C1940"/>
      <c r="H1940"/>
    </row>
    <row r="1941" spans="2:8" x14ac:dyDescent="0.35">
      <c r="B1941"/>
      <c r="C1941"/>
      <c r="H1941"/>
    </row>
    <row r="1942" spans="2:8" x14ac:dyDescent="0.35">
      <c r="B1942"/>
      <c r="C1942"/>
      <c r="H1942"/>
    </row>
    <row r="1943" spans="2:8" x14ac:dyDescent="0.35">
      <c r="B1943"/>
      <c r="C1943"/>
      <c r="H1943"/>
    </row>
    <row r="1944" spans="2:8" x14ac:dyDescent="0.35">
      <c r="B1944"/>
      <c r="C1944"/>
      <c r="H1944"/>
    </row>
    <row r="1945" spans="2:8" x14ac:dyDescent="0.35">
      <c r="B1945"/>
      <c r="C1945"/>
      <c r="H1945"/>
    </row>
    <row r="1946" spans="2:8" x14ac:dyDescent="0.35">
      <c r="B1946"/>
      <c r="C1946"/>
      <c r="H1946"/>
    </row>
    <row r="1947" spans="2:8" x14ac:dyDescent="0.35">
      <c r="B1947"/>
      <c r="C1947"/>
      <c r="H1947"/>
    </row>
    <row r="1948" spans="2:8" x14ac:dyDescent="0.35">
      <c r="B1948"/>
      <c r="C1948"/>
      <c r="H1948"/>
    </row>
    <row r="1949" spans="2:8" x14ac:dyDescent="0.35">
      <c r="B1949"/>
      <c r="C1949"/>
      <c r="H1949"/>
    </row>
    <row r="1950" spans="2:8" x14ac:dyDescent="0.35">
      <c r="B1950"/>
      <c r="C1950"/>
      <c r="H1950"/>
    </row>
    <row r="1951" spans="2:8" x14ac:dyDescent="0.35">
      <c r="B1951"/>
      <c r="C1951"/>
      <c r="H1951"/>
    </row>
    <row r="1952" spans="2:8" x14ac:dyDescent="0.35">
      <c r="B1952"/>
      <c r="C1952"/>
      <c r="H1952"/>
    </row>
    <row r="1953" spans="2:8" x14ac:dyDescent="0.35">
      <c r="B1953"/>
      <c r="C1953"/>
      <c r="H1953"/>
    </row>
    <row r="1954" spans="2:8" x14ac:dyDescent="0.35">
      <c r="B1954"/>
      <c r="C1954"/>
      <c r="H1954"/>
    </row>
    <row r="1955" spans="2:8" x14ac:dyDescent="0.35">
      <c r="B1955"/>
      <c r="C1955"/>
      <c r="H1955"/>
    </row>
    <row r="1956" spans="2:8" x14ac:dyDescent="0.35">
      <c r="B1956"/>
      <c r="C1956"/>
      <c r="H1956"/>
    </row>
    <row r="1957" spans="2:8" x14ac:dyDescent="0.35">
      <c r="B1957"/>
      <c r="C1957"/>
      <c r="H1957"/>
    </row>
    <row r="1958" spans="2:8" x14ac:dyDescent="0.35">
      <c r="B1958"/>
      <c r="C1958"/>
      <c r="H1958"/>
    </row>
    <row r="1959" spans="2:8" x14ac:dyDescent="0.35">
      <c r="B1959"/>
      <c r="C1959"/>
      <c r="H1959"/>
    </row>
    <row r="1960" spans="2:8" x14ac:dyDescent="0.35">
      <c r="B1960"/>
      <c r="C1960"/>
      <c r="H1960"/>
    </row>
    <row r="1961" spans="2:8" x14ac:dyDescent="0.35">
      <c r="B1961"/>
      <c r="C1961"/>
      <c r="H1961"/>
    </row>
    <row r="1962" spans="2:8" x14ac:dyDescent="0.35">
      <c r="B1962"/>
      <c r="C1962"/>
      <c r="H1962"/>
    </row>
    <row r="1963" spans="2:8" x14ac:dyDescent="0.35">
      <c r="B1963"/>
      <c r="C1963"/>
      <c r="H1963"/>
    </row>
    <row r="1964" spans="2:8" x14ac:dyDescent="0.35">
      <c r="B1964"/>
      <c r="C1964"/>
      <c r="H1964"/>
    </row>
    <row r="1965" spans="2:8" x14ac:dyDescent="0.35">
      <c r="B1965"/>
      <c r="C1965"/>
      <c r="H1965"/>
    </row>
    <row r="1966" spans="2:8" x14ac:dyDescent="0.35">
      <c r="B1966"/>
      <c r="C1966"/>
      <c r="H1966"/>
    </row>
    <row r="1967" spans="2:8" x14ac:dyDescent="0.35">
      <c r="B1967"/>
      <c r="C1967"/>
      <c r="H1967"/>
    </row>
    <row r="1968" spans="2:8" x14ac:dyDescent="0.35">
      <c r="B1968"/>
      <c r="C1968"/>
      <c r="H1968"/>
    </row>
    <row r="1969" spans="2:8" x14ac:dyDescent="0.35">
      <c r="B1969"/>
      <c r="C1969"/>
      <c r="H1969"/>
    </row>
    <row r="1970" spans="2:8" x14ac:dyDescent="0.35">
      <c r="B1970"/>
      <c r="C1970"/>
      <c r="H1970"/>
    </row>
    <row r="1971" spans="2:8" x14ac:dyDescent="0.35">
      <c r="B1971"/>
      <c r="C1971"/>
      <c r="H1971"/>
    </row>
    <row r="1972" spans="2:8" x14ac:dyDescent="0.35">
      <c r="B1972"/>
      <c r="C1972"/>
      <c r="H1972"/>
    </row>
    <row r="1973" spans="2:8" x14ac:dyDescent="0.35">
      <c r="B1973"/>
      <c r="C1973"/>
      <c r="H1973"/>
    </row>
    <row r="1974" spans="2:8" x14ac:dyDescent="0.35">
      <c r="B1974"/>
      <c r="C1974"/>
      <c r="H1974"/>
    </row>
    <row r="1975" spans="2:8" x14ac:dyDescent="0.35">
      <c r="B1975"/>
      <c r="C1975"/>
      <c r="H1975"/>
    </row>
    <row r="1976" spans="2:8" x14ac:dyDescent="0.35">
      <c r="B1976"/>
      <c r="C1976"/>
      <c r="H1976"/>
    </row>
    <row r="1977" spans="2:8" x14ac:dyDescent="0.35">
      <c r="B1977"/>
      <c r="C1977"/>
      <c r="H1977"/>
    </row>
    <row r="1978" spans="2:8" x14ac:dyDescent="0.35">
      <c r="B1978"/>
      <c r="C1978"/>
      <c r="H1978"/>
    </row>
    <row r="1979" spans="2:8" x14ac:dyDescent="0.35">
      <c r="B1979"/>
      <c r="C1979"/>
      <c r="H1979"/>
    </row>
    <row r="1980" spans="2:8" x14ac:dyDescent="0.35">
      <c r="B1980"/>
      <c r="C1980"/>
      <c r="H1980"/>
    </row>
    <row r="1981" spans="2:8" x14ac:dyDescent="0.35">
      <c r="B1981"/>
      <c r="C1981"/>
      <c r="H1981"/>
    </row>
    <row r="1982" spans="2:8" x14ac:dyDescent="0.35">
      <c r="B1982"/>
      <c r="C1982"/>
      <c r="H1982"/>
    </row>
    <row r="1983" spans="2:8" x14ac:dyDescent="0.35">
      <c r="B1983"/>
      <c r="C1983"/>
      <c r="H1983"/>
    </row>
    <row r="1984" spans="2:8" x14ac:dyDescent="0.35">
      <c r="B1984"/>
      <c r="C1984"/>
      <c r="H1984"/>
    </row>
    <row r="1985" spans="2:8" x14ac:dyDescent="0.35">
      <c r="B1985"/>
      <c r="C1985"/>
      <c r="H1985"/>
    </row>
    <row r="1986" spans="2:8" x14ac:dyDescent="0.35">
      <c r="B1986"/>
      <c r="C1986"/>
      <c r="H1986"/>
    </row>
    <row r="1987" spans="2:8" x14ac:dyDescent="0.35">
      <c r="B1987"/>
      <c r="C1987"/>
      <c r="H1987"/>
    </row>
    <row r="1988" spans="2:8" x14ac:dyDescent="0.35">
      <c r="B1988"/>
      <c r="C1988"/>
      <c r="H1988"/>
    </row>
    <row r="1989" spans="2:8" x14ac:dyDescent="0.35">
      <c r="B1989"/>
      <c r="C1989"/>
      <c r="H1989"/>
    </row>
    <row r="1990" spans="2:8" x14ac:dyDescent="0.35">
      <c r="B1990"/>
      <c r="C1990"/>
      <c r="H1990"/>
    </row>
    <row r="1991" spans="2:8" x14ac:dyDescent="0.35">
      <c r="B1991"/>
      <c r="C1991"/>
      <c r="H1991"/>
    </row>
    <row r="1992" spans="2:8" x14ac:dyDescent="0.35">
      <c r="B1992"/>
      <c r="C1992"/>
      <c r="H1992"/>
    </row>
    <row r="1993" spans="2:8" x14ac:dyDescent="0.35">
      <c r="B1993"/>
      <c r="C1993"/>
      <c r="H1993"/>
    </row>
    <row r="1994" spans="2:8" x14ac:dyDescent="0.35">
      <c r="B1994"/>
      <c r="C1994"/>
      <c r="H1994"/>
    </row>
    <row r="1995" spans="2:8" x14ac:dyDescent="0.35">
      <c r="B1995"/>
      <c r="C1995"/>
      <c r="H1995"/>
    </row>
    <row r="1996" spans="2:8" x14ac:dyDescent="0.35">
      <c r="B1996"/>
      <c r="C1996"/>
      <c r="H1996"/>
    </row>
    <row r="1997" spans="2:8" x14ac:dyDescent="0.35">
      <c r="B1997"/>
      <c r="C1997"/>
      <c r="H1997"/>
    </row>
    <row r="1998" spans="2:8" x14ac:dyDescent="0.35">
      <c r="B1998"/>
      <c r="C1998"/>
      <c r="H1998"/>
    </row>
    <row r="1999" spans="2:8" x14ac:dyDescent="0.35">
      <c r="B1999"/>
      <c r="C1999"/>
      <c r="H1999"/>
    </row>
    <row r="2000" spans="2:8" x14ac:dyDescent="0.35">
      <c r="B2000"/>
      <c r="C2000"/>
      <c r="H2000"/>
    </row>
    <row r="2001" spans="2:8" x14ac:dyDescent="0.35">
      <c r="B2001"/>
      <c r="C2001"/>
      <c r="H2001"/>
    </row>
    <row r="2002" spans="2:8" x14ac:dyDescent="0.35">
      <c r="B2002"/>
      <c r="C2002"/>
      <c r="H2002"/>
    </row>
    <row r="2003" spans="2:8" x14ac:dyDescent="0.35">
      <c r="B2003"/>
      <c r="C2003"/>
      <c r="H2003"/>
    </row>
    <row r="2004" spans="2:8" x14ac:dyDescent="0.35">
      <c r="B2004"/>
      <c r="C2004"/>
      <c r="H2004"/>
    </row>
    <row r="2005" spans="2:8" x14ac:dyDescent="0.35">
      <c r="B2005"/>
      <c r="C2005"/>
      <c r="H2005"/>
    </row>
    <row r="2006" spans="2:8" x14ac:dyDescent="0.35">
      <c r="B2006"/>
      <c r="C2006"/>
      <c r="H2006"/>
    </row>
    <row r="2007" spans="2:8" x14ac:dyDescent="0.35">
      <c r="B2007"/>
      <c r="C2007"/>
      <c r="H2007"/>
    </row>
    <row r="2008" spans="2:8" x14ac:dyDescent="0.35">
      <c r="B2008"/>
      <c r="C2008"/>
      <c r="H2008"/>
    </row>
    <row r="2009" spans="2:8" x14ac:dyDescent="0.35">
      <c r="B2009"/>
      <c r="C2009"/>
      <c r="H2009"/>
    </row>
    <row r="2010" spans="2:8" x14ac:dyDescent="0.35">
      <c r="B2010"/>
      <c r="C2010"/>
      <c r="H2010"/>
    </row>
    <row r="2011" spans="2:8" x14ac:dyDescent="0.35">
      <c r="B2011"/>
      <c r="C2011"/>
      <c r="H2011"/>
    </row>
    <row r="2012" spans="2:8" x14ac:dyDescent="0.35">
      <c r="B2012"/>
      <c r="C2012"/>
      <c r="H2012"/>
    </row>
    <row r="2013" spans="2:8" x14ac:dyDescent="0.35">
      <c r="B2013"/>
      <c r="C2013"/>
      <c r="H2013"/>
    </row>
    <row r="2014" spans="2:8" x14ac:dyDescent="0.35">
      <c r="B2014"/>
      <c r="C2014"/>
      <c r="H2014"/>
    </row>
    <row r="2015" spans="2:8" x14ac:dyDescent="0.35">
      <c r="B2015"/>
      <c r="C2015"/>
      <c r="H2015"/>
    </row>
    <row r="2016" spans="2:8" x14ac:dyDescent="0.35">
      <c r="B2016"/>
      <c r="C2016"/>
      <c r="H2016"/>
    </row>
    <row r="2017" spans="2:8" x14ac:dyDescent="0.35">
      <c r="B2017"/>
      <c r="C2017"/>
      <c r="H2017"/>
    </row>
    <row r="2018" spans="2:8" x14ac:dyDescent="0.35">
      <c r="B2018"/>
      <c r="C2018"/>
      <c r="H2018"/>
    </row>
    <row r="2019" spans="2:8" x14ac:dyDescent="0.35">
      <c r="B2019"/>
      <c r="C2019"/>
      <c r="H2019"/>
    </row>
    <row r="2020" spans="2:8" x14ac:dyDescent="0.35">
      <c r="B2020"/>
      <c r="C2020"/>
      <c r="H2020"/>
    </row>
    <row r="2021" spans="2:8" x14ac:dyDescent="0.35">
      <c r="B2021"/>
      <c r="C2021"/>
      <c r="H2021"/>
    </row>
    <row r="2022" spans="2:8" x14ac:dyDescent="0.35">
      <c r="B2022"/>
      <c r="C2022"/>
      <c r="H2022"/>
    </row>
    <row r="2023" spans="2:8" x14ac:dyDescent="0.35">
      <c r="B2023"/>
      <c r="C2023"/>
      <c r="H2023"/>
    </row>
    <row r="2024" spans="2:8" x14ac:dyDescent="0.35">
      <c r="B2024"/>
      <c r="C2024"/>
      <c r="H2024"/>
    </row>
    <row r="2025" spans="2:8" x14ac:dyDescent="0.35">
      <c r="B2025"/>
      <c r="C2025"/>
      <c r="H2025"/>
    </row>
    <row r="2026" spans="2:8" x14ac:dyDescent="0.35">
      <c r="B2026"/>
      <c r="C2026"/>
      <c r="H2026"/>
    </row>
    <row r="2027" spans="2:8" x14ac:dyDescent="0.35">
      <c r="B2027"/>
      <c r="C2027"/>
      <c r="H2027"/>
    </row>
    <row r="2028" spans="2:8" x14ac:dyDescent="0.35">
      <c r="B2028"/>
      <c r="C2028"/>
      <c r="H2028"/>
    </row>
    <row r="2029" spans="2:8" x14ac:dyDescent="0.35">
      <c r="B2029"/>
      <c r="C2029"/>
      <c r="H2029"/>
    </row>
    <row r="2030" spans="2:8" x14ac:dyDescent="0.35">
      <c r="B2030"/>
      <c r="C2030"/>
      <c r="H2030"/>
    </row>
    <row r="2031" spans="2:8" x14ac:dyDescent="0.35">
      <c r="B2031"/>
      <c r="C2031"/>
      <c r="H2031"/>
    </row>
    <row r="2032" spans="2:8" x14ac:dyDescent="0.35">
      <c r="B2032"/>
      <c r="C2032"/>
      <c r="H2032"/>
    </row>
    <row r="2033" spans="2:8" x14ac:dyDescent="0.35">
      <c r="B2033"/>
      <c r="C2033"/>
      <c r="H2033"/>
    </row>
    <row r="2034" spans="2:8" x14ac:dyDescent="0.35">
      <c r="B2034"/>
      <c r="C2034"/>
      <c r="H2034"/>
    </row>
    <row r="2035" spans="2:8" x14ac:dyDescent="0.35">
      <c r="B2035"/>
      <c r="C2035"/>
      <c r="H2035"/>
    </row>
    <row r="2036" spans="2:8" x14ac:dyDescent="0.35">
      <c r="B2036"/>
      <c r="C2036"/>
      <c r="H2036"/>
    </row>
    <row r="2037" spans="2:8" x14ac:dyDescent="0.35">
      <c r="B2037"/>
      <c r="C2037"/>
      <c r="H2037"/>
    </row>
    <row r="2038" spans="2:8" x14ac:dyDescent="0.35">
      <c r="B2038"/>
      <c r="C2038"/>
      <c r="H2038"/>
    </row>
    <row r="2039" spans="2:8" x14ac:dyDescent="0.35">
      <c r="B2039"/>
      <c r="C2039"/>
      <c r="H2039"/>
    </row>
    <row r="2040" spans="2:8" x14ac:dyDescent="0.35">
      <c r="B2040"/>
      <c r="C2040"/>
      <c r="H2040"/>
    </row>
    <row r="2041" spans="2:8" x14ac:dyDescent="0.35">
      <c r="B2041"/>
      <c r="C2041"/>
      <c r="H2041"/>
    </row>
    <row r="2042" spans="2:8" x14ac:dyDescent="0.35">
      <c r="B2042"/>
      <c r="C2042"/>
      <c r="H2042"/>
    </row>
    <row r="2043" spans="2:8" x14ac:dyDescent="0.35">
      <c r="B2043"/>
      <c r="C2043"/>
      <c r="H2043"/>
    </row>
    <row r="2044" spans="2:8" x14ac:dyDescent="0.35">
      <c r="B2044"/>
      <c r="C2044"/>
      <c r="H2044"/>
    </row>
    <row r="2045" spans="2:8" x14ac:dyDescent="0.35">
      <c r="B2045"/>
      <c r="C2045"/>
      <c r="H2045"/>
    </row>
    <row r="2046" spans="2:8" x14ac:dyDescent="0.35">
      <c r="B2046"/>
      <c r="C2046"/>
      <c r="H2046"/>
    </row>
    <row r="2047" spans="2:8" x14ac:dyDescent="0.35">
      <c r="B2047"/>
      <c r="C2047"/>
      <c r="H2047"/>
    </row>
    <row r="2048" spans="2:8" x14ac:dyDescent="0.35">
      <c r="B2048"/>
      <c r="C2048"/>
      <c r="H2048"/>
    </row>
    <row r="2049" spans="2:8" x14ac:dyDescent="0.35">
      <c r="B2049"/>
      <c r="C2049"/>
      <c r="H2049"/>
    </row>
    <row r="2050" spans="2:8" x14ac:dyDescent="0.35">
      <c r="B2050"/>
      <c r="C2050"/>
      <c r="H2050"/>
    </row>
    <row r="2051" spans="2:8" x14ac:dyDescent="0.35">
      <c r="B2051"/>
      <c r="C2051"/>
      <c r="H2051"/>
    </row>
    <row r="2052" spans="2:8" x14ac:dyDescent="0.35">
      <c r="B2052"/>
      <c r="C2052"/>
      <c r="H2052"/>
    </row>
    <row r="2053" spans="2:8" x14ac:dyDescent="0.35">
      <c r="B2053"/>
      <c r="C2053"/>
      <c r="H2053"/>
    </row>
    <row r="2054" spans="2:8" x14ac:dyDescent="0.35">
      <c r="B2054"/>
      <c r="C2054"/>
      <c r="H2054"/>
    </row>
    <row r="2055" spans="2:8" x14ac:dyDescent="0.35">
      <c r="B2055"/>
      <c r="C2055"/>
      <c r="H2055"/>
    </row>
    <row r="2056" spans="2:8" x14ac:dyDescent="0.35">
      <c r="B2056"/>
      <c r="C2056"/>
      <c r="H2056"/>
    </row>
    <row r="2057" spans="2:8" x14ac:dyDescent="0.35">
      <c r="B2057"/>
      <c r="C2057"/>
      <c r="H2057"/>
    </row>
    <row r="2058" spans="2:8" x14ac:dyDescent="0.35">
      <c r="B2058"/>
      <c r="C2058"/>
      <c r="H2058"/>
    </row>
    <row r="2059" spans="2:8" x14ac:dyDescent="0.35">
      <c r="B2059"/>
      <c r="C2059"/>
      <c r="H2059"/>
    </row>
    <row r="2060" spans="2:8" x14ac:dyDescent="0.35">
      <c r="B2060"/>
      <c r="C2060"/>
      <c r="H2060"/>
    </row>
    <row r="2061" spans="2:8" x14ac:dyDescent="0.35">
      <c r="B2061"/>
      <c r="C2061"/>
      <c r="H2061"/>
    </row>
    <row r="2062" spans="2:8" x14ac:dyDescent="0.35">
      <c r="B2062"/>
      <c r="C2062"/>
      <c r="H2062"/>
    </row>
    <row r="2063" spans="2:8" x14ac:dyDescent="0.35">
      <c r="B2063"/>
      <c r="C2063"/>
      <c r="H2063"/>
    </row>
    <row r="2064" spans="2:8" x14ac:dyDescent="0.35">
      <c r="B2064"/>
      <c r="C2064"/>
      <c r="H2064"/>
    </row>
    <row r="2065" spans="2:8" x14ac:dyDescent="0.35">
      <c r="B2065"/>
      <c r="C2065"/>
      <c r="H2065"/>
    </row>
    <row r="2066" spans="2:8" x14ac:dyDescent="0.35">
      <c r="B2066"/>
      <c r="C2066"/>
      <c r="H2066"/>
    </row>
    <row r="2067" spans="2:8" x14ac:dyDescent="0.35">
      <c r="B2067"/>
      <c r="C2067"/>
      <c r="H2067"/>
    </row>
    <row r="2068" spans="2:8" x14ac:dyDescent="0.35">
      <c r="B2068"/>
      <c r="C2068"/>
      <c r="H2068"/>
    </row>
    <row r="2069" spans="2:8" x14ac:dyDescent="0.35">
      <c r="B2069"/>
      <c r="C2069"/>
      <c r="H2069"/>
    </row>
    <row r="2070" spans="2:8" x14ac:dyDescent="0.35">
      <c r="B2070"/>
      <c r="C2070"/>
      <c r="H2070"/>
    </row>
    <row r="2071" spans="2:8" x14ac:dyDescent="0.35">
      <c r="B2071"/>
      <c r="C2071"/>
      <c r="H2071"/>
    </row>
    <row r="2072" spans="2:8" x14ac:dyDescent="0.35">
      <c r="B2072"/>
      <c r="C2072"/>
      <c r="H2072"/>
    </row>
    <row r="2073" spans="2:8" x14ac:dyDescent="0.35">
      <c r="B2073"/>
      <c r="C2073"/>
      <c r="H2073"/>
    </row>
    <row r="2074" spans="2:8" x14ac:dyDescent="0.35">
      <c r="B2074"/>
      <c r="C2074"/>
      <c r="H2074"/>
    </row>
    <row r="2075" spans="2:8" x14ac:dyDescent="0.35">
      <c r="B2075"/>
      <c r="C2075"/>
      <c r="H2075"/>
    </row>
    <row r="2076" spans="2:8" x14ac:dyDescent="0.35">
      <c r="B2076"/>
      <c r="C2076"/>
      <c r="H2076"/>
    </row>
    <row r="2077" spans="2:8" x14ac:dyDescent="0.35">
      <c r="B2077"/>
      <c r="C2077"/>
      <c r="H2077"/>
    </row>
    <row r="2078" spans="2:8" x14ac:dyDescent="0.35">
      <c r="B2078"/>
      <c r="C2078"/>
      <c r="H2078"/>
    </row>
    <row r="2079" spans="2:8" x14ac:dyDescent="0.35">
      <c r="B2079"/>
      <c r="C2079"/>
      <c r="H2079"/>
    </row>
    <row r="2080" spans="2:8" x14ac:dyDescent="0.35">
      <c r="B2080"/>
      <c r="C2080"/>
      <c r="H2080"/>
    </row>
    <row r="2081" spans="2:8" x14ac:dyDescent="0.35">
      <c r="B2081"/>
      <c r="C2081"/>
      <c r="H2081"/>
    </row>
    <row r="2082" spans="2:8" x14ac:dyDescent="0.35">
      <c r="B2082"/>
      <c r="C2082"/>
      <c r="H2082"/>
    </row>
    <row r="2083" spans="2:8" x14ac:dyDescent="0.35">
      <c r="B2083"/>
      <c r="C2083"/>
      <c r="H2083"/>
    </row>
    <row r="2084" spans="2:8" x14ac:dyDescent="0.35">
      <c r="B2084"/>
      <c r="C2084"/>
      <c r="H2084"/>
    </row>
    <row r="2085" spans="2:8" x14ac:dyDescent="0.35">
      <c r="B2085"/>
      <c r="C2085"/>
      <c r="H2085"/>
    </row>
    <row r="2086" spans="2:8" x14ac:dyDescent="0.35">
      <c r="B2086"/>
      <c r="C2086"/>
      <c r="H2086"/>
    </row>
    <row r="2087" spans="2:8" x14ac:dyDescent="0.35">
      <c r="B2087"/>
      <c r="C2087"/>
      <c r="H2087"/>
    </row>
    <row r="2088" spans="2:8" x14ac:dyDescent="0.35">
      <c r="B2088"/>
      <c r="C2088"/>
      <c r="H2088"/>
    </row>
    <row r="2089" spans="2:8" x14ac:dyDescent="0.35">
      <c r="B2089"/>
      <c r="C2089"/>
      <c r="H2089"/>
    </row>
    <row r="2090" spans="2:8" x14ac:dyDescent="0.35">
      <c r="B2090"/>
      <c r="C2090"/>
      <c r="H2090"/>
    </row>
    <row r="2091" spans="2:8" x14ac:dyDescent="0.35">
      <c r="B2091"/>
      <c r="C2091"/>
      <c r="H2091"/>
    </row>
    <row r="2092" spans="2:8" x14ac:dyDescent="0.35">
      <c r="B2092"/>
      <c r="C2092"/>
      <c r="H2092"/>
    </row>
    <row r="2093" spans="2:8" x14ac:dyDescent="0.35">
      <c r="B2093"/>
      <c r="C2093"/>
      <c r="H2093"/>
    </row>
    <row r="2094" spans="2:8" x14ac:dyDescent="0.35">
      <c r="B2094"/>
      <c r="C2094"/>
      <c r="H2094"/>
    </row>
    <row r="2095" spans="2:8" x14ac:dyDescent="0.35">
      <c r="B2095"/>
      <c r="C2095"/>
      <c r="H2095"/>
    </row>
    <row r="2096" spans="2:8" x14ac:dyDescent="0.35">
      <c r="B2096"/>
      <c r="C2096"/>
      <c r="H2096"/>
    </row>
    <row r="2097" spans="2:8" x14ac:dyDescent="0.35">
      <c r="B2097"/>
      <c r="C2097"/>
      <c r="H2097"/>
    </row>
    <row r="2098" spans="2:8" x14ac:dyDescent="0.35">
      <c r="B2098"/>
      <c r="C2098"/>
      <c r="H2098"/>
    </row>
    <row r="2099" spans="2:8" x14ac:dyDescent="0.35">
      <c r="B2099"/>
      <c r="C2099"/>
      <c r="H2099"/>
    </row>
    <row r="2100" spans="2:8" x14ac:dyDescent="0.35">
      <c r="B2100"/>
      <c r="C2100"/>
      <c r="H2100"/>
    </row>
    <row r="2101" spans="2:8" x14ac:dyDescent="0.35">
      <c r="B2101"/>
      <c r="C2101"/>
      <c r="H2101"/>
    </row>
    <row r="2102" spans="2:8" x14ac:dyDescent="0.35">
      <c r="B2102"/>
      <c r="C2102"/>
      <c r="H2102"/>
    </row>
    <row r="2103" spans="2:8" x14ac:dyDescent="0.35">
      <c r="B2103"/>
      <c r="C2103"/>
      <c r="H2103"/>
    </row>
    <row r="2104" spans="2:8" x14ac:dyDescent="0.35">
      <c r="B2104"/>
      <c r="C2104"/>
      <c r="H2104"/>
    </row>
    <row r="2105" spans="2:8" x14ac:dyDescent="0.35">
      <c r="B2105"/>
      <c r="C2105"/>
      <c r="H2105"/>
    </row>
    <row r="2106" spans="2:8" x14ac:dyDescent="0.35">
      <c r="B2106"/>
      <c r="C2106"/>
      <c r="H2106"/>
    </row>
    <row r="2107" spans="2:8" x14ac:dyDescent="0.35">
      <c r="B2107"/>
      <c r="C2107"/>
      <c r="H2107"/>
    </row>
    <row r="2108" spans="2:8" x14ac:dyDescent="0.35">
      <c r="B2108"/>
      <c r="C2108"/>
      <c r="H2108"/>
    </row>
    <row r="2109" spans="2:8" x14ac:dyDescent="0.35">
      <c r="B2109"/>
      <c r="C2109"/>
      <c r="H2109"/>
    </row>
    <row r="2110" spans="2:8" x14ac:dyDescent="0.35">
      <c r="B2110"/>
      <c r="C2110"/>
      <c r="H2110"/>
    </row>
    <row r="2111" spans="2:8" x14ac:dyDescent="0.35">
      <c r="B2111"/>
      <c r="C2111"/>
      <c r="H2111"/>
    </row>
    <row r="2112" spans="2:8" x14ac:dyDescent="0.35">
      <c r="B2112"/>
      <c r="C2112"/>
      <c r="H2112"/>
    </row>
    <row r="2113" spans="2:8" x14ac:dyDescent="0.35">
      <c r="B2113"/>
      <c r="C2113"/>
      <c r="H2113"/>
    </row>
    <row r="2114" spans="2:8" x14ac:dyDescent="0.35">
      <c r="B2114"/>
      <c r="C2114"/>
      <c r="H2114"/>
    </row>
    <row r="2115" spans="2:8" x14ac:dyDescent="0.35">
      <c r="B2115"/>
      <c r="C2115"/>
      <c r="H2115"/>
    </row>
    <row r="2116" spans="2:8" x14ac:dyDescent="0.35">
      <c r="B2116"/>
      <c r="C2116"/>
      <c r="H2116"/>
    </row>
    <row r="2117" spans="2:8" x14ac:dyDescent="0.35">
      <c r="B2117"/>
      <c r="C2117"/>
      <c r="H2117"/>
    </row>
    <row r="2118" spans="2:8" x14ac:dyDescent="0.35">
      <c r="B2118"/>
      <c r="C2118"/>
      <c r="H2118"/>
    </row>
    <row r="2119" spans="2:8" x14ac:dyDescent="0.35">
      <c r="B2119"/>
      <c r="C2119"/>
      <c r="H2119"/>
    </row>
    <row r="2120" spans="2:8" x14ac:dyDescent="0.35">
      <c r="B2120"/>
      <c r="C2120"/>
      <c r="H2120"/>
    </row>
    <row r="2121" spans="2:8" x14ac:dyDescent="0.35">
      <c r="B2121"/>
      <c r="C2121"/>
      <c r="H2121"/>
    </row>
    <row r="2122" spans="2:8" x14ac:dyDescent="0.35">
      <c r="B2122"/>
      <c r="C2122"/>
      <c r="H2122"/>
    </row>
    <row r="2123" spans="2:8" x14ac:dyDescent="0.35">
      <c r="B2123"/>
      <c r="C2123"/>
      <c r="H2123"/>
    </row>
    <row r="2124" spans="2:8" x14ac:dyDescent="0.35">
      <c r="B2124"/>
      <c r="C2124"/>
      <c r="H2124"/>
    </row>
    <row r="2125" spans="2:8" x14ac:dyDescent="0.35">
      <c r="B2125"/>
      <c r="C2125"/>
      <c r="H2125"/>
    </row>
    <row r="2126" spans="2:8" x14ac:dyDescent="0.35">
      <c r="B2126"/>
      <c r="C2126"/>
      <c r="H2126"/>
    </row>
    <row r="2127" spans="2:8" x14ac:dyDescent="0.35">
      <c r="B2127"/>
      <c r="C2127"/>
      <c r="H2127"/>
    </row>
    <row r="2128" spans="2:8" x14ac:dyDescent="0.35">
      <c r="B2128"/>
      <c r="C2128"/>
      <c r="H2128"/>
    </row>
    <row r="2129" spans="2:8" x14ac:dyDescent="0.35">
      <c r="B2129"/>
      <c r="C2129"/>
      <c r="H2129"/>
    </row>
    <row r="2130" spans="2:8" x14ac:dyDescent="0.35">
      <c r="B2130"/>
      <c r="C2130"/>
      <c r="H2130"/>
    </row>
    <row r="2131" spans="2:8" x14ac:dyDescent="0.35">
      <c r="B2131"/>
      <c r="C2131"/>
      <c r="H2131"/>
    </row>
    <row r="2132" spans="2:8" x14ac:dyDescent="0.35">
      <c r="B2132"/>
      <c r="C2132"/>
      <c r="H2132"/>
    </row>
    <row r="2133" spans="2:8" x14ac:dyDescent="0.35">
      <c r="B2133"/>
      <c r="C2133"/>
      <c r="H2133"/>
    </row>
    <row r="2134" spans="2:8" x14ac:dyDescent="0.35">
      <c r="B2134"/>
      <c r="C2134"/>
      <c r="H2134"/>
    </row>
    <row r="2135" spans="2:8" x14ac:dyDescent="0.35">
      <c r="B2135"/>
      <c r="C2135"/>
      <c r="H2135"/>
    </row>
    <row r="2136" spans="2:8" x14ac:dyDescent="0.35">
      <c r="B2136"/>
      <c r="C2136"/>
      <c r="H2136"/>
    </row>
    <row r="2137" spans="2:8" x14ac:dyDescent="0.35">
      <c r="B2137"/>
      <c r="C2137"/>
      <c r="H2137"/>
    </row>
    <row r="2138" spans="2:8" x14ac:dyDescent="0.35">
      <c r="B2138"/>
      <c r="C2138"/>
      <c r="H2138"/>
    </row>
    <row r="2139" spans="2:8" x14ac:dyDescent="0.35">
      <c r="B2139"/>
      <c r="C2139"/>
      <c r="H2139"/>
    </row>
    <row r="2140" spans="2:8" x14ac:dyDescent="0.35">
      <c r="B2140"/>
      <c r="C2140"/>
      <c r="H2140"/>
    </row>
    <row r="2141" spans="2:8" x14ac:dyDescent="0.35">
      <c r="B2141"/>
      <c r="C2141"/>
      <c r="H2141"/>
    </row>
    <row r="2142" spans="2:8" x14ac:dyDescent="0.35">
      <c r="B2142"/>
      <c r="C2142"/>
      <c r="H2142"/>
    </row>
    <row r="2143" spans="2:8" x14ac:dyDescent="0.35">
      <c r="B2143"/>
      <c r="C2143"/>
      <c r="H2143"/>
    </row>
    <row r="2144" spans="2:8" x14ac:dyDescent="0.35">
      <c r="B2144"/>
      <c r="C2144"/>
      <c r="H2144"/>
    </row>
    <row r="2145" spans="2:8" x14ac:dyDescent="0.35">
      <c r="B2145"/>
      <c r="C2145"/>
      <c r="H2145"/>
    </row>
    <row r="2146" spans="2:8" x14ac:dyDescent="0.35">
      <c r="B2146"/>
      <c r="C2146"/>
      <c r="H2146"/>
    </row>
    <row r="2147" spans="2:8" x14ac:dyDescent="0.35">
      <c r="B2147"/>
      <c r="C2147"/>
      <c r="H2147"/>
    </row>
    <row r="2148" spans="2:8" x14ac:dyDescent="0.35">
      <c r="B2148"/>
      <c r="C2148"/>
      <c r="H2148"/>
    </row>
    <row r="2149" spans="2:8" x14ac:dyDescent="0.35">
      <c r="B2149"/>
      <c r="C2149"/>
      <c r="H2149"/>
    </row>
    <row r="2150" spans="2:8" x14ac:dyDescent="0.35">
      <c r="B2150"/>
      <c r="C2150"/>
      <c r="H2150"/>
    </row>
    <row r="2151" spans="2:8" x14ac:dyDescent="0.35">
      <c r="B2151"/>
      <c r="C2151"/>
      <c r="H2151"/>
    </row>
    <row r="2152" spans="2:8" x14ac:dyDescent="0.35">
      <c r="B2152"/>
      <c r="C2152"/>
      <c r="H2152"/>
    </row>
    <row r="2153" spans="2:8" x14ac:dyDescent="0.35">
      <c r="B2153"/>
      <c r="C2153"/>
      <c r="H2153"/>
    </row>
    <row r="2154" spans="2:8" x14ac:dyDescent="0.35">
      <c r="B2154"/>
      <c r="C2154"/>
      <c r="H2154"/>
    </row>
    <row r="2155" spans="2:8" x14ac:dyDescent="0.35">
      <c r="B2155"/>
      <c r="C2155"/>
      <c r="H2155"/>
    </row>
    <row r="2156" spans="2:8" x14ac:dyDescent="0.35">
      <c r="B2156"/>
      <c r="C2156"/>
      <c r="H2156"/>
    </row>
    <row r="2157" spans="2:8" x14ac:dyDescent="0.35">
      <c r="B2157"/>
      <c r="C2157"/>
      <c r="H2157"/>
    </row>
    <row r="2158" spans="2:8" x14ac:dyDescent="0.35">
      <c r="B2158"/>
      <c r="C2158"/>
      <c r="H2158"/>
    </row>
    <row r="2159" spans="2:8" x14ac:dyDescent="0.35">
      <c r="B2159"/>
      <c r="C2159"/>
      <c r="H2159"/>
    </row>
    <row r="2160" spans="2:8" x14ac:dyDescent="0.35">
      <c r="B2160"/>
      <c r="C2160"/>
      <c r="H2160"/>
    </row>
    <row r="2161" spans="2:8" x14ac:dyDescent="0.35">
      <c r="B2161"/>
      <c r="C2161"/>
      <c r="H2161"/>
    </row>
    <row r="2162" spans="2:8" x14ac:dyDescent="0.35">
      <c r="B2162"/>
      <c r="C2162"/>
      <c r="H2162"/>
    </row>
    <row r="2163" spans="2:8" x14ac:dyDescent="0.35">
      <c r="B2163"/>
      <c r="C2163"/>
      <c r="H2163"/>
    </row>
    <row r="2164" spans="2:8" x14ac:dyDescent="0.35">
      <c r="B2164"/>
      <c r="C2164"/>
      <c r="H2164"/>
    </row>
    <row r="2165" spans="2:8" x14ac:dyDescent="0.35">
      <c r="B2165"/>
      <c r="C2165"/>
      <c r="H2165"/>
    </row>
    <row r="2166" spans="2:8" x14ac:dyDescent="0.35">
      <c r="B2166"/>
      <c r="C2166"/>
      <c r="H2166"/>
    </row>
    <row r="2167" spans="2:8" x14ac:dyDescent="0.35">
      <c r="B2167"/>
      <c r="C2167"/>
      <c r="H2167"/>
    </row>
    <row r="2168" spans="2:8" x14ac:dyDescent="0.35">
      <c r="B2168"/>
      <c r="C2168"/>
      <c r="H2168"/>
    </row>
    <row r="2169" spans="2:8" x14ac:dyDescent="0.35">
      <c r="B2169"/>
      <c r="C2169"/>
      <c r="H2169"/>
    </row>
    <row r="2170" spans="2:8" x14ac:dyDescent="0.35">
      <c r="B2170"/>
      <c r="C2170"/>
      <c r="H2170"/>
    </row>
    <row r="2171" spans="2:8" x14ac:dyDescent="0.35">
      <c r="B2171"/>
      <c r="C2171"/>
      <c r="H2171"/>
    </row>
    <row r="2172" spans="2:8" x14ac:dyDescent="0.35">
      <c r="B2172"/>
      <c r="C2172"/>
      <c r="H2172"/>
    </row>
    <row r="2173" spans="2:8" x14ac:dyDescent="0.35">
      <c r="B2173"/>
      <c r="C2173"/>
      <c r="H2173"/>
    </row>
    <row r="2174" spans="2:8" x14ac:dyDescent="0.35">
      <c r="B2174"/>
      <c r="C2174"/>
      <c r="H2174"/>
    </row>
    <row r="2175" spans="2:8" x14ac:dyDescent="0.35">
      <c r="B2175"/>
      <c r="C2175"/>
      <c r="H2175"/>
    </row>
    <row r="2176" spans="2:8" x14ac:dyDescent="0.35">
      <c r="B2176"/>
      <c r="C2176"/>
      <c r="H2176"/>
    </row>
    <row r="2177" spans="2:8" x14ac:dyDescent="0.35">
      <c r="B2177"/>
      <c r="C2177"/>
      <c r="H2177"/>
    </row>
    <row r="2178" spans="2:8" x14ac:dyDescent="0.35">
      <c r="B2178"/>
      <c r="C2178"/>
      <c r="H2178"/>
    </row>
    <row r="2179" spans="2:8" x14ac:dyDescent="0.35">
      <c r="B2179"/>
      <c r="C2179"/>
      <c r="H2179"/>
    </row>
    <row r="2180" spans="2:8" x14ac:dyDescent="0.35">
      <c r="B2180"/>
      <c r="C2180"/>
      <c r="H2180"/>
    </row>
    <row r="2181" spans="2:8" x14ac:dyDescent="0.35">
      <c r="B2181"/>
      <c r="C2181"/>
      <c r="H2181"/>
    </row>
    <row r="2182" spans="2:8" x14ac:dyDescent="0.35">
      <c r="B2182"/>
      <c r="C2182"/>
      <c r="H2182"/>
    </row>
    <row r="2183" spans="2:8" x14ac:dyDescent="0.35">
      <c r="B2183"/>
      <c r="C2183"/>
      <c r="H2183"/>
    </row>
    <row r="2184" spans="2:8" x14ac:dyDescent="0.35">
      <c r="B2184"/>
      <c r="C2184"/>
      <c r="H2184"/>
    </row>
    <row r="2185" spans="2:8" x14ac:dyDescent="0.35">
      <c r="B2185"/>
      <c r="C2185"/>
      <c r="H2185"/>
    </row>
    <row r="2186" spans="2:8" x14ac:dyDescent="0.35">
      <c r="B2186"/>
      <c r="C2186"/>
      <c r="H2186"/>
    </row>
    <row r="2187" spans="2:8" x14ac:dyDescent="0.35">
      <c r="B2187"/>
      <c r="C2187"/>
      <c r="H2187"/>
    </row>
    <row r="2188" spans="2:8" x14ac:dyDescent="0.35">
      <c r="B2188"/>
      <c r="C2188"/>
      <c r="H2188"/>
    </row>
    <row r="2189" spans="2:8" x14ac:dyDescent="0.35">
      <c r="B2189"/>
      <c r="C2189"/>
      <c r="H2189"/>
    </row>
    <row r="2190" spans="2:8" x14ac:dyDescent="0.35">
      <c r="B2190"/>
      <c r="C2190"/>
      <c r="H2190"/>
    </row>
    <row r="2191" spans="2:8" x14ac:dyDescent="0.35">
      <c r="B2191"/>
      <c r="C2191"/>
      <c r="H2191"/>
    </row>
    <row r="2192" spans="2:8" x14ac:dyDescent="0.35">
      <c r="B2192"/>
      <c r="C2192"/>
      <c r="H2192"/>
    </row>
    <row r="2193" spans="2:8" x14ac:dyDescent="0.35">
      <c r="B2193"/>
      <c r="C2193"/>
      <c r="H2193"/>
    </row>
    <row r="2194" spans="2:8" x14ac:dyDescent="0.35">
      <c r="B2194"/>
      <c r="C2194"/>
      <c r="H2194"/>
    </row>
    <row r="2195" spans="2:8" x14ac:dyDescent="0.35">
      <c r="B2195"/>
      <c r="C2195"/>
      <c r="H2195"/>
    </row>
    <row r="2196" spans="2:8" x14ac:dyDescent="0.35">
      <c r="B2196"/>
      <c r="C2196"/>
      <c r="H2196"/>
    </row>
    <row r="2197" spans="2:8" x14ac:dyDescent="0.35">
      <c r="B2197"/>
      <c r="C2197"/>
      <c r="H2197"/>
    </row>
    <row r="2198" spans="2:8" x14ac:dyDescent="0.35">
      <c r="B2198"/>
      <c r="C2198"/>
      <c r="H2198"/>
    </row>
    <row r="2199" spans="2:8" x14ac:dyDescent="0.35">
      <c r="B2199"/>
      <c r="C2199"/>
      <c r="H2199"/>
    </row>
    <row r="2200" spans="2:8" x14ac:dyDescent="0.35">
      <c r="B2200"/>
      <c r="C2200"/>
      <c r="H2200"/>
    </row>
    <row r="2201" spans="2:8" x14ac:dyDescent="0.35">
      <c r="B2201"/>
      <c r="C2201"/>
      <c r="H2201"/>
    </row>
    <row r="2202" spans="2:8" x14ac:dyDescent="0.35">
      <c r="B2202"/>
      <c r="C2202"/>
      <c r="H2202"/>
    </row>
    <row r="2203" spans="2:8" x14ac:dyDescent="0.35">
      <c r="B2203"/>
      <c r="C2203"/>
      <c r="H2203"/>
    </row>
    <row r="2204" spans="2:8" x14ac:dyDescent="0.35">
      <c r="B2204"/>
      <c r="C2204"/>
      <c r="H2204"/>
    </row>
    <row r="2205" spans="2:8" x14ac:dyDescent="0.35">
      <c r="B2205"/>
      <c r="C2205"/>
      <c r="H2205"/>
    </row>
    <row r="2206" spans="2:8" x14ac:dyDescent="0.35">
      <c r="B2206"/>
      <c r="C2206"/>
      <c r="H2206"/>
    </row>
    <row r="2207" spans="2:8" x14ac:dyDescent="0.35">
      <c r="B2207"/>
      <c r="C2207"/>
      <c r="H2207"/>
    </row>
    <row r="2208" spans="2:8" x14ac:dyDescent="0.35">
      <c r="B2208"/>
      <c r="C2208"/>
      <c r="H2208"/>
    </row>
    <row r="2209" spans="2:8" x14ac:dyDescent="0.35">
      <c r="B2209"/>
      <c r="C2209"/>
      <c r="H2209"/>
    </row>
    <row r="2210" spans="2:8" x14ac:dyDescent="0.35">
      <c r="B2210"/>
      <c r="C2210"/>
      <c r="H2210"/>
    </row>
    <row r="2211" spans="2:8" x14ac:dyDescent="0.35">
      <c r="B2211"/>
      <c r="C2211"/>
      <c r="H2211"/>
    </row>
    <row r="2212" spans="2:8" x14ac:dyDescent="0.35">
      <c r="B2212"/>
      <c r="C2212"/>
      <c r="H2212"/>
    </row>
    <row r="2213" spans="2:8" x14ac:dyDescent="0.35">
      <c r="B2213"/>
      <c r="C2213"/>
      <c r="H2213"/>
    </row>
    <row r="2214" spans="2:8" x14ac:dyDescent="0.35">
      <c r="B2214"/>
      <c r="C2214"/>
      <c r="H2214"/>
    </row>
    <row r="2215" spans="2:8" x14ac:dyDescent="0.35">
      <c r="B2215"/>
      <c r="C2215"/>
      <c r="H2215"/>
    </row>
    <row r="2216" spans="2:8" x14ac:dyDescent="0.35">
      <c r="B2216"/>
      <c r="C2216"/>
      <c r="H2216"/>
    </row>
    <row r="2217" spans="2:8" x14ac:dyDescent="0.35">
      <c r="B2217"/>
      <c r="C2217"/>
      <c r="H2217"/>
    </row>
    <row r="2218" spans="2:8" x14ac:dyDescent="0.35">
      <c r="B2218"/>
      <c r="C2218"/>
      <c r="H2218"/>
    </row>
    <row r="2219" spans="2:8" x14ac:dyDescent="0.35">
      <c r="B2219"/>
      <c r="C2219"/>
      <c r="H2219"/>
    </row>
    <row r="2220" spans="2:8" x14ac:dyDescent="0.35">
      <c r="B2220"/>
      <c r="C2220"/>
      <c r="H2220"/>
    </row>
    <row r="2221" spans="2:8" x14ac:dyDescent="0.35">
      <c r="B2221"/>
      <c r="C2221"/>
      <c r="H2221"/>
    </row>
    <row r="2222" spans="2:8" x14ac:dyDescent="0.35">
      <c r="B2222"/>
      <c r="C2222"/>
      <c r="H2222"/>
    </row>
    <row r="2223" spans="2:8" x14ac:dyDescent="0.35">
      <c r="B2223"/>
      <c r="C2223"/>
      <c r="H2223"/>
    </row>
    <row r="2224" spans="2:8" x14ac:dyDescent="0.35">
      <c r="B2224"/>
      <c r="C2224"/>
      <c r="H2224"/>
    </row>
    <row r="2225" spans="2:8" x14ac:dyDescent="0.35">
      <c r="B2225"/>
      <c r="C2225"/>
      <c r="H2225"/>
    </row>
    <row r="2226" spans="2:8" x14ac:dyDescent="0.35">
      <c r="B2226"/>
      <c r="C2226"/>
      <c r="H2226"/>
    </row>
    <row r="2227" spans="2:8" x14ac:dyDescent="0.35">
      <c r="B2227"/>
      <c r="C2227"/>
      <c r="H2227"/>
    </row>
    <row r="2228" spans="2:8" x14ac:dyDescent="0.35">
      <c r="B2228"/>
      <c r="C2228"/>
      <c r="H2228"/>
    </row>
    <row r="2229" spans="2:8" x14ac:dyDescent="0.35">
      <c r="B2229"/>
      <c r="C2229"/>
      <c r="H2229"/>
    </row>
    <row r="2230" spans="2:8" x14ac:dyDescent="0.35">
      <c r="B2230"/>
      <c r="C2230"/>
      <c r="H2230"/>
    </row>
    <row r="2231" spans="2:8" x14ac:dyDescent="0.35">
      <c r="B2231"/>
      <c r="C2231"/>
      <c r="H2231"/>
    </row>
    <row r="2232" spans="2:8" x14ac:dyDescent="0.35">
      <c r="B2232"/>
      <c r="C2232"/>
      <c r="H2232"/>
    </row>
    <row r="2233" spans="2:8" x14ac:dyDescent="0.35">
      <c r="B2233"/>
      <c r="C2233"/>
      <c r="H2233"/>
    </row>
    <row r="2234" spans="2:8" x14ac:dyDescent="0.35">
      <c r="B2234"/>
      <c r="C2234"/>
      <c r="H2234"/>
    </row>
    <row r="2235" spans="2:8" x14ac:dyDescent="0.35">
      <c r="B2235"/>
      <c r="C2235"/>
      <c r="H2235"/>
    </row>
    <row r="2236" spans="2:8" x14ac:dyDescent="0.35">
      <c r="B2236"/>
      <c r="C2236"/>
      <c r="H2236"/>
    </row>
    <row r="2237" spans="2:8" x14ac:dyDescent="0.35">
      <c r="B2237"/>
      <c r="C2237"/>
      <c r="H2237"/>
    </row>
    <row r="2238" spans="2:8" x14ac:dyDescent="0.35">
      <c r="B2238"/>
      <c r="C2238"/>
      <c r="H2238"/>
    </row>
    <row r="2239" spans="2:8" x14ac:dyDescent="0.35">
      <c r="B2239"/>
      <c r="C2239"/>
      <c r="H2239"/>
    </row>
    <row r="2240" spans="2:8" x14ac:dyDescent="0.35">
      <c r="B2240"/>
      <c r="C2240"/>
      <c r="H2240"/>
    </row>
    <row r="2241" spans="2:8" x14ac:dyDescent="0.35">
      <c r="B2241"/>
      <c r="C2241"/>
      <c r="H2241"/>
    </row>
    <row r="2242" spans="2:8" x14ac:dyDescent="0.35">
      <c r="B2242"/>
      <c r="C2242"/>
      <c r="H2242"/>
    </row>
    <row r="2243" spans="2:8" x14ac:dyDescent="0.35">
      <c r="B2243"/>
      <c r="C2243"/>
      <c r="H2243"/>
    </row>
    <row r="2244" spans="2:8" x14ac:dyDescent="0.35">
      <c r="B2244"/>
      <c r="C2244"/>
      <c r="H2244"/>
    </row>
    <row r="2245" spans="2:8" x14ac:dyDescent="0.35">
      <c r="B2245"/>
      <c r="C2245"/>
      <c r="H2245"/>
    </row>
    <row r="2246" spans="2:8" x14ac:dyDescent="0.35">
      <c r="B2246"/>
      <c r="C2246"/>
      <c r="H2246"/>
    </row>
    <row r="2247" spans="2:8" x14ac:dyDescent="0.35">
      <c r="B2247"/>
      <c r="C2247"/>
      <c r="H2247"/>
    </row>
    <row r="2248" spans="2:8" x14ac:dyDescent="0.35">
      <c r="B2248"/>
      <c r="C2248"/>
      <c r="H2248"/>
    </row>
    <row r="2249" spans="2:8" x14ac:dyDescent="0.35">
      <c r="B2249"/>
      <c r="C2249"/>
      <c r="H2249"/>
    </row>
    <row r="2250" spans="2:8" x14ac:dyDescent="0.35">
      <c r="B2250"/>
      <c r="C2250"/>
      <c r="H2250"/>
    </row>
    <row r="2251" spans="2:8" x14ac:dyDescent="0.35">
      <c r="B2251"/>
      <c r="C2251"/>
      <c r="H2251"/>
    </row>
    <row r="2252" spans="2:8" x14ac:dyDescent="0.35">
      <c r="B2252"/>
      <c r="C2252"/>
      <c r="H2252"/>
    </row>
    <row r="2253" spans="2:8" x14ac:dyDescent="0.35">
      <c r="B2253"/>
      <c r="C2253"/>
      <c r="H2253"/>
    </row>
    <row r="2254" spans="2:8" x14ac:dyDescent="0.35">
      <c r="B2254"/>
      <c r="C2254"/>
      <c r="H2254"/>
    </row>
    <row r="2255" spans="2:8" x14ac:dyDescent="0.35">
      <c r="B2255"/>
      <c r="C2255"/>
      <c r="H2255"/>
    </row>
    <row r="2256" spans="2:8" x14ac:dyDescent="0.35">
      <c r="B2256"/>
      <c r="C2256"/>
      <c r="H2256"/>
    </row>
    <row r="2257" spans="2:8" x14ac:dyDescent="0.35">
      <c r="B2257"/>
      <c r="C2257"/>
      <c r="H2257"/>
    </row>
    <row r="2258" spans="2:8" x14ac:dyDescent="0.35">
      <c r="B2258"/>
      <c r="C2258"/>
      <c r="H2258"/>
    </row>
    <row r="2259" spans="2:8" x14ac:dyDescent="0.35">
      <c r="B2259"/>
      <c r="C2259"/>
      <c r="H2259"/>
    </row>
    <row r="2260" spans="2:8" x14ac:dyDescent="0.35">
      <c r="B2260"/>
      <c r="C2260"/>
      <c r="H2260"/>
    </row>
    <row r="2261" spans="2:8" x14ac:dyDescent="0.35">
      <c r="B2261"/>
      <c r="C2261"/>
      <c r="H2261"/>
    </row>
    <row r="2262" spans="2:8" x14ac:dyDescent="0.35">
      <c r="B2262"/>
      <c r="C2262"/>
      <c r="H2262"/>
    </row>
    <row r="2263" spans="2:8" x14ac:dyDescent="0.35">
      <c r="B2263"/>
      <c r="C2263"/>
      <c r="H2263"/>
    </row>
    <row r="2264" spans="2:8" x14ac:dyDescent="0.35">
      <c r="B2264"/>
      <c r="C2264"/>
      <c r="H2264"/>
    </row>
    <row r="2265" spans="2:8" x14ac:dyDescent="0.35">
      <c r="B2265"/>
      <c r="C2265"/>
      <c r="H2265"/>
    </row>
    <row r="2266" spans="2:8" x14ac:dyDescent="0.35">
      <c r="B2266"/>
      <c r="C2266"/>
      <c r="H2266"/>
    </row>
    <row r="2267" spans="2:8" x14ac:dyDescent="0.35">
      <c r="B2267"/>
      <c r="C2267"/>
      <c r="H2267"/>
    </row>
    <row r="2268" spans="2:8" x14ac:dyDescent="0.35">
      <c r="B2268"/>
      <c r="C2268"/>
      <c r="H2268"/>
    </row>
    <row r="2269" spans="2:8" x14ac:dyDescent="0.35">
      <c r="B2269"/>
      <c r="C2269"/>
      <c r="H2269"/>
    </row>
    <row r="2270" spans="2:8" x14ac:dyDescent="0.35">
      <c r="B2270"/>
      <c r="C2270"/>
      <c r="H2270"/>
    </row>
    <row r="2271" spans="2:8" x14ac:dyDescent="0.35">
      <c r="B2271"/>
      <c r="C2271"/>
      <c r="H2271"/>
    </row>
    <row r="2272" spans="2:8" x14ac:dyDescent="0.35">
      <c r="B2272"/>
      <c r="C2272"/>
      <c r="H2272"/>
    </row>
    <row r="2273" spans="2:8" x14ac:dyDescent="0.35">
      <c r="B2273"/>
      <c r="C2273"/>
      <c r="H2273"/>
    </row>
    <row r="2274" spans="2:8" x14ac:dyDescent="0.35">
      <c r="B2274"/>
      <c r="C2274"/>
      <c r="H2274"/>
    </row>
    <row r="2275" spans="2:8" x14ac:dyDescent="0.35">
      <c r="B2275"/>
      <c r="C2275"/>
      <c r="H2275"/>
    </row>
    <row r="2276" spans="2:8" x14ac:dyDescent="0.35">
      <c r="B2276"/>
      <c r="C2276"/>
      <c r="H2276"/>
    </row>
    <row r="2277" spans="2:8" x14ac:dyDescent="0.35">
      <c r="B2277"/>
      <c r="C2277"/>
      <c r="H2277"/>
    </row>
    <row r="2278" spans="2:8" x14ac:dyDescent="0.35">
      <c r="B2278"/>
      <c r="C2278"/>
      <c r="H2278"/>
    </row>
    <row r="2279" spans="2:8" x14ac:dyDescent="0.35">
      <c r="B2279"/>
      <c r="C2279"/>
      <c r="H2279"/>
    </row>
    <row r="2280" spans="2:8" x14ac:dyDescent="0.35">
      <c r="B2280"/>
      <c r="C2280"/>
      <c r="H2280"/>
    </row>
    <row r="2281" spans="2:8" x14ac:dyDescent="0.35">
      <c r="B2281"/>
      <c r="C2281"/>
      <c r="H2281"/>
    </row>
    <row r="2282" spans="2:8" x14ac:dyDescent="0.35">
      <c r="B2282"/>
      <c r="C2282"/>
      <c r="H2282"/>
    </row>
    <row r="2283" spans="2:8" x14ac:dyDescent="0.35">
      <c r="B2283"/>
      <c r="C2283"/>
      <c r="H2283"/>
    </row>
    <row r="2284" spans="2:8" x14ac:dyDescent="0.35">
      <c r="B2284"/>
      <c r="C2284"/>
      <c r="H2284"/>
    </row>
    <row r="2285" spans="2:8" x14ac:dyDescent="0.35">
      <c r="B2285"/>
      <c r="C2285"/>
      <c r="H2285"/>
    </row>
    <row r="2286" spans="2:8" x14ac:dyDescent="0.35">
      <c r="B2286"/>
      <c r="C2286"/>
      <c r="H2286"/>
    </row>
    <row r="2287" spans="2:8" x14ac:dyDescent="0.35">
      <c r="B2287"/>
      <c r="C2287"/>
      <c r="H2287"/>
    </row>
    <row r="2288" spans="2:8" x14ac:dyDescent="0.35">
      <c r="B2288"/>
      <c r="C2288"/>
      <c r="H2288"/>
    </row>
    <row r="2289" spans="2:8" x14ac:dyDescent="0.35">
      <c r="B2289"/>
      <c r="C2289"/>
      <c r="H2289"/>
    </row>
    <row r="2290" spans="2:8" x14ac:dyDescent="0.35">
      <c r="B2290"/>
      <c r="C2290"/>
      <c r="H2290"/>
    </row>
    <row r="2291" spans="2:8" x14ac:dyDescent="0.35">
      <c r="B2291"/>
      <c r="C2291"/>
      <c r="H2291"/>
    </row>
    <row r="2292" spans="2:8" x14ac:dyDescent="0.35">
      <c r="B2292"/>
      <c r="C2292"/>
      <c r="H2292"/>
    </row>
    <row r="2293" spans="2:8" x14ac:dyDescent="0.35">
      <c r="B2293"/>
      <c r="C2293"/>
      <c r="H2293"/>
    </row>
    <row r="2294" spans="2:8" x14ac:dyDescent="0.35">
      <c r="B2294"/>
      <c r="C2294"/>
      <c r="H2294"/>
    </row>
    <row r="2295" spans="2:8" x14ac:dyDescent="0.35">
      <c r="B2295"/>
      <c r="C2295"/>
      <c r="H2295"/>
    </row>
    <row r="2296" spans="2:8" x14ac:dyDescent="0.35">
      <c r="B2296"/>
      <c r="C2296"/>
      <c r="H2296"/>
    </row>
    <row r="2297" spans="2:8" x14ac:dyDescent="0.35">
      <c r="B2297"/>
      <c r="C2297"/>
      <c r="H2297"/>
    </row>
    <row r="2298" spans="2:8" x14ac:dyDescent="0.35">
      <c r="B2298"/>
      <c r="C2298"/>
      <c r="H2298"/>
    </row>
    <row r="2299" spans="2:8" x14ac:dyDescent="0.35">
      <c r="B2299"/>
      <c r="C2299"/>
      <c r="H2299"/>
    </row>
    <row r="2300" spans="2:8" x14ac:dyDescent="0.35">
      <c r="B2300"/>
      <c r="C2300"/>
      <c r="H2300"/>
    </row>
    <row r="2301" spans="2:8" x14ac:dyDescent="0.35">
      <c r="B2301"/>
      <c r="C2301"/>
      <c r="H2301"/>
    </row>
    <row r="2302" spans="2:8" x14ac:dyDescent="0.35">
      <c r="B2302"/>
      <c r="C2302"/>
      <c r="H2302"/>
    </row>
    <row r="2303" spans="2:8" x14ac:dyDescent="0.35">
      <c r="B2303"/>
      <c r="C2303"/>
      <c r="H2303"/>
    </row>
    <row r="2304" spans="2:8" x14ac:dyDescent="0.35">
      <c r="B2304"/>
      <c r="C2304"/>
      <c r="H2304"/>
    </row>
    <row r="2305" spans="2:8" x14ac:dyDescent="0.35">
      <c r="B2305"/>
      <c r="C2305"/>
      <c r="H2305"/>
    </row>
    <row r="2306" spans="2:8" x14ac:dyDescent="0.35">
      <c r="B2306"/>
      <c r="C2306"/>
      <c r="H2306"/>
    </row>
    <row r="2307" spans="2:8" x14ac:dyDescent="0.35">
      <c r="B2307"/>
      <c r="C2307"/>
      <c r="H2307"/>
    </row>
    <row r="2308" spans="2:8" x14ac:dyDescent="0.35">
      <c r="B2308"/>
      <c r="C2308"/>
      <c r="H2308"/>
    </row>
    <row r="2309" spans="2:8" x14ac:dyDescent="0.35">
      <c r="B2309"/>
      <c r="C2309"/>
      <c r="H2309"/>
    </row>
    <row r="2310" spans="2:8" x14ac:dyDescent="0.35">
      <c r="B2310"/>
      <c r="C2310"/>
      <c r="H2310"/>
    </row>
    <row r="2311" spans="2:8" x14ac:dyDescent="0.35">
      <c r="B2311"/>
      <c r="C2311"/>
      <c r="H2311"/>
    </row>
    <row r="2312" spans="2:8" x14ac:dyDescent="0.35">
      <c r="B2312"/>
      <c r="C2312"/>
      <c r="H2312"/>
    </row>
    <row r="2313" spans="2:8" x14ac:dyDescent="0.35">
      <c r="B2313"/>
      <c r="C2313"/>
      <c r="H2313"/>
    </row>
    <row r="2314" spans="2:8" x14ac:dyDescent="0.35">
      <c r="B2314"/>
      <c r="C2314"/>
      <c r="H2314"/>
    </row>
    <row r="2315" spans="2:8" x14ac:dyDescent="0.35">
      <c r="B2315"/>
      <c r="C2315"/>
      <c r="H2315"/>
    </row>
    <row r="2316" spans="2:8" x14ac:dyDescent="0.35">
      <c r="B2316"/>
      <c r="C2316"/>
      <c r="H2316"/>
    </row>
    <row r="2317" spans="2:8" x14ac:dyDescent="0.35">
      <c r="B2317"/>
      <c r="C2317"/>
      <c r="H2317"/>
    </row>
    <row r="2318" spans="2:8" x14ac:dyDescent="0.35">
      <c r="B2318"/>
      <c r="C2318"/>
      <c r="H2318"/>
    </row>
    <row r="2319" spans="2:8" x14ac:dyDescent="0.35">
      <c r="B2319"/>
      <c r="C2319"/>
      <c r="H2319"/>
    </row>
    <row r="2320" spans="2:8" x14ac:dyDescent="0.35">
      <c r="B2320"/>
      <c r="C2320"/>
      <c r="H2320"/>
    </row>
    <row r="2321" spans="2:8" x14ac:dyDescent="0.35">
      <c r="B2321"/>
      <c r="C2321"/>
      <c r="H2321"/>
    </row>
    <row r="2322" spans="2:8" x14ac:dyDescent="0.35">
      <c r="B2322"/>
      <c r="C2322"/>
      <c r="H2322"/>
    </row>
    <row r="2323" spans="2:8" x14ac:dyDescent="0.35">
      <c r="B2323"/>
      <c r="C2323"/>
      <c r="H2323"/>
    </row>
    <row r="2324" spans="2:8" x14ac:dyDescent="0.35">
      <c r="B2324"/>
      <c r="C2324"/>
      <c r="H2324"/>
    </row>
    <row r="2325" spans="2:8" x14ac:dyDescent="0.35">
      <c r="B2325"/>
      <c r="C2325"/>
      <c r="H2325"/>
    </row>
    <row r="2326" spans="2:8" x14ac:dyDescent="0.35">
      <c r="B2326"/>
      <c r="C2326"/>
      <c r="H2326"/>
    </row>
    <row r="2327" spans="2:8" x14ac:dyDescent="0.35">
      <c r="B2327"/>
      <c r="C2327"/>
      <c r="H2327"/>
    </row>
    <row r="2328" spans="2:8" x14ac:dyDescent="0.35">
      <c r="B2328"/>
      <c r="C2328"/>
      <c r="H2328"/>
    </row>
    <row r="2329" spans="2:8" x14ac:dyDescent="0.35">
      <c r="B2329"/>
      <c r="C2329"/>
      <c r="H2329"/>
    </row>
    <row r="2330" spans="2:8" x14ac:dyDescent="0.35">
      <c r="B2330"/>
      <c r="C2330"/>
      <c r="H2330"/>
    </row>
    <row r="2331" spans="2:8" x14ac:dyDescent="0.35">
      <c r="B2331"/>
      <c r="C2331"/>
      <c r="H2331"/>
    </row>
    <row r="2332" spans="2:8" x14ac:dyDescent="0.35">
      <c r="B2332"/>
      <c r="C2332"/>
      <c r="H2332"/>
    </row>
    <row r="2333" spans="2:8" x14ac:dyDescent="0.35">
      <c r="B2333"/>
      <c r="C2333"/>
      <c r="H2333"/>
    </row>
    <row r="2334" spans="2:8" x14ac:dyDescent="0.35">
      <c r="B2334"/>
      <c r="C2334"/>
      <c r="H2334"/>
    </row>
    <row r="2335" spans="2:8" x14ac:dyDescent="0.35">
      <c r="B2335"/>
      <c r="C2335"/>
      <c r="H2335"/>
    </row>
    <row r="2336" spans="2:8" x14ac:dyDescent="0.35">
      <c r="B2336"/>
      <c r="C2336"/>
      <c r="H2336"/>
    </row>
    <row r="2337" spans="2:8" x14ac:dyDescent="0.35">
      <c r="B2337"/>
      <c r="C2337"/>
      <c r="H2337"/>
    </row>
    <row r="2338" spans="2:8" x14ac:dyDescent="0.35">
      <c r="B2338"/>
      <c r="C2338"/>
      <c r="H2338"/>
    </row>
    <row r="2339" spans="2:8" x14ac:dyDescent="0.35">
      <c r="B2339"/>
      <c r="C2339"/>
      <c r="H2339"/>
    </row>
    <row r="2340" spans="2:8" x14ac:dyDescent="0.35">
      <c r="B2340"/>
      <c r="C2340"/>
      <c r="H2340"/>
    </row>
    <row r="2341" spans="2:8" x14ac:dyDescent="0.35">
      <c r="B2341"/>
      <c r="C2341"/>
      <c r="H2341"/>
    </row>
    <row r="2342" spans="2:8" x14ac:dyDescent="0.35">
      <c r="B2342"/>
      <c r="C2342"/>
      <c r="H2342"/>
    </row>
    <row r="2343" spans="2:8" x14ac:dyDescent="0.35">
      <c r="B2343"/>
      <c r="C2343"/>
      <c r="H2343"/>
    </row>
    <row r="2344" spans="2:8" x14ac:dyDescent="0.35">
      <c r="B2344"/>
      <c r="C2344"/>
      <c r="H2344"/>
    </row>
    <row r="2345" spans="2:8" x14ac:dyDescent="0.35">
      <c r="B2345"/>
      <c r="C2345"/>
      <c r="H2345"/>
    </row>
    <row r="2346" spans="2:8" x14ac:dyDescent="0.35">
      <c r="B2346"/>
      <c r="C2346"/>
      <c r="H2346"/>
    </row>
    <row r="2347" spans="2:8" x14ac:dyDescent="0.35">
      <c r="B2347"/>
      <c r="C2347"/>
      <c r="H2347"/>
    </row>
    <row r="2348" spans="2:8" x14ac:dyDescent="0.35">
      <c r="B2348"/>
      <c r="C2348"/>
      <c r="H2348"/>
    </row>
    <row r="2349" spans="2:8" x14ac:dyDescent="0.35">
      <c r="B2349"/>
      <c r="C2349"/>
      <c r="H2349"/>
    </row>
    <row r="2350" spans="2:8" x14ac:dyDescent="0.35">
      <c r="B2350"/>
      <c r="C2350"/>
      <c r="H2350"/>
    </row>
    <row r="2351" spans="2:8" x14ac:dyDescent="0.35">
      <c r="B2351"/>
      <c r="C2351"/>
      <c r="H2351"/>
    </row>
    <row r="2352" spans="2:8" x14ac:dyDescent="0.35">
      <c r="B2352"/>
      <c r="C2352"/>
      <c r="H2352"/>
    </row>
    <row r="2353" spans="2:8" x14ac:dyDescent="0.35">
      <c r="B2353"/>
      <c r="C2353"/>
      <c r="H2353"/>
    </row>
    <row r="2354" spans="2:8" x14ac:dyDescent="0.35">
      <c r="B2354"/>
      <c r="C2354"/>
      <c r="H2354"/>
    </row>
    <row r="2355" spans="2:8" x14ac:dyDescent="0.35">
      <c r="B2355"/>
      <c r="C2355"/>
      <c r="H2355"/>
    </row>
    <row r="2356" spans="2:8" x14ac:dyDescent="0.35">
      <c r="B2356"/>
      <c r="C2356"/>
      <c r="H2356"/>
    </row>
    <row r="2357" spans="2:8" x14ac:dyDescent="0.35">
      <c r="B2357"/>
      <c r="C2357"/>
      <c r="H2357"/>
    </row>
    <row r="2358" spans="2:8" x14ac:dyDescent="0.35">
      <c r="B2358"/>
      <c r="C2358"/>
      <c r="H2358"/>
    </row>
    <row r="2359" spans="2:8" x14ac:dyDescent="0.35">
      <c r="B2359"/>
      <c r="C2359"/>
      <c r="H2359"/>
    </row>
    <row r="2360" spans="2:8" x14ac:dyDescent="0.35">
      <c r="B2360"/>
      <c r="C2360"/>
      <c r="H2360"/>
    </row>
    <row r="2361" spans="2:8" x14ac:dyDescent="0.35">
      <c r="B2361"/>
      <c r="C2361"/>
      <c r="H2361"/>
    </row>
    <row r="2362" spans="2:8" x14ac:dyDescent="0.35">
      <c r="B2362"/>
      <c r="C2362"/>
      <c r="H2362"/>
    </row>
    <row r="2363" spans="2:8" x14ac:dyDescent="0.35">
      <c r="B2363"/>
      <c r="C2363"/>
      <c r="H2363"/>
    </row>
    <row r="2364" spans="2:8" x14ac:dyDescent="0.35">
      <c r="B2364"/>
      <c r="C2364"/>
      <c r="H2364"/>
    </row>
    <row r="2365" spans="2:8" x14ac:dyDescent="0.35">
      <c r="B2365"/>
      <c r="C2365"/>
      <c r="H2365"/>
    </row>
    <row r="2366" spans="2:8" x14ac:dyDescent="0.35">
      <c r="B2366"/>
      <c r="C2366"/>
      <c r="H2366"/>
    </row>
    <row r="2367" spans="2:8" x14ac:dyDescent="0.35">
      <c r="B2367"/>
      <c r="C2367"/>
      <c r="H2367"/>
    </row>
    <row r="2368" spans="2:8" x14ac:dyDescent="0.35">
      <c r="B2368"/>
      <c r="C2368"/>
      <c r="H2368"/>
    </row>
    <row r="2369" spans="2:8" x14ac:dyDescent="0.35">
      <c r="B2369"/>
      <c r="C2369"/>
      <c r="H2369"/>
    </row>
    <row r="2370" spans="2:8" x14ac:dyDescent="0.35">
      <c r="B2370"/>
      <c r="C2370"/>
      <c r="H2370"/>
    </row>
    <row r="2371" spans="2:8" x14ac:dyDescent="0.35">
      <c r="B2371"/>
      <c r="C2371"/>
      <c r="H2371"/>
    </row>
    <row r="2372" spans="2:8" x14ac:dyDescent="0.35">
      <c r="B2372"/>
      <c r="C2372"/>
      <c r="H2372"/>
    </row>
    <row r="2373" spans="2:8" x14ac:dyDescent="0.35">
      <c r="B2373"/>
      <c r="C2373"/>
      <c r="H2373"/>
    </row>
    <row r="2374" spans="2:8" x14ac:dyDescent="0.35">
      <c r="B2374"/>
      <c r="C2374"/>
      <c r="H2374"/>
    </row>
    <row r="2375" spans="2:8" x14ac:dyDescent="0.35">
      <c r="B2375"/>
      <c r="C2375"/>
      <c r="H2375"/>
    </row>
    <row r="2376" spans="2:8" x14ac:dyDescent="0.35">
      <c r="B2376"/>
      <c r="C2376"/>
      <c r="H2376"/>
    </row>
    <row r="2377" spans="2:8" x14ac:dyDescent="0.35">
      <c r="B2377"/>
      <c r="C2377"/>
      <c r="H2377"/>
    </row>
    <row r="2378" spans="2:8" x14ac:dyDescent="0.35">
      <c r="B2378"/>
      <c r="C2378"/>
      <c r="H2378"/>
    </row>
    <row r="2379" spans="2:8" x14ac:dyDescent="0.35">
      <c r="B2379"/>
      <c r="C2379"/>
      <c r="H2379"/>
    </row>
    <row r="2380" spans="2:8" x14ac:dyDescent="0.35">
      <c r="B2380"/>
      <c r="C2380"/>
      <c r="H2380"/>
    </row>
    <row r="2381" spans="2:8" x14ac:dyDescent="0.35">
      <c r="B2381"/>
      <c r="C2381"/>
      <c r="H2381"/>
    </row>
    <row r="2382" spans="2:8" x14ac:dyDescent="0.35">
      <c r="B2382"/>
      <c r="C2382"/>
      <c r="H2382"/>
    </row>
    <row r="2383" spans="2:8" x14ac:dyDescent="0.35">
      <c r="B2383"/>
      <c r="C2383"/>
      <c r="H2383"/>
    </row>
    <row r="2384" spans="2:8" x14ac:dyDescent="0.35">
      <c r="B2384"/>
      <c r="C2384"/>
      <c r="H2384"/>
    </row>
    <row r="2385" spans="2:8" x14ac:dyDescent="0.35">
      <c r="B2385"/>
      <c r="C2385"/>
      <c r="H2385"/>
    </row>
    <row r="2386" spans="2:8" x14ac:dyDescent="0.35">
      <c r="B2386"/>
      <c r="C2386"/>
      <c r="H2386"/>
    </row>
    <row r="2387" spans="2:8" x14ac:dyDescent="0.35">
      <c r="B2387"/>
      <c r="C2387"/>
      <c r="H2387"/>
    </row>
    <row r="2388" spans="2:8" x14ac:dyDescent="0.35">
      <c r="B2388"/>
      <c r="C2388"/>
      <c r="H2388"/>
    </row>
    <row r="2389" spans="2:8" x14ac:dyDescent="0.35">
      <c r="B2389"/>
      <c r="C2389"/>
      <c r="H2389"/>
    </row>
    <row r="2390" spans="2:8" x14ac:dyDescent="0.35">
      <c r="B2390"/>
      <c r="C2390"/>
      <c r="H2390"/>
    </row>
    <row r="2391" spans="2:8" x14ac:dyDescent="0.35">
      <c r="B2391"/>
      <c r="C2391"/>
      <c r="H2391"/>
    </row>
    <row r="2392" spans="2:8" x14ac:dyDescent="0.35">
      <c r="B2392"/>
      <c r="C2392"/>
      <c r="H2392"/>
    </row>
    <row r="2393" spans="2:8" x14ac:dyDescent="0.35">
      <c r="B2393"/>
      <c r="C2393"/>
      <c r="H2393"/>
    </row>
    <row r="2394" spans="2:8" x14ac:dyDescent="0.35">
      <c r="B2394"/>
      <c r="C2394"/>
      <c r="H2394"/>
    </row>
    <row r="2395" spans="2:8" x14ac:dyDescent="0.35">
      <c r="B2395"/>
      <c r="C2395"/>
      <c r="H2395"/>
    </row>
    <row r="2396" spans="2:8" x14ac:dyDescent="0.35">
      <c r="B2396"/>
      <c r="C2396"/>
      <c r="H2396"/>
    </row>
    <row r="2397" spans="2:8" x14ac:dyDescent="0.35">
      <c r="B2397"/>
      <c r="C2397"/>
      <c r="H2397"/>
    </row>
    <row r="2398" spans="2:8" x14ac:dyDescent="0.35">
      <c r="B2398"/>
      <c r="C2398"/>
      <c r="H2398"/>
    </row>
    <row r="2399" spans="2:8" x14ac:dyDescent="0.35">
      <c r="B2399"/>
      <c r="C2399"/>
      <c r="H2399"/>
    </row>
    <row r="2400" spans="2:8" x14ac:dyDescent="0.35">
      <c r="B2400"/>
      <c r="C2400"/>
      <c r="H2400"/>
    </row>
    <row r="2401" spans="2:8" x14ac:dyDescent="0.35">
      <c r="B2401"/>
      <c r="C2401"/>
      <c r="H2401"/>
    </row>
    <row r="2402" spans="2:8" x14ac:dyDescent="0.35">
      <c r="B2402"/>
      <c r="C2402"/>
      <c r="H2402"/>
    </row>
    <row r="2403" spans="2:8" x14ac:dyDescent="0.35">
      <c r="B2403"/>
      <c r="C2403"/>
      <c r="H2403"/>
    </row>
    <row r="2404" spans="2:8" x14ac:dyDescent="0.35">
      <c r="B2404"/>
      <c r="C2404"/>
      <c r="H2404"/>
    </row>
    <row r="2405" spans="2:8" x14ac:dyDescent="0.35">
      <c r="B2405"/>
      <c r="C2405"/>
      <c r="H2405"/>
    </row>
    <row r="2406" spans="2:8" x14ac:dyDescent="0.35">
      <c r="B2406"/>
      <c r="C2406"/>
      <c r="H2406"/>
    </row>
    <row r="2407" spans="2:8" x14ac:dyDescent="0.35">
      <c r="B2407"/>
      <c r="C2407"/>
      <c r="H2407"/>
    </row>
    <row r="2408" spans="2:8" x14ac:dyDescent="0.35">
      <c r="B2408"/>
      <c r="C2408"/>
      <c r="H2408"/>
    </row>
    <row r="2409" spans="2:8" x14ac:dyDescent="0.35">
      <c r="B2409"/>
      <c r="C2409"/>
      <c r="H2409"/>
    </row>
    <row r="2410" spans="2:8" x14ac:dyDescent="0.35">
      <c r="B2410"/>
      <c r="C2410"/>
      <c r="H2410"/>
    </row>
    <row r="2411" spans="2:8" x14ac:dyDescent="0.35">
      <c r="B2411"/>
      <c r="C2411"/>
      <c r="H2411"/>
    </row>
    <row r="2412" spans="2:8" x14ac:dyDescent="0.35">
      <c r="B2412"/>
      <c r="C2412"/>
      <c r="H2412"/>
    </row>
    <row r="2413" spans="2:8" x14ac:dyDescent="0.35">
      <c r="B2413"/>
      <c r="C2413"/>
      <c r="H2413"/>
    </row>
    <row r="2414" spans="2:8" x14ac:dyDescent="0.35">
      <c r="B2414"/>
      <c r="C2414"/>
      <c r="H2414"/>
    </row>
    <row r="2415" spans="2:8" x14ac:dyDescent="0.35">
      <c r="B2415"/>
      <c r="C2415"/>
      <c r="H2415"/>
    </row>
    <row r="2416" spans="2:8" x14ac:dyDescent="0.35">
      <c r="B2416"/>
      <c r="C2416"/>
      <c r="H2416"/>
    </row>
    <row r="2417" spans="2:8" x14ac:dyDescent="0.35">
      <c r="B2417"/>
      <c r="C2417"/>
      <c r="H2417"/>
    </row>
    <row r="2418" spans="2:8" x14ac:dyDescent="0.35">
      <c r="B2418"/>
      <c r="C2418"/>
      <c r="H2418"/>
    </row>
    <row r="2419" spans="2:8" x14ac:dyDescent="0.35">
      <c r="B2419"/>
      <c r="C2419"/>
      <c r="H2419"/>
    </row>
    <row r="2420" spans="2:8" x14ac:dyDescent="0.35">
      <c r="B2420"/>
      <c r="C2420"/>
      <c r="H2420"/>
    </row>
    <row r="2421" spans="2:8" x14ac:dyDescent="0.35">
      <c r="B2421"/>
      <c r="C2421"/>
      <c r="H2421"/>
    </row>
    <row r="2422" spans="2:8" x14ac:dyDescent="0.35">
      <c r="B2422"/>
      <c r="C2422"/>
      <c r="H2422"/>
    </row>
    <row r="2423" spans="2:8" x14ac:dyDescent="0.35">
      <c r="B2423"/>
      <c r="C2423"/>
      <c r="H2423"/>
    </row>
    <row r="2424" spans="2:8" x14ac:dyDescent="0.35">
      <c r="B2424"/>
      <c r="C2424"/>
      <c r="H2424"/>
    </row>
    <row r="2425" spans="2:8" x14ac:dyDescent="0.35">
      <c r="B2425"/>
      <c r="C2425"/>
      <c r="H2425"/>
    </row>
    <row r="2426" spans="2:8" x14ac:dyDescent="0.35">
      <c r="B2426"/>
      <c r="C2426"/>
      <c r="H2426"/>
    </row>
    <row r="2427" spans="2:8" x14ac:dyDescent="0.35">
      <c r="B2427"/>
      <c r="C2427"/>
      <c r="H2427"/>
    </row>
    <row r="2428" spans="2:8" x14ac:dyDescent="0.35">
      <c r="B2428"/>
      <c r="C2428"/>
      <c r="H2428"/>
    </row>
    <row r="2429" spans="2:8" x14ac:dyDescent="0.35">
      <c r="B2429"/>
      <c r="C2429"/>
      <c r="H2429"/>
    </row>
    <row r="2430" spans="2:8" x14ac:dyDescent="0.35">
      <c r="B2430"/>
      <c r="C2430"/>
      <c r="H2430"/>
    </row>
    <row r="2431" spans="2:8" x14ac:dyDescent="0.35">
      <c r="B2431"/>
      <c r="C2431"/>
      <c r="H2431"/>
    </row>
    <row r="2432" spans="2:8" x14ac:dyDescent="0.35">
      <c r="B2432"/>
      <c r="C2432"/>
      <c r="H2432"/>
    </row>
    <row r="2433" spans="2:8" x14ac:dyDescent="0.35">
      <c r="B2433"/>
      <c r="C2433"/>
      <c r="H2433"/>
    </row>
    <row r="2434" spans="2:8" x14ac:dyDescent="0.35">
      <c r="B2434"/>
      <c r="C2434"/>
      <c r="H2434"/>
    </row>
    <row r="2435" spans="2:8" x14ac:dyDescent="0.35">
      <c r="B2435"/>
      <c r="C2435"/>
      <c r="H2435"/>
    </row>
    <row r="2436" spans="2:8" x14ac:dyDescent="0.35">
      <c r="B2436"/>
      <c r="C2436"/>
      <c r="H2436"/>
    </row>
    <row r="2437" spans="2:8" x14ac:dyDescent="0.35">
      <c r="B2437"/>
      <c r="C2437"/>
      <c r="H2437"/>
    </row>
    <row r="2438" spans="2:8" x14ac:dyDescent="0.35">
      <c r="B2438"/>
      <c r="C2438"/>
      <c r="H2438"/>
    </row>
    <row r="2439" spans="2:8" x14ac:dyDescent="0.35">
      <c r="B2439"/>
      <c r="C2439"/>
      <c r="H2439"/>
    </row>
    <row r="2440" spans="2:8" x14ac:dyDescent="0.35">
      <c r="B2440"/>
      <c r="C2440"/>
      <c r="H2440"/>
    </row>
    <row r="2441" spans="2:8" x14ac:dyDescent="0.35">
      <c r="B2441"/>
      <c r="C2441"/>
      <c r="H2441"/>
    </row>
    <row r="2442" spans="2:8" x14ac:dyDescent="0.35">
      <c r="B2442"/>
      <c r="C2442"/>
      <c r="H2442"/>
    </row>
    <row r="2443" spans="2:8" x14ac:dyDescent="0.35">
      <c r="B2443"/>
      <c r="C2443"/>
      <c r="H2443"/>
    </row>
    <row r="2444" spans="2:8" x14ac:dyDescent="0.35">
      <c r="B2444"/>
      <c r="C2444"/>
      <c r="H2444"/>
    </row>
    <row r="2445" spans="2:8" x14ac:dyDescent="0.35">
      <c r="B2445"/>
      <c r="C2445"/>
      <c r="H2445"/>
    </row>
    <row r="2446" spans="2:8" x14ac:dyDescent="0.35">
      <c r="B2446"/>
      <c r="C2446"/>
      <c r="H2446"/>
    </row>
    <row r="2447" spans="2:8" x14ac:dyDescent="0.35">
      <c r="B2447"/>
      <c r="C2447"/>
      <c r="H2447"/>
    </row>
    <row r="2448" spans="2:8" x14ac:dyDescent="0.35">
      <c r="B2448"/>
      <c r="C2448"/>
      <c r="H2448"/>
    </row>
    <row r="2449" spans="2:8" x14ac:dyDescent="0.35">
      <c r="B2449"/>
      <c r="C2449"/>
      <c r="H2449"/>
    </row>
    <row r="2450" spans="2:8" x14ac:dyDescent="0.35">
      <c r="B2450"/>
      <c r="C2450"/>
      <c r="H2450"/>
    </row>
    <row r="2451" spans="2:8" x14ac:dyDescent="0.35">
      <c r="B2451"/>
      <c r="C2451"/>
      <c r="H2451"/>
    </row>
    <row r="2452" spans="2:8" x14ac:dyDescent="0.35">
      <c r="B2452"/>
      <c r="C2452"/>
      <c r="H2452"/>
    </row>
    <row r="2453" spans="2:8" x14ac:dyDescent="0.35">
      <c r="B2453"/>
      <c r="C2453"/>
      <c r="H2453"/>
    </row>
    <row r="2454" spans="2:8" x14ac:dyDescent="0.35">
      <c r="B2454"/>
      <c r="C2454"/>
      <c r="H2454"/>
    </row>
    <row r="2455" spans="2:8" x14ac:dyDescent="0.35">
      <c r="B2455"/>
      <c r="C2455"/>
      <c r="H2455"/>
    </row>
    <row r="2456" spans="2:8" x14ac:dyDescent="0.35">
      <c r="B2456"/>
      <c r="C2456"/>
      <c r="H2456"/>
    </row>
    <row r="2457" spans="2:8" x14ac:dyDescent="0.35">
      <c r="B2457"/>
      <c r="C2457"/>
      <c r="H2457"/>
    </row>
    <row r="2458" spans="2:8" x14ac:dyDescent="0.35">
      <c r="B2458"/>
      <c r="C2458"/>
      <c r="H2458"/>
    </row>
    <row r="2459" spans="2:8" x14ac:dyDescent="0.35">
      <c r="B2459"/>
      <c r="C2459"/>
      <c r="H2459"/>
    </row>
    <row r="2460" spans="2:8" x14ac:dyDescent="0.35">
      <c r="B2460"/>
      <c r="C2460"/>
      <c r="H2460"/>
    </row>
    <row r="2461" spans="2:8" x14ac:dyDescent="0.35">
      <c r="B2461"/>
      <c r="C2461"/>
      <c r="H2461"/>
    </row>
    <row r="2462" spans="2:8" x14ac:dyDescent="0.35">
      <c r="B2462"/>
      <c r="C2462"/>
      <c r="H2462"/>
    </row>
    <row r="2463" spans="2:8" x14ac:dyDescent="0.35">
      <c r="B2463"/>
      <c r="C2463"/>
      <c r="H2463"/>
    </row>
    <row r="2464" spans="2:8" x14ac:dyDescent="0.35">
      <c r="B2464"/>
      <c r="C2464"/>
      <c r="H2464"/>
    </row>
    <row r="2465" spans="2:8" x14ac:dyDescent="0.35">
      <c r="B2465"/>
      <c r="C2465"/>
      <c r="H2465"/>
    </row>
    <row r="2466" spans="2:8" x14ac:dyDescent="0.35">
      <c r="B2466"/>
      <c r="C2466"/>
      <c r="H2466"/>
    </row>
    <row r="2467" spans="2:8" x14ac:dyDescent="0.35">
      <c r="B2467"/>
      <c r="C2467"/>
      <c r="H2467"/>
    </row>
    <row r="2468" spans="2:8" x14ac:dyDescent="0.35">
      <c r="B2468"/>
      <c r="C2468"/>
      <c r="H2468"/>
    </row>
    <row r="2469" spans="2:8" x14ac:dyDescent="0.35">
      <c r="B2469"/>
      <c r="C2469"/>
      <c r="H2469"/>
    </row>
    <row r="2470" spans="2:8" x14ac:dyDescent="0.35">
      <c r="B2470"/>
      <c r="C2470"/>
      <c r="H2470"/>
    </row>
    <row r="2471" spans="2:8" x14ac:dyDescent="0.35">
      <c r="B2471"/>
      <c r="C2471"/>
      <c r="H2471"/>
    </row>
    <row r="2472" spans="2:8" x14ac:dyDescent="0.35">
      <c r="B2472"/>
      <c r="C2472"/>
      <c r="H2472"/>
    </row>
    <row r="2473" spans="2:8" x14ac:dyDescent="0.35">
      <c r="B2473"/>
      <c r="C2473"/>
      <c r="H2473"/>
    </row>
    <row r="2474" spans="2:8" x14ac:dyDescent="0.35">
      <c r="B2474"/>
      <c r="C2474"/>
      <c r="H2474"/>
    </row>
    <row r="2475" spans="2:8" x14ac:dyDescent="0.35">
      <c r="B2475"/>
      <c r="C2475"/>
      <c r="H2475"/>
    </row>
    <row r="2476" spans="2:8" x14ac:dyDescent="0.35">
      <c r="B2476"/>
      <c r="C2476"/>
      <c r="H2476"/>
    </row>
    <row r="2477" spans="2:8" x14ac:dyDescent="0.35">
      <c r="B2477"/>
      <c r="C2477"/>
      <c r="H2477"/>
    </row>
    <row r="2478" spans="2:8" x14ac:dyDescent="0.35">
      <c r="B2478"/>
      <c r="C2478"/>
      <c r="H2478"/>
    </row>
    <row r="2479" spans="2:8" x14ac:dyDescent="0.35">
      <c r="B2479"/>
      <c r="C2479"/>
      <c r="H2479"/>
    </row>
    <row r="2480" spans="2:8" x14ac:dyDescent="0.35">
      <c r="B2480"/>
      <c r="C2480"/>
      <c r="H2480"/>
    </row>
    <row r="2481" spans="2:8" x14ac:dyDescent="0.35">
      <c r="B2481"/>
      <c r="C2481"/>
      <c r="H2481"/>
    </row>
    <row r="2482" spans="2:8" x14ac:dyDescent="0.35">
      <c r="B2482"/>
      <c r="C2482"/>
      <c r="H2482"/>
    </row>
    <row r="2483" spans="2:8" x14ac:dyDescent="0.35">
      <c r="B2483"/>
      <c r="C2483"/>
      <c r="H2483"/>
    </row>
    <row r="2484" spans="2:8" x14ac:dyDescent="0.35">
      <c r="B2484"/>
      <c r="C2484"/>
      <c r="H2484"/>
    </row>
    <row r="2485" spans="2:8" x14ac:dyDescent="0.35">
      <c r="B2485"/>
      <c r="C2485"/>
      <c r="H2485"/>
    </row>
    <row r="2486" spans="2:8" x14ac:dyDescent="0.35">
      <c r="B2486"/>
      <c r="C2486"/>
      <c r="H2486"/>
    </row>
    <row r="2487" spans="2:8" x14ac:dyDescent="0.35">
      <c r="B2487"/>
      <c r="C2487"/>
      <c r="H2487"/>
    </row>
    <row r="2488" spans="2:8" x14ac:dyDescent="0.35">
      <c r="B2488"/>
      <c r="C2488"/>
      <c r="H2488"/>
    </row>
    <row r="2489" spans="2:8" x14ac:dyDescent="0.35">
      <c r="B2489"/>
      <c r="C2489"/>
      <c r="H2489"/>
    </row>
    <row r="2490" spans="2:8" x14ac:dyDescent="0.35">
      <c r="B2490"/>
      <c r="C2490"/>
      <c r="H2490"/>
    </row>
    <row r="2491" spans="2:8" x14ac:dyDescent="0.35">
      <c r="B2491"/>
      <c r="C2491"/>
      <c r="H2491"/>
    </row>
    <row r="2492" spans="2:8" x14ac:dyDescent="0.35">
      <c r="B2492"/>
      <c r="C2492"/>
      <c r="H2492"/>
    </row>
    <row r="2493" spans="2:8" x14ac:dyDescent="0.35">
      <c r="B2493"/>
      <c r="C2493"/>
      <c r="H2493"/>
    </row>
    <row r="2494" spans="2:8" x14ac:dyDescent="0.35">
      <c r="B2494"/>
      <c r="C2494"/>
      <c r="H2494"/>
    </row>
    <row r="2495" spans="2:8" x14ac:dyDescent="0.35">
      <c r="B2495"/>
      <c r="C2495"/>
      <c r="H2495"/>
    </row>
    <row r="2496" spans="2:8" x14ac:dyDescent="0.35">
      <c r="B2496"/>
      <c r="C2496"/>
      <c r="H2496"/>
    </row>
    <row r="2497" spans="2:8" x14ac:dyDescent="0.35">
      <c r="B2497"/>
      <c r="C2497"/>
      <c r="H2497"/>
    </row>
    <row r="2498" spans="2:8" x14ac:dyDescent="0.35">
      <c r="B2498"/>
      <c r="C2498"/>
      <c r="H2498"/>
    </row>
    <row r="2499" spans="2:8" x14ac:dyDescent="0.35">
      <c r="B2499"/>
      <c r="C2499"/>
      <c r="H2499"/>
    </row>
    <row r="2500" spans="2:8" x14ac:dyDescent="0.35">
      <c r="B2500"/>
      <c r="C2500"/>
      <c r="H2500"/>
    </row>
    <row r="2501" spans="2:8" x14ac:dyDescent="0.35">
      <c r="B2501"/>
      <c r="C2501"/>
      <c r="H2501"/>
    </row>
    <row r="2502" spans="2:8" x14ac:dyDescent="0.35">
      <c r="B2502"/>
      <c r="C2502"/>
      <c r="H2502"/>
    </row>
    <row r="2503" spans="2:8" x14ac:dyDescent="0.35">
      <c r="B2503"/>
      <c r="C2503"/>
      <c r="H2503"/>
    </row>
    <row r="2504" spans="2:8" x14ac:dyDescent="0.35">
      <c r="B2504"/>
      <c r="C2504"/>
      <c r="H2504"/>
    </row>
    <row r="2505" spans="2:8" x14ac:dyDescent="0.35">
      <c r="B2505"/>
      <c r="C2505"/>
      <c r="H2505"/>
    </row>
    <row r="2506" spans="2:8" x14ac:dyDescent="0.35">
      <c r="B2506"/>
      <c r="C2506"/>
      <c r="H2506"/>
    </row>
    <row r="2507" spans="2:8" x14ac:dyDescent="0.35">
      <c r="B2507"/>
      <c r="C2507"/>
      <c r="H2507"/>
    </row>
    <row r="2508" spans="2:8" x14ac:dyDescent="0.35">
      <c r="B2508"/>
      <c r="C2508"/>
      <c r="H2508"/>
    </row>
    <row r="2509" spans="2:8" x14ac:dyDescent="0.35">
      <c r="B2509"/>
      <c r="C2509"/>
      <c r="H2509"/>
    </row>
    <row r="2510" spans="2:8" x14ac:dyDescent="0.35">
      <c r="B2510"/>
      <c r="C2510"/>
      <c r="H2510"/>
    </row>
    <row r="2511" spans="2:8" x14ac:dyDescent="0.35">
      <c r="B2511"/>
      <c r="C2511"/>
      <c r="H2511"/>
    </row>
    <row r="2512" spans="2:8" x14ac:dyDescent="0.35">
      <c r="B2512"/>
      <c r="C2512"/>
      <c r="H2512"/>
    </row>
    <row r="2513" spans="2:8" x14ac:dyDescent="0.35">
      <c r="B2513"/>
      <c r="C2513"/>
      <c r="H2513"/>
    </row>
    <row r="2514" spans="2:8" x14ac:dyDescent="0.35">
      <c r="B2514"/>
      <c r="C2514"/>
      <c r="H2514"/>
    </row>
    <row r="2515" spans="2:8" x14ac:dyDescent="0.35">
      <c r="B2515"/>
      <c r="C2515"/>
      <c r="H2515"/>
    </row>
    <row r="2516" spans="2:8" x14ac:dyDescent="0.35">
      <c r="B2516"/>
      <c r="C2516"/>
      <c r="H2516"/>
    </row>
    <row r="2517" spans="2:8" x14ac:dyDescent="0.35">
      <c r="B2517"/>
      <c r="C2517"/>
      <c r="H2517"/>
    </row>
    <row r="2518" spans="2:8" x14ac:dyDescent="0.35">
      <c r="B2518"/>
      <c r="C2518"/>
      <c r="H2518"/>
    </row>
    <row r="2519" spans="2:8" x14ac:dyDescent="0.35">
      <c r="B2519"/>
      <c r="C2519"/>
      <c r="H2519"/>
    </row>
    <row r="2520" spans="2:8" x14ac:dyDescent="0.35">
      <c r="B2520"/>
      <c r="C2520"/>
      <c r="H2520"/>
    </row>
    <row r="2521" spans="2:8" x14ac:dyDescent="0.35">
      <c r="B2521"/>
      <c r="C2521"/>
      <c r="H2521"/>
    </row>
    <row r="2522" spans="2:8" x14ac:dyDescent="0.35">
      <c r="B2522"/>
      <c r="C2522"/>
      <c r="H2522"/>
    </row>
    <row r="2523" spans="2:8" x14ac:dyDescent="0.35">
      <c r="B2523"/>
      <c r="C2523"/>
      <c r="H2523"/>
    </row>
    <row r="2524" spans="2:8" x14ac:dyDescent="0.35">
      <c r="B2524"/>
      <c r="C2524"/>
      <c r="H2524"/>
    </row>
    <row r="2525" spans="2:8" x14ac:dyDescent="0.35">
      <c r="B2525"/>
      <c r="C2525"/>
      <c r="H2525"/>
    </row>
    <row r="2526" spans="2:8" x14ac:dyDescent="0.35">
      <c r="B2526"/>
      <c r="C2526"/>
      <c r="H2526"/>
    </row>
    <row r="2527" spans="2:8" x14ac:dyDescent="0.35">
      <c r="B2527"/>
      <c r="C2527"/>
      <c r="H2527"/>
    </row>
    <row r="2528" spans="2:8" x14ac:dyDescent="0.35">
      <c r="B2528"/>
      <c r="C2528"/>
      <c r="H2528"/>
    </row>
    <row r="2529" spans="2:8" x14ac:dyDescent="0.35">
      <c r="B2529"/>
      <c r="C2529"/>
      <c r="H2529"/>
    </row>
    <row r="2530" spans="2:8" x14ac:dyDescent="0.35">
      <c r="B2530"/>
      <c r="C2530"/>
      <c r="H2530"/>
    </row>
    <row r="2531" spans="2:8" x14ac:dyDescent="0.35">
      <c r="B2531"/>
      <c r="C2531"/>
      <c r="H2531"/>
    </row>
    <row r="2532" spans="2:8" x14ac:dyDescent="0.35">
      <c r="B2532"/>
      <c r="C2532"/>
      <c r="H2532"/>
    </row>
    <row r="2533" spans="2:8" x14ac:dyDescent="0.35">
      <c r="B2533"/>
      <c r="C2533"/>
      <c r="H2533"/>
    </row>
    <row r="2534" spans="2:8" x14ac:dyDescent="0.35">
      <c r="B2534"/>
      <c r="C2534"/>
      <c r="H2534"/>
    </row>
    <row r="2535" spans="2:8" x14ac:dyDescent="0.35">
      <c r="B2535"/>
      <c r="C2535"/>
      <c r="H2535"/>
    </row>
    <row r="2536" spans="2:8" x14ac:dyDescent="0.35">
      <c r="B2536"/>
      <c r="C2536"/>
      <c r="H2536"/>
    </row>
    <row r="2537" spans="2:8" x14ac:dyDescent="0.35">
      <c r="B2537"/>
      <c r="C2537"/>
      <c r="H2537"/>
    </row>
    <row r="2538" spans="2:8" x14ac:dyDescent="0.35">
      <c r="B2538"/>
      <c r="C2538"/>
      <c r="H2538"/>
    </row>
    <row r="2539" spans="2:8" x14ac:dyDescent="0.35">
      <c r="B2539"/>
      <c r="C2539"/>
      <c r="H2539"/>
    </row>
    <row r="2540" spans="2:8" x14ac:dyDescent="0.35">
      <c r="B2540"/>
      <c r="C2540"/>
      <c r="H2540"/>
    </row>
    <row r="2541" spans="2:8" x14ac:dyDescent="0.35">
      <c r="B2541"/>
      <c r="C2541"/>
      <c r="H2541"/>
    </row>
    <row r="2542" spans="2:8" x14ac:dyDescent="0.35">
      <c r="B2542"/>
      <c r="C2542"/>
      <c r="H2542"/>
    </row>
    <row r="2543" spans="2:8" x14ac:dyDescent="0.35">
      <c r="B2543"/>
      <c r="C2543"/>
      <c r="H2543"/>
    </row>
    <row r="2544" spans="2:8" x14ac:dyDescent="0.35">
      <c r="B2544"/>
      <c r="C2544"/>
      <c r="H2544"/>
    </row>
    <row r="2545" spans="2:8" x14ac:dyDescent="0.35">
      <c r="B2545"/>
      <c r="C2545"/>
      <c r="H2545"/>
    </row>
    <row r="2546" spans="2:8" x14ac:dyDescent="0.35">
      <c r="B2546"/>
      <c r="C2546"/>
      <c r="H2546"/>
    </row>
    <row r="2547" spans="2:8" x14ac:dyDescent="0.35">
      <c r="B2547"/>
      <c r="C2547"/>
      <c r="H2547"/>
    </row>
    <row r="2548" spans="2:8" x14ac:dyDescent="0.35">
      <c r="B2548"/>
      <c r="C2548"/>
      <c r="H2548"/>
    </row>
    <row r="2549" spans="2:8" x14ac:dyDescent="0.35">
      <c r="B2549"/>
      <c r="C2549"/>
      <c r="H2549"/>
    </row>
    <row r="2550" spans="2:8" x14ac:dyDescent="0.35">
      <c r="B2550"/>
      <c r="C2550"/>
      <c r="H2550"/>
    </row>
    <row r="2551" spans="2:8" x14ac:dyDescent="0.35">
      <c r="B2551"/>
      <c r="C2551"/>
      <c r="H2551"/>
    </row>
    <row r="2552" spans="2:8" x14ac:dyDescent="0.35">
      <c r="B2552"/>
      <c r="C2552"/>
      <c r="H2552"/>
    </row>
    <row r="2553" spans="2:8" x14ac:dyDescent="0.35">
      <c r="B2553"/>
      <c r="C2553"/>
      <c r="H2553"/>
    </row>
    <row r="2554" spans="2:8" x14ac:dyDescent="0.35">
      <c r="B2554"/>
      <c r="C2554"/>
      <c r="H2554"/>
    </row>
    <row r="2555" spans="2:8" x14ac:dyDescent="0.35">
      <c r="B2555"/>
      <c r="C2555"/>
      <c r="H2555"/>
    </row>
    <row r="2556" spans="2:8" x14ac:dyDescent="0.35">
      <c r="B2556"/>
      <c r="C2556"/>
      <c r="H2556"/>
    </row>
    <row r="2557" spans="2:8" x14ac:dyDescent="0.35">
      <c r="B2557"/>
      <c r="C2557"/>
      <c r="H2557"/>
    </row>
    <row r="2558" spans="2:8" x14ac:dyDescent="0.35">
      <c r="B2558"/>
      <c r="C2558"/>
      <c r="H2558"/>
    </row>
    <row r="2559" spans="2:8" x14ac:dyDescent="0.35">
      <c r="B2559"/>
      <c r="C2559"/>
      <c r="H2559"/>
    </row>
    <row r="2560" spans="2:8" x14ac:dyDescent="0.35">
      <c r="B2560"/>
      <c r="C2560"/>
      <c r="H2560"/>
    </row>
    <row r="2561" spans="2:8" x14ac:dyDescent="0.35">
      <c r="B2561"/>
      <c r="C2561"/>
      <c r="H2561"/>
    </row>
    <row r="2562" spans="2:8" x14ac:dyDescent="0.35">
      <c r="B2562"/>
      <c r="C2562"/>
      <c r="H2562"/>
    </row>
    <row r="2563" spans="2:8" x14ac:dyDescent="0.35">
      <c r="B2563"/>
      <c r="C2563"/>
      <c r="H2563"/>
    </row>
    <row r="2564" spans="2:8" x14ac:dyDescent="0.35">
      <c r="B2564"/>
      <c r="C2564"/>
      <c r="H2564"/>
    </row>
    <row r="2565" spans="2:8" x14ac:dyDescent="0.35">
      <c r="B2565"/>
      <c r="C2565"/>
      <c r="H2565"/>
    </row>
    <row r="2566" spans="2:8" x14ac:dyDescent="0.35">
      <c r="B2566"/>
      <c r="C2566"/>
      <c r="H2566"/>
    </row>
    <row r="2567" spans="2:8" x14ac:dyDescent="0.35">
      <c r="B2567"/>
      <c r="C2567"/>
      <c r="H2567"/>
    </row>
    <row r="2568" spans="2:8" x14ac:dyDescent="0.35">
      <c r="B2568"/>
      <c r="C2568"/>
      <c r="H2568"/>
    </row>
    <row r="2569" spans="2:8" x14ac:dyDescent="0.35">
      <c r="B2569"/>
      <c r="C2569"/>
      <c r="H2569"/>
    </row>
    <row r="2570" spans="2:8" x14ac:dyDescent="0.35">
      <c r="B2570"/>
      <c r="C2570"/>
      <c r="H2570"/>
    </row>
    <row r="2571" spans="2:8" x14ac:dyDescent="0.35">
      <c r="B2571"/>
      <c r="C2571"/>
      <c r="H2571"/>
    </row>
    <row r="2572" spans="2:8" x14ac:dyDescent="0.35">
      <c r="B2572"/>
      <c r="C2572"/>
      <c r="H2572"/>
    </row>
    <row r="2573" spans="2:8" x14ac:dyDescent="0.35">
      <c r="B2573"/>
      <c r="C2573"/>
      <c r="H2573"/>
    </row>
    <row r="2574" spans="2:8" x14ac:dyDescent="0.35">
      <c r="B2574"/>
      <c r="C2574"/>
      <c r="H2574"/>
    </row>
    <row r="2575" spans="2:8" x14ac:dyDescent="0.35">
      <c r="B2575"/>
      <c r="C2575"/>
      <c r="H2575"/>
    </row>
    <row r="2576" spans="2:8" x14ac:dyDescent="0.35">
      <c r="B2576"/>
      <c r="C2576"/>
      <c r="H2576"/>
    </row>
    <row r="2577" spans="2:8" x14ac:dyDescent="0.35">
      <c r="B2577"/>
      <c r="C2577"/>
      <c r="H2577"/>
    </row>
    <row r="2578" spans="2:8" x14ac:dyDescent="0.35">
      <c r="B2578"/>
      <c r="C2578"/>
      <c r="H2578"/>
    </row>
    <row r="2579" spans="2:8" x14ac:dyDescent="0.35">
      <c r="B2579"/>
      <c r="C2579"/>
      <c r="H2579"/>
    </row>
    <row r="2580" spans="2:8" x14ac:dyDescent="0.35">
      <c r="B2580"/>
      <c r="C2580"/>
      <c r="H2580"/>
    </row>
    <row r="2581" spans="2:8" x14ac:dyDescent="0.35">
      <c r="B2581"/>
      <c r="C2581"/>
      <c r="H2581"/>
    </row>
    <row r="2582" spans="2:8" x14ac:dyDescent="0.35">
      <c r="B2582"/>
      <c r="C2582"/>
      <c r="H2582"/>
    </row>
    <row r="2583" spans="2:8" x14ac:dyDescent="0.35">
      <c r="B2583"/>
      <c r="C2583"/>
      <c r="H2583"/>
    </row>
    <row r="2584" spans="2:8" x14ac:dyDescent="0.35">
      <c r="B2584"/>
      <c r="C2584"/>
      <c r="H2584"/>
    </row>
    <row r="2585" spans="2:8" x14ac:dyDescent="0.35">
      <c r="B2585"/>
      <c r="C2585"/>
      <c r="H2585"/>
    </row>
    <row r="2586" spans="2:8" x14ac:dyDescent="0.35">
      <c r="B2586"/>
      <c r="C2586"/>
      <c r="H2586"/>
    </row>
    <row r="2587" spans="2:8" x14ac:dyDescent="0.35">
      <c r="B2587"/>
      <c r="C2587"/>
      <c r="H2587"/>
    </row>
    <row r="2588" spans="2:8" x14ac:dyDescent="0.35">
      <c r="B2588"/>
      <c r="C2588"/>
      <c r="H2588"/>
    </row>
    <row r="2589" spans="2:8" x14ac:dyDescent="0.35">
      <c r="B2589"/>
      <c r="C2589"/>
      <c r="H2589"/>
    </row>
    <row r="2590" spans="2:8" x14ac:dyDescent="0.35">
      <c r="B2590"/>
      <c r="C2590"/>
      <c r="H2590"/>
    </row>
    <row r="2591" spans="2:8" x14ac:dyDescent="0.35">
      <c r="B2591"/>
      <c r="C2591"/>
      <c r="H2591"/>
    </row>
    <row r="2592" spans="2:8" x14ac:dyDescent="0.35">
      <c r="B2592"/>
      <c r="C2592"/>
      <c r="H2592"/>
    </row>
    <row r="2593" spans="2:8" x14ac:dyDescent="0.35">
      <c r="B2593"/>
      <c r="C2593"/>
      <c r="H2593"/>
    </row>
    <row r="2594" spans="2:8" x14ac:dyDescent="0.35">
      <c r="B2594"/>
      <c r="C2594"/>
      <c r="H2594"/>
    </row>
    <row r="2595" spans="2:8" x14ac:dyDescent="0.35">
      <c r="B2595"/>
      <c r="C2595"/>
      <c r="H2595"/>
    </row>
    <row r="2596" spans="2:8" x14ac:dyDescent="0.35">
      <c r="B2596"/>
      <c r="C2596"/>
      <c r="H2596"/>
    </row>
    <row r="2597" spans="2:8" x14ac:dyDescent="0.35">
      <c r="B2597"/>
      <c r="C2597"/>
      <c r="H2597"/>
    </row>
    <row r="2598" spans="2:8" x14ac:dyDescent="0.35">
      <c r="B2598"/>
      <c r="C2598"/>
      <c r="H2598"/>
    </row>
    <row r="2599" spans="2:8" x14ac:dyDescent="0.35">
      <c r="B2599"/>
      <c r="C2599"/>
      <c r="H2599"/>
    </row>
    <row r="2600" spans="2:8" x14ac:dyDescent="0.35">
      <c r="B2600"/>
      <c r="C2600"/>
      <c r="H2600"/>
    </row>
    <row r="2601" spans="2:8" x14ac:dyDescent="0.35">
      <c r="B2601"/>
      <c r="C2601"/>
      <c r="H2601"/>
    </row>
    <row r="2602" spans="2:8" x14ac:dyDescent="0.35">
      <c r="B2602"/>
      <c r="C2602"/>
      <c r="H2602"/>
    </row>
    <row r="2603" spans="2:8" x14ac:dyDescent="0.35">
      <c r="B2603"/>
      <c r="C2603"/>
      <c r="H2603"/>
    </row>
    <row r="2604" spans="2:8" x14ac:dyDescent="0.35">
      <c r="B2604"/>
      <c r="C2604"/>
      <c r="H2604"/>
    </row>
    <row r="2605" spans="2:8" x14ac:dyDescent="0.35">
      <c r="B2605"/>
      <c r="C2605"/>
      <c r="H2605"/>
    </row>
    <row r="2606" spans="2:8" x14ac:dyDescent="0.35">
      <c r="B2606"/>
      <c r="C2606"/>
      <c r="H2606"/>
    </row>
    <row r="2607" spans="2:8" x14ac:dyDescent="0.35">
      <c r="B2607"/>
      <c r="C2607"/>
      <c r="H2607"/>
    </row>
    <row r="2608" spans="2:8" x14ac:dyDescent="0.35">
      <c r="B2608"/>
      <c r="C2608"/>
      <c r="H2608"/>
    </row>
    <row r="2609" spans="2:8" x14ac:dyDescent="0.35">
      <c r="B2609"/>
      <c r="C2609"/>
      <c r="H2609"/>
    </row>
    <row r="2610" spans="2:8" x14ac:dyDescent="0.35">
      <c r="B2610"/>
      <c r="C2610"/>
      <c r="H2610"/>
    </row>
    <row r="2611" spans="2:8" x14ac:dyDescent="0.35">
      <c r="B2611"/>
      <c r="C2611"/>
      <c r="H2611"/>
    </row>
    <row r="2612" spans="2:8" x14ac:dyDescent="0.35">
      <c r="B2612"/>
      <c r="C2612"/>
      <c r="H2612"/>
    </row>
    <row r="2613" spans="2:8" x14ac:dyDescent="0.35">
      <c r="B2613"/>
      <c r="C2613"/>
      <c r="H2613"/>
    </row>
    <row r="2614" spans="2:8" x14ac:dyDescent="0.35">
      <c r="B2614"/>
      <c r="C2614"/>
      <c r="H2614"/>
    </row>
    <row r="2615" spans="2:8" x14ac:dyDescent="0.35">
      <c r="B2615"/>
      <c r="C2615"/>
      <c r="H2615"/>
    </row>
    <row r="2616" spans="2:8" x14ac:dyDescent="0.35">
      <c r="B2616"/>
      <c r="C2616"/>
      <c r="H2616"/>
    </row>
    <row r="2617" spans="2:8" x14ac:dyDescent="0.35">
      <c r="B2617"/>
      <c r="C2617"/>
      <c r="H2617"/>
    </row>
    <row r="2618" spans="2:8" x14ac:dyDescent="0.35">
      <c r="B2618"/>
      <c r="C2618"/>
      <c r="H2618"/>
    </row>
    <row r="2619" spans="2:8" x14ac:dyDescent="0.35">
      <c r="B2619"/>
      <c r="C2619"/>
      <c r="H2619"/>
    </row>
    <row r="2620" spans="2:8" x14ac:dyDescent="0.35">
      <c r="B2620"/>
      <c r="C2620"/>
      <c r="H2620"/>
    </row>
    <row r="2621" spans="2:8" x14ac:dyDescent="0.35">
      <c r="B2621"/>
      <c r="C2621"/>
      <c r="H2621"/>
    </row>
    <row r="2622" spans="2:8" x14ac:dyDescent="0.35">
      <c r="B2622"/>
      <c r="C2622"/>
      <c r="H2622"/>
    </row>
    <row r="2623" spans="2:8" x14ac:dyDescent="0.35">
      <c r="B2623"/>
      <c r="C2623"/>
      <c r="H2623"/>
    </row>
    <row r="2624" spans="2:8" x14ac:dyDescent="0.35">
      <c r="B2624"/>
      <c r="C2624"/>
      <c r="H2624"/>
    </row>
    <row r="2625" spans="2:8" x14ac:dyDescent="0.35">
      <c r="B2625"/>
      <c r="C2625"/>
      <c r="H2625"/>
    </row>
    <row r="2626" spans="2:8" x14ac:dyDescent="0.35">
      <c r="B2626"/>
      <c r="C2626"/>
      <c r="H2626"/>
    </row>
    <row r="2627" spans="2:8" x14ac:dyDescent="0.35">
      <c r="B2627"/>
      <c r="C2627"/>
      <c r="H2627"/>
    </row>
    <row r="2628" spans="2:8" x14ac:dyDescent="0.35">
      <c r="B2628"/>
      <c r="C2628"/>
      <c r="H2628"/>
    </row>
    <row r="2629" spans="2:8" x14ac:dyDescent="0.35">
      <c r="B2629"/>
      <c r="C2629"/>
      <c r="H2629"/>
    </row>
    <row r="2630" spans="2:8" x14ac:dyDescent="0.35">
      <c r="B2630"/>
      <c r="C2630"/>
      <c r="H2630"/>
    </row>
    <row r="2631" spans="2:8" x14ac:dyDescent="0.35">
      <c r="B2631"/>
      <c r="C2631"/>
      <c r="H2631"/>
    </row>
    <row r="2632" spans="2:8" x14ac:dyDescent="0.35">
      <c r="B2632"/>
      <c r="C2632"/>
      <c r="H2632"/>
    </row>
    <row r="2633" spans="2:8" x14ac:dyDescent="0.35">
      <c r="B2633"/>
      <c r="C2633"/>
      <c r="H2633"/>
    </row>
    <row r="2634" spans="2:8" x14ac:dyDescent="0.35">
      <c r="B2634"/>
      <c r="C2634"/>
      <c r="H2634"/>
    </row>
    <row r="2635" spans="2:8" x14ac:dyDescent="0.35">
      <c r="B2635"/>
      <c r="C2635"/>
      <c r="H2635"/>
    </row>
    <row r="2636" spans="2:8" x14ac:dyDescent="0.35">
      <c r="B2636"/>
      <c r="C2636"/>
      <c r="H2636"/>
    </row>
    <row r="2637" spans="2:8" x14ac:dyDescent="0.35">
      <c r="B2637"/>
      <c r="C2637"/>
      <c r="H2637"/>
    </row>
    <row r="2638" spans="2:8" x14ac:dyDescent="0.35">
      <c r="B2638"/>
      <c r="C2638"/>
      <c r="H2638"/>
    </row>
    <row r="2639" spans="2:8" x14ac:dyDescent="0.35">
      <c r="B2639"/>
      <c r="C2639"/>
      <c r="H2639"/>
    </row>
    <row r="2640" spans="2:8" x14ac:dyDescent="0.35">
      <c r="B2640"/>
      <c r="C2640"/>
      <c r="H2640"/>
    </row>
    <row r="2641" spans="2:8" x14ac:dyDescent="0.35">
      <c r="B2641"/>
      <c r="C2641"/>
      <c r="H2641"/>
    </row>
    <row r="2642" spans="2:8" x14ac:dyDescent="0.35">
      <c r="B2642"/>
      <c r="C2642"/>
      <c r="H2642"/>
    </row>
    <row r="2643" spans="2:8" x14ac:dyDescent="0.35">
      <c r="B2643"/>
      <c r="C2643"/>
      <c r="H2643"/>
    </row>
    <row r="2644" spans="2:8" x14ac:dyDescent="0.35">
      <c r="B2644"/>
      <c r="C2644"/>
      <c r="H2644"/>
    </row>
    <row r="2645" spans="2:8" x14ac:dyDescent="0.35">
      <c r="B2645"/>
      <c r="C2645"/>
      <c r="H2645"/>
    </row>
    <row r="2646" spans="2:8" x14ac:dyDescent="0.35">
      <c r="B2646"/>
      <c r="C2646"/>
      <c r="H2646"/>
    </row>
    <row r="2647" spans="2:8" x14ac:dyDescent="0.35">
      <c r="B2647"/>
      <c r="C2647"/>
      <c r="H2647"/>
    </row>
    <row r="2648" spans="2:8" x14ac:dyDescent="0.35">
      <c r="B2648"/>
      <c r="C2648"/>
      <c r="H2648"/>
    </row>
    <row r="2649" spans="2:8" x14ac:dyDescent="0.35">
      <c r="B2649"/>
      <c r="C2649"/>
      <c r="H2649"/>
    </row>
    <row r="2650" spans="2:8" x14ac:dyDescent="0.35">
      <c r="B2650"/>
      <c r="C2650"/>
      <c r="H2650"/>
    </row>
    <row r="2651" spans="2:8" x14ac:dyDescent="0.35">
      <c r="B2651"/>
      <c r="C2651"/>
      <c r="H2651"/>
    </row>
    <row r="2652" spans="2:8" x14ac:dyDescent="0.35">
      <c r="B2652"/>
      <c r="C2652"/>
      <c r="H2652"/>
    </row>
    <row r="2653" spans="2:8" x14ac:dyDescent="0.35">
      <c r="B2653"/>
      <c r="C2653"/>
      <c r="H2653"/>
    </row>
    <row r="2654" spans="2:8" x14ac:dyDescent="0.35">
      <c r="B2654"/>
      <c r="C2654"/>
      <c r="H2654"/>
    </row>
    <row r="2655" spans="2:8" x14ac:dyDescent="0.35">
      <c r="B2655"/>
      <c r="C2655"/>
      <c r="H2655"/>
    </row>
    <row r="2656" spans="2:8" x14ac:dyDescent="0.35">
      <c r="B2656"/>
      <c r="C2656"/>
      <c r="H2656"/>
    </row>
    <row r="2657" spans="2:8" x14ac:dyDescent="0.35">
      <c r="B2657"/>
      <c r="C2657"/>
      <c r="H2657"/>
    </row>
    <row r="2658" spans="2:8" x14ac:dyDescent="0.35">
      <c r="B2658"/>
      <c r="C2658"/>
      <c r="H2658"/>
    </row>
    <row r="2659" spans="2:8" x14ac:dyDescent="0.35">
      <c r="B2659"/>
      <c r="C2659"/>
      <c r="H2659"/>
    </row>
    <row r="2660" spans="2:8" x14ac:dyDescent="0.35">
      <c r="B2660"/>
      <c r="C2660"/>
      <c r="H2660"/>
    </row>
    <row r="2661" spans="2:8" x14ac:dyDescent="0.35">
      <c r="B2661"/>
      <c r="C2661"/>
      <c r="H2661"/>
    </row>
    <row r="2662" spans="2:8" x14ac:dyDescent="0.35">
      <c r="B2662"/>
      <c r="C2662"/>
      <c r="H2662"/>
    </row>
    <row r="2663" spans="2:8" x14ac:dyDescent="0.35">
      <c r="B2663"/>
      <c r="C2663"/>
      <c r="H2663"/>
    </row>
    <row r="2664" spans="2:8" x14ac:dyDescent="0.35">
      <c r="B2664"/>
      <c r="C2664"/>
      <c r="H2664"/>
    </row>
    <row r="2665" spans="2:8" x14ac:dyDescent="0.35">
      <c r="B2665"/>
      <c r="C2665"/>
      <c r="H2665"/>
    </row>
    <row r="2666" spans="2:8" x14ac:dyDescent="0.35">
      <c r="B2666"/>
      <c r="C2666"/>
      <c r="H2666"/>
    </row>
    <row r="2667" spans="2:8" x14ac:dyDescent="0.35">
      <c r="B2667"/>
      <c r="C2667"/>
      <c r="H2667"/>
    </row>
    <row r="2668" spans="2:8" x14ac:dyDescent="0.35">
      <c r="B2668"/>
      <c r="C2668"/>
      <c r="H2668"/>
    </row>
    <row r="2669" spans="2:8" x14ac:dyDescent="0.35">
      <c r="B2669"/>
      <c r="C2669"/>
      <c r="H2669"/>
    </row>
    <row r="2670" spans="2:8" x14ac:dyDescent="0.35">
      <c r="B2670"/>
      <c r="C2670"/>
      <c r="H2670"/>
    </row>
    <row r="2671" spans="2:8" x14ac:dyDescent="0.35">
      <c r="B2671"/>
      <c r="C2671"/>
      <c r="H2671"/>
    </row>
    <row r="2672" spans="2:8" x14ac:dyDescent="0.35">
      <c r="B2672"/>
      <c r="C2672"/>
      <c r="H2672"/>
    </row>
    <row r="2673" spans="2:8" x14ac:dyDescent="0.35">
      <c r="B2673"/>
      <c r="C2673"/>
      <c r="H2673"/>
    </row>
    <row r="2674" spans="2:8" x14ac:dyDescent="0.35">
      <c r="B2674"/>
      <c r="C2674"/>
      <c r="H2674"/>
    </row>
    <row r="2675" spans="2:8" x14ac:dyDescent="0.35">
      <c r="B2675"/>
      <c r="C2675"/>
      <c r="H2675"/>
    </row>
    <row r="2676" spans="2:8" x14ac:dyDescent="0.35">
      <c r="B2676"/>
      <c r="C2676"/>
      <c r="H2676"/>
    </row>
    <row r="2677" spans="2:8" x14ac:dyDescent="0.35">
      <c r="B2677"/>
      <c r="C2677"/>
      <c r="H2677"/>
    </row>
    <row r="2678" spans="2:8" x14ac:dyDescent="0.35">
      <c r="B2678"/>
      <c r="C2678"/>
      <c r="H2678"/>
    </row>
    <row r="2679" spans="2:8" x14ac:dyDescent="0.35">
      <c r="B2679"/>
      <c r="C2679"/>
      <c r="H2679"/>
    </row>
    <row r="2680" spans="2:8" x14ac:dyDescent="0.35">
      <c r="B2680"/>
      <c r="C2680"/>
      <c r="H2680"/>
    </row>
    <row r="2681" spans="2:8" x14ac:dyDescent="0.35">
      <c r="B2681"/>
      <c r="C2681"/>
      <c r="H2681"/>
    </row>
    <row r="2682" spans="2:8" x14ac:dyDescent="0.35">
      <c r="B2682"/>
      <c r="C2682"/>
      <c r="H2682"/>
    </row>
    <row r="2683" spans="2:8" x14ac:dyDescent="0.35">
      <c r="B2683"/>
      <c r="C2683"/>
      <c r="H2683"/>
    </row>
    <row r="2684" spans="2:8" x14ac:dyDescent="0.35">
      <c r="B2684"/>
      <c r="C2684"/>
      <c r="H2684"/>
    </row>
    <row r="2685" spans="2:8" x14ac:dyDescent="0.35">
      <c r="B2685"/>
      <c r="C2685"/>
      <c r="H2685"/>
    </row>
    <row r="2686" spans="2:8" x14ac:dyDescent="0.35">
      <c r="B2686"/>
      <c r="C2686"/>
      <c r="H2686"/>
    </row>
    <row r="2687" spans="2:8" x14ac:dyDescent="0.35">
      <c r="B2687"/>
      <c r="C2687"/>
      <c r="H2687"/>
    </row>
    <row r="2688" spans="2:8" x14ac:dyDescent="0.35">
      <c r="B2688"/>
      <c r="C2688"/>
      <c r="H2688"/>
    </row>
    <row r="2689" spans="2:8" x14ac:dyDescent="0.35">
      <c r="B2689"/>
      <c r="C2689"/>
      <c r="H2689"/>
    </row>
    <row r="2690" spans="2:8" x14ac:dyDescent="0.35">
      <c r="B2690"/>
      <c r="C2690"/>
      <c r="H2690"/>
    </row>
    <row r="2691" spans="2:8" x14ac:dyDescent="0.35">
      <c r="B2691"/>
      <c r="C2691"/>
      <c r="H2691"/>
    </row>
    <row r="2692" spans="2:8" x14ac:dyDescent="0.35">
      <c r="B2692"/>
      <c r="C2692"/>
      <c r="H2692"/>
    </row>
    <row r="2693" spans="2:8" x14ac:dyDescent="0.35">
      <c r="B2693"/>
      <c r="C2693"/>
      <c r="H2693"/>
    </row>
    <row r="2694" spans="2:8" x14ac:dyDescent="0.35">
      <c r="B2694"/>
      <c r="C2694"/>
      <c r="H2694"/>
    </row>
    <row r="2695" spans="2:8" x14ac:dyDescent="0.35">
      <c r="B2695"/>
      <c r="C2695"/>
      <c r="H2695"/>
    </row>
    <row r="2696" spans="2:8" x14ac:dyDescent="0.35">
      <c r="B2696"/>
      <c r="C2696"/>
      <c r="H2696"/>
    </row>
    <row r="2697" spans="2:8" x14ac:dyDescent="0.35">
      <c r="B2697"/>
      <c r="C2697"/>
      <c r="H2697"/>
    </row>
    <row r="2698" spans="2:8" x14ac:dyDescent="0.35">
      <c r="B2698"/>
      <c r="C2698"/>
      <c r="H2698"/>
    </row>
    <row r="2699" spans="2:8" x14ac:dyDescent="0.35">
      <c r="B2699"/>
      <c r="C2699"/>
      <c r="H2699"/>
    </row>
    <row r="2700" spans="2:8" x14ac:dyDescent="0.35">
      <c r="B2700"/>
      <c r="C2700"/>
      <c r="H2700"/>
    </row>
    <row r="2701" spans="2:8" x14ac:dyDescent="0.35">
      <c r="B2701"/>
      <c r="C2701"/>
      <c r="H2701"/>
    </row>
    <row r="2702" spans="2:8" x14ac:dyDescent="0.35">
      <c r="B2702"/>
      <c r="C2702"/>
      <c r="H2702"/>
    </row>
    <row r="2703" spans="2:8" x14ac:dyDescent="0.35">
      <c r="B2703"/>
      <c r="C2703"/>
      <c r="H2703"/>
    </row>
    <row r="2704" spans="2:8" x14ac:dyDescent="0.35">
      <c r="B2704"/>
      <c r="C2704"/>
      <c r="H2704"/>
    </row>
    <row r="2705" spans="2:8" x14ac:dyDescent="0.35">
      <c r="B2705"/>
      <c r="C2705"/>
      <c r="H2705"/>
    </row>
    <row r="2706" spans="2:8" x14ac:dyDescent="0.35">
      <c r="B2706"/>
      <c r="C2706"/>
      <c r="H2706"/>
    </row>
    <row r="2707" spans="2:8" x14ac:dyDescent="0.35">
      <c r="B2707"/>
      <c r="C2707"/>
      <c r="H2707"/>
    </row>
    <row r="2708" spans="2:8" x14ac:dyDescent="0.35">
      <c r="B2708"/>
      <c r="C2708"/>
      <c r="H2708"/>
    </row>
    <row r="2709" spans="2:8" x14ac:dyDescent="0.35">
      <c r="B2709"/>
      <c r="C2709"/>
      <c r="H2709"/>
    </row>
    <row r="2710" spans="2:8" x14ac:dyDescent="0.35">
      <c r="B2710"/>
      <c r="C2710"/>
      <c r="H2710"/>
    </row>
    <row r="2711" spans="2:8" x14ac:dyDescent="0.35">
      <c r="B2711"/>
      <c r="C2711"/>
      <c r="H2711"/>
    </row>
    <row r="2712" spans="2:8" x14ac:dyDescent="0.35">
      <c r="B2712"/>
      <c r="C2712"/>
      <c r="H2712"/>
    </row>
    <row r="2713" spans="2:8" x14ac:dyDescent="0.35">
      <c r="B2713"/>
      <c r="C2713"/>
      <c r="H2713"/>
    </row>
    <row r="2714" spans="2:8" x14ac:dyDescent="0.35">
      <c r="B2714"/>
      <c r="C2714"/>
      <c r="H2714"/>
    </row>
    <row r="2715" spans="2:8" x14ac:dyDescent="0.35">
      <c r="B2715"/>
      <c r="C2715"/>
      <c r="H2715"/>
    </row>
    <row r="2716" spans="2:8" x14ac:dyDescent="0.35">
      <c r="B2716"/>
      <c r="C2716"/>
      <c r="H2716"/>
    </row>
    <row r="2717" spans="2:8" x14ac:dyDescent="0.35">
      <c r="B2717"/>
      <c r="C2717"/>
      <c r="H2717"/>
    </row>
    <row r="2718" spans="2:8" x14ac:dyDescent="0.35">
      <c r="B2718"/>
      <c r="C2718"/>
      <c r="H2718"/>
    </row>
    <row r="2719" spans="2:8" x14ac:dyDescent="0.35">
      <c r="B2719"/>
      <c r="C2719"/>
      <c r="H2719"/>
    </row>
    <row r="2720" spans="2:8" x14ac:dyDescent="0.35">
      <c r="B2720"/>
      <c r="C2720"/>
      <c r="H2720"/>
    </row>
    <row r="2721" spans="2:8" x14ac:dyDescent="0.35">
      <c r="B2721"/>
      <c r="C2721"/>
      <c r="H2721"/>
    </row>
    <row r="2722" spans="2:8" x14ac:dyDescent="0.35">
      <c r="B2722"/>
      <c r="C2722"/>
      <c r="H2722"/>
    </row>
    <row r="2723" spans="2:8" x14ac:dyDescent="0.35">
      <c r="B2723"/>
      <c r="C2723"/>
      <c r="H2723"/>
    </row>
    <row r="2724" spans="2:8" x14ac:dyDescent="0.35">
      <c r="B2724"/>
      <c r="C2724"/>
      <c r="H2724"/>
    </row>
    <row r="2725" spans="2:8" x14ac:dyDescent="0.35">
      <c r="B2725"/>
      <c r="C2725"/>
      <c r="H2725"/>
    </row>
    <row r="2726" spans="2:8" x14ac:dyDescent="0.35">
      <c r="B2726"/>
      <c r="C2726"/>
      <c r="H2726"/>
    </row>
    <row r="2727" spans="2:8" x14ac:dyDescent="0.35">
      <c r="B2727"/>
      <c r="C2727"/>
      <c r="H2727"/>
    </row>
    <row r="2728" spans="2:8" x14ac:dyDescent="0.35">
      <c r="B2728"/>
      <c r="C2728"/>
      <c r="H2728"/>
    </row>
    <row r="2729" spans="2:8" x14ac:dyDescent="0.35">
      <c r="B2729"/>
      <c r="C2729"/>
      <c r="H2729"/>
    </row>
    <row r="2730" spans="2:8" x14ac:dyDescent="0.35">
      <c r="B2730"/>
      <c r="C2730"/>
      <c r="H2730"/>
    </row>
    <row r="2731" spans="2:8" x14ac:dyDescent="0.35">
      <c r="B2731"/>
      <c r="C2731"/>
      <c r="H2731"/>
    </row>
    <row r="2732" spans="2:8" x14ac:dyDescent="0.35">
      <c r="B2732"/>
      <c r="C2732"/>
      <c r="H2732"/>
    </row>
    <row r="2733" spans="2:8" x14ac:dyDescent="0.35">
      <c r="B2733"/>
      <c r="C2733"/>
      <c r="H2733"/>
    </row>
    <row r="2734" spans="2:8" x14ac:dyDescent="0.35">
      <c r="B2734"/>
      <c r="C2734"/>
      <c r="H2734"/>
    </row>
    <row r="2735" spans="2:8" x14ac:dyDescent="0.35">
      <c r="B2735"/>
      <c r="C2735"/>
      <c r="H2735"/>
    </row>
    <row r="2736" spans="2:8" x14ac:dyDescent="0.35">
      <c r="B2736"/>
      <c r="C2736"/>
      <c r="H2736"/>
    </row>
    <row r="2737" spans="2:8" x14ac:dyDescent="0.35">
      <c r="B2737"/>
      <c r="C2737"/>
      <c r="H2737"/>
    </row>
    <row r="2738" spans="2:8" x14ac:dyDescent="0.35">
      <c r="B2738"/>
      <c r="C2738"/>
      <c r="H2738"/>
    </row>
    <row r="2739" spans="2:8" x14ac:dyDescent="0.35">
      <c r="B2739"/>
      <c r="C2739"/>
      <c r="H2739"/>
    </row>
    <row r="2740" spans="2:8" x14ac:dyDescent="0.35">
      <c r="B2740"/>
      <c r="C2740"/>
      <c r="H2740"/>
    </row>
    <row r="2741" spans="2:8" x14ac:dyDescent="0.35">
      <c r="B2741"/>
      <c r="C2741"/>
      <c r="H2741"/>
    </row>
    <row r="2742" spans="2:8" x14ac:dyDescent="0.35">
      <c r="B2742"/>
      <c r="C2742"/>
      <c r="H2742"/>
    </row>
    <row r="2743" spans="2:8" x14ac:dyDescent="0.35">
      <c r="B2743"/>
      <c r="C2743"/>
      <c r="H2743"/>
    </row>
    <row r="2744" spans="2:8" x14ac:dyDescent="0.35">
      <c r="B2744"/>
      <c r="C2744"/>
      <c r="H2744"/>
    </row>
    <row r="2745" spans="2:8" x14ac:dyDescent="0.35">
      <c r="B2745"/>
      <c r="C2745"/>
      <c r="H2745"/>
    </row>
    <row r="2746" spans="2:8" x14ac:dyDescent="0.35">
      <c r="B2746"/>
      <c r="C2746"/>
      <c r="H2746"/>
    </row>
    <row r="2747" spans="2:8" x14ac:dyDescent="0.35">
      <c r="B2747"/>
      <c r="C2747"/>
      <c r="H2747"/>
    </row>
    <row r="2748" spans="2:8" x14ac:dyDescent="0.35">
      <c r="B2748"/>
      <c r="C2748"/>
      <c r="H2748"/>
    </row>
    <row r="2749" spans="2:8" x14ac:dyDescent="0.35">
      <c r="B2749"/>
      <c r="C2749"/>
      <c r="H2749"/>
    </row>
    <row r="2750" spans="2:8" x14ac:dyDescent="0.35">
      <c r="B2750"/>
      <c r="C2750"/>
      <c r="H2750"/>
    </row>
    <row r="2751" spans="2:8" x14ac:dyDescent="0.35">
      <c r="B2751"/>
      <c r="C2751"/>
      <c r="H2751"/>
    </row>
    <row r="2752" spans="2:8" x14ac:dyDescent="0.35">
      <c r="B2752"/>
      <c r="C2752"/>
      <c r="H2752"/>
    </row>
    <row r="2753" spans="2:8" x14ac:dyDescent="0.35">
      <c r="B2753"/>
      <c r="C2753"/>
      <c r="H2753"/>
    </row>
    <row r="2754" spans="2:8" x14ac:dyDescent="0.35">
      <c r="B2754"/>
      <c r="C2754"/>
      <c r="H2754"/>
    </row>
    <row r="2755" spans="2:8" x14ac:dyDescent="0.35">
      <c r="B2755"/>
      <c r="C2755"/>
      <c r="H2755"/>
    </row>
    <row r="2756" spans="2:8" x14ac:dyDescent="0.35">
      <c r="B2756"/>
      <c r="C2756"/>
      <c r="H2756"/>
    </row>
    <row r="2757" spans="2:8" x14ac:dyDescent="0.35">
      <c r="B2757"/>
      <c r="C2757"/>
      <c r="H2757"/>
    </row>
    <row r="2758" spans="2:8" x14ac:dyDescent="0.35">
      <c r="B2758"/>
      <c r="C2758"/>
      <c r="H2758"/>
    </row>
    <row r="2759" spans="2:8" x14ac:dyDescent="0.35">
      <c r="B2759"/>
      <c r="C2759"/>
      <c r="H2759"/>
    </row>
    <row r="2760" spans="2:8" x14ac:dyDescent="0.35">
      <c r="B2760"/>
      <c r="C2760"/>
      <c r="H2760"/>
    </row>
    <row r="2761" spans="2:8" x14ac:dyDescent="0.35">
      <c r="B2761"/>
      <c r="C2761"/>
      <c r="H2761"/>
    </row>
    <row r="2762" spans="2:8" x14ac:dyDescent="0.35">
      <c r="B2762"/>
      <c r="C2762"/>
      <c r="H2762"/>
    </row>
    <row r="2763" spans="2:8" x14ac:dyDescent="0.35">
      <c r="B2763"/>
      <c r="C2763"/>
      <c r="H2763"/>
    </row>
    <row r="2764" spans="2:8" x14ac:dyDescent="0.35">
      <c r="B2764"/>
      <c r="C2764"/>
      <c r="H2764"/>
    </row>
    <row r="2765" spans="2:8" x14ac:dyDescent="0.35">
      <c r="B2765"/>
      <c r="C2765"/>
      <c r="H2765"/>
    </row>
    <row r="2766" spans="2:8" x14ac:dyDescent="0.35">
      <c r="B2766"/>
      <c r="C2766"/>
      <c r="H2766"/>
    </row>
    <row r="2767" spans="2:8" x14ac:dyDescent="0.35">
      <c r="B2767"/>
      <c r="C2767"/>
      <c r="H2767"/>
    </row>
    <row r="2768" spans="2:8" x14ac:dyDescent="0.35">
      <c r="B2768"/>
      <c r="C2768"/>
      <c r="H2768"/>
    </row>
    <row r="2769" spans="2:8" x14ac:dyDescent="0.35">
      <c r="B2769"/>
      <c r="C2769"/>
      <c r="H2769"/>
    </row>
    <row r="2770" spans="2:8" x14ac:dyDescent="0.35">
      <c r="B2770"/>
      <c r="C2770"/>
      <c r="H2770"/>
    </row>
    <row r="2771" spans="2:8" x14ac:dyDescent="0.35">
      <c r="B2771"/>
      <c r="C2771"/>
      <c r="H2771"/>
    </row>
    <row r="2772" spans="2:8" x14ac:dyDescent="0.35">
      <c r="B2772"/>
      <c r="C2772"/>
      <c r="H2772"/>
    </row>
    <row r="2773" spans="2:8" x14ac:dyDescent="0.35">
      <c r="B2773"/>
      <c r="C2773"/>
      <c r="H2773"/>
    </row>
    <row r="2774" spans="2:8" x14ac:dyDescent="0.35">
      <c r="B2774"/>
      <c r="C2774"/>
      <c r="H2774"/>
    </row>
    <row r="2775" spans="2:8" x14ac:dyDescent="0.35">
      <c r="B2775"/>
      <c r="C2775"/>
      <c r="H2775"/>
    </row>
    <row r="2776" spans="2:8" x14ac:dyDescent="0.35">
      <c r="B2776"/>
      <c r="C2776"/>
      <c r="H2776"/>
    </row>
    <row r="2777" spans="2:8" x14ac:dyDescent="0.35">
      <c r="B2777"/>
      <c r="C2777"/>
      <c r="H2777"/>
    </row>
    <row r="2778" spans="2:8" x14ac:dyDescent="0.35">
      <c r="B2778"/>
      <c r="C2778"/>
      <c r="H2778"/>
    </row>
    <row r="2779" spans="2:8" x14ac:dyDescent="0.35">
      <c r="B2779"/>
      <c r="C2779"/>
      <c r="H2779"/>
    </row>
    <row r="2780" spans="2:8" x14ac:dyDescent="0.35">
      <c r="B2780"/>
      <c r="C2780"/>
      <c r="H2780"/>
    </row>
    <row r="2781" spans="2:8" x14ac:dyDescent="0.35">
      <c r="B2781"/>
      <c r="C2781"/>
      <c r="H2781"/>
    </row>
    <row r="2782" spans="2:8" x14ac:dyDescent="0.35">
      <c r="B2782"/>
      <c r="C2782"/>
      <c r="H2782"/>
    </row>
    <row r="2783" spans="2:8" x14ac:dyDescent="0.35">
      <c r="B2783"/>
      <c r="C2783"/>
      <c r="H2783"/>
    </row>
    <row r="2784" spans="2:8" x14ac:dyDescent="0.35">
      <c r="B2784"/>
      <c r="C2784"/>
      <c r="H2784"/>
    </row>
    <row r="2785" spans="2:8" x14ac:dyDescent="0.35">
      <c r="B2785"/>
      <c r="C2785"/>
      <c r="H2785"/>
    </row>
    <row r="2786" spans="2:8" x14ac:dyDescent="0.35">
      <c r="B2786"/>
      <c r="C2786"/>
      <c r="H2786"/>
    </row>
    <row r="2787" spans="2:8" x14ac:dyDescent="0.35">
      <c r="B2787"/>
      <c r="C2787"/>
      <c r="H2787"/>
    </row>
    <row r="2788" spans="2:8" x14ac:dyDescent="0.35">
      <c r="B2788"/>
      <c r="C2788"/>
      <c r="H2788"/>
    </row>
    <row r="2789" spans="2:8" x14ac:dyDescent="0.35">
      <c r="B2789"/>
      <c r="C2789"/>
      <c r="H2789"/>
    </row>
    <row r="2790" spans="2:8" x14ac:dyDescent="0.35">
      <c r="B2790"/>
      <c r="C2790"/>
      <c r="H2790"/>
    </row>
    <row r="2791" spans="2:8" x14ac:dyDescent="0.35">
      <c r="B2791"/>
      <c r="C2791"/>
      <c r="H2791"/>
    </row>
    <row r="2792" spans="2:8" x14ac:dyDescent="0.35">
      <c r="B2792"/>
      <c r="C2792"/>
      <c r="H2792"/>
    </row>
    <row r="2793" spans="2:8" x14ac:dyDescent="0.35">
      <c r="B2793"/>
      <c r="C2793"/>
      <c r="H2793"/>
    </row>
    <row r="2794" spans="2:8" x14ac:dyDescent="0.35">
      <c r="B2794"/>
      <c r="C2794"/>
      <c r="H2794"/>
    </row>
    <row r="2795" spans="2:8" x14ac:dyDescent="0.35">
      <c r="B2795"/>
      <c r="C2795"/>
      <c r="H2795"/>
    </row>
    <row r="2796" spans="2:8" x14ac:dyDescent="0.35">
      <c r="B2796"/>
      <c r="C2796"/>
      <c r="H2796"/>
    </row>
    <row r="2797" spans="2:8" x14ac:dyDescent="0.35">
      <c r="B2797"/>
      <c r="C2797"/>
      <c r="H2797"/>
    </row>
    <row r="2798" spans="2:8" x14ac:dyDescent="0.35">
      <c r="B2798"/>
      <c r="C2798"/>
      <c r="H2798"/>
    </row>
    <row r="2799" spans="2:8" x14ac:dyDescent="0.35">
      <c r="B2799"/>
      <c r="C2799"/>
      <c r="H2799"/>
    </row>
    <row r="2800" spans="2:8" x14ac:dyDescent="0.35">
      <c r="B2800"/>
      <c r="C2800"/>
      <c r="H2800"/>
    </row>
    <row r="2801" spans="2:8" x14ac:dyDescent="0.35">
      <c r="B2801"/>
      <c r="C2801"/>
      <c r="H2801"/>
    </row>
    <row r="2802" spans="2:8" x14ac:dyDescent="0.35">
      <c r="B2802"/>
      <c r="C2802"/>
      <c r="H2802"/>
    </row>
    <row r="2803" spans="2:8" x14ac:dyDescent="0.35">
      <c r="B2803"/>
      <c r="C2803"/>
      <c r="H2803"/>
    </row>
    <row r="2804" spans="2:8" x14ac:dyDescent="0.35">
      <c r="B2804"/>
      <c r="C2804"/>
      <c r="H2804"/>
    </row>
    <row r="2805" spans="2:8" x14ac:dyDescent="0.35">
      <c r="B2805"/>
      <c r="C2805"/>
      <c r="H2805"/>
    </row>
    <row r="2806" spans="2:8" x14ac:dyDescent="0.35">
      <c r="B2806"/>
      <c r="C2806"/>
      <c r="H2806"/>
    </row>
    <row r="2807" spans="2:8" x14ac:dyDescent="0.35">
      <c r="B2807"/>
      <c r="C2807"/>
      <c r="H2807"/>
    </row>
    <row r="2808" spans="2:8" x14ac:dyDescent="0.35">
      <c r="B2808"/>
      <c r="C2808"/>
      <c r="H2808"/>
    </row>
    <row r="2809" spans="2:8" x14ac:dyDescent="0.35">
      <c r="B2809"/>
      <c r="C2809"/>
      <c r="H2809"/>
    </row>
    <row r="2810" spans="2:8" x14ac:dyDescent="0.35">
      <c r="B2810"/>
      <c r="C2810"/>
      <c r="H2810"/>
    </row>
    <row r="2811" spans="2:8" x14ac:dyDescent="0.35">
      <c r="B2811"/>
      <c r="C2811"/>
      <c r="H2811"/>
    </row>
    <row r="2812" spans="2:8" x14ac:dyDescent="0.35">
      <c r="B2812"/>
      <c r="C2812"/>
      <c r="H2812"/>
    </row>
    <row r="2813" spans="2:8" x14ac:dyDescent="0.35">
      <c r="B2813"/>
      <c r="C2813"/>
      <c r="H2813"/>
    </row>
    <row r="2814" spans="2:8" x14ac:dyDescent="0.35">
      <c r="B2814"/>
      <c r="C2814"/>
      <c r="H2814"/>
    </row>
    <row r="2815" spans="2:8" x14ac:dyDescent="0.35">
      <c r="B2815"/>
      <c r="C2815"/>
      <c r="H2815"/>
    </row>
    <row r="2816" spans="2:8" x14ac:dyDescent="0.35">
      <c r="B2816"/>
      <c r="C2816"/>
      <c r="H2816"/>
    </row>
    <row r="2817" spans="2:8" x14ac:dyDescent="0.35">
      <c r="B2817"/>
      <c r="C2817"/>
      <c r="H2817"/>
    </row>
    <row r="2818" spans="2:8" x14ac:dyDescent="0.35">
      <c r="B2818"/>
      <c r="C2818"/>
      <c r="H2818"/>
    </row>
    <row r="2819" spans="2:8" x14ac:dyDescent="0.35">
      <c r="B2819"/>
      <c r="C2819"/>
      <c r="H2819"/>
    </row>
    <row r="2820" spans="2:8" x14ac:dyDescent="0.35">
      <c r="B2820"/>
      <c r="C2820"/>
      <c r="H2820"/>
    </row>
    <row r="2821" spans="2:8" x14ac:dyDescent="0.35">
      <c r="B2821"/>
      <c r="C2821"/>
      <c r="H2821"/>
    </row>
    <row r="2822" spans="2:8" x14ac:dyDescent="0.35">
      <c r="B2822"/>
      <c r="C2822"/>
      <c r="H2822"/>
    </row>
    <row r="2823" spans="2:8" x14ac:dyDescent="0.35">
      <c r="B2823"/>
      <c r="C2823"/>
      <c r="H2823"/>
    </row>
    <row r="2824" spans="2:8" x14ac:dyDescent="0.35">
      <c r="B2824"/>
      <c r="C2824"/>
      <c r="H2824"/>
    </row>
    <row r="2825" spans="2:8" x14ac:dyDescent="0.35">
      <c r="B2825"/>
      <c r="C2825"/>
      <c r="H2825"/>
    </row>
    <row r="2826" spans="2:8" x14ac:dyDescent="0.35">
      <c r="B2826"/>
      <c r="C2826"/>
      <c r="H2826"/>
    </row>
    <row r="2827" spans="2:8" x14ac:dyDescent="0.35">
      <c r="B2827"/>
      <c r="C2827"/>
      <c r="H2827"/>
    </row>
    <row r="2828" spans="2:8" x14ac:dyDescent="0.35">
      <c r="B2828"/>
      <c r="C2828"/>
      <c r="H2828"/>
    </row>
    <row r="2829" spans="2:8" x14ac:dyDescent="0.35">
      <c r="B2829"/>
      <c r="C2829"/>
      <c r="H2829"/>
    </row>
    <row r="2830" spans="2:8" x14ac:dyDescent="0.35">
      <c r="B2830"/>
      <c r="C2830"/>
      <c r="H2830"/>
    </row>
    <row r="2831" spans="2:8" x14ac:dyDescent="0.35">
      <c r="B2831"/>
      <c r="C2831"/>
      <c r="H2831"/>
    </row>
    <row r="2832" spans="2:8" x14ac:dyDescent="0.35">
      <c r="B2832"/>
      <c r="C2832"/>
      <c r="H2832"/>
    </row>
    <row r="2833" spans="2:8" x14ac:dyDescent="0.35">
      <c r="B2833"/>
      <c r="C2833"/>
      <c r="H2833"/>
    </row>
    <row r="2834" spans="2:8" x14ac:dyDescent="0.35">
      <c r="B2834"/>
      <c r="C2834"/>
      <c r="H2834"/>
    </row>
    <row r="2835" spans="2:8" x14ac:dyDescent="0.35">
      <c r="B2835"/>
      <c r="C2835"/>
      <c r="H2835"/>
    </row>
    <row r="2836" spans="2:8" x14ac:dyDescent="0.35">
      <c r="B2836"/>
      <c r="C2836"/>
      <c r="H2836"/>
    </row>
    <row r="2837" spans="2:8" x14ac:dyDescent="0.35">
      <c r="B2837"/>
      <c r="C2837"/>
      <c r="H2837"/>
    </row>
    <row r="2838" spans="2:8" x14ac:dyDescent="0.35">
      <c r="B2838"/>
      <c r="C2838"/>
      <c r="H2838"/>
    </row>
    <row r="2839" spans="2:8" x14ac:dyDescent="0.35">
      <c r="B2839"/>
      <c r="C2839"/>
      <c r="H2839"/>
    </row>
    <row r="2840" spans="2:8" x14ac:dyDescent="0.35">
      <c r="B2840"/>
      <c r="C2840"/>
      <c r="H2840"/>
    </row>
    <row r="2841" spans="2:8" x14ac:dyDescent="0.35">
      <c r="B2841"/>
      <c r="C2841"/>
      <c r="H2841"/>
    </row>
    <row r="2842" spans="2:8" x14ac:dyDescent="0.35">
      <c r="B2842"/>
      <c r="C2842"/>
      <c r="H2842"/>
    </row>
    <row r="2843" spans="2:8" x14ac:dyDescent="0.35">
      <c r="B2843"/>
      <c r="C2843"/>
      <c r="H2843"/>
    </row>
    <row r="2844" spans="2:8" x14ac:dyDescent="0.35">
      <c r="B2844"/>
      <c r="C2844"/>
      <c r="H2844"/>
    </row>
    <row r="2845" spans="2:8" x14ac:dyDescent="0.35">
      <c r="B2845"/>
      <c r="C2845"/>
      <c r="H2845"/>
    </row>
    <row r="2846" spans="2:8" x14ac:dyDescent="0.35">
      <c r="B2846"/>
      <c r="C2846"/>
      <c r="H2846"/>
    </row>
    <row r="2847" spans="2:8" x14ac:dyDescent="0.35">
      <c r="B2847"/>
      <c r="C2847"/>
      <c r="H2847"/>
    </row>
    <row r="2848" spans="2:8" x14ac:dyDescent="0.35">
      <c r="B2848"/>
      <c r="C2848"/>
      <c r="H2848"/>
    </row>
    <row r="2849" spans="2:8" x14ac:dyDescent="0.35">
      <c r="B2849"/>
      <c r="C2849"/>
      <c r="H2849"/>
    </row>
    <row r="2850" spans="2:8" x14ac:dyDescent="0.35">
      <c r="B2850"/>
      <c r="C2850"/>
      <c r="H2850"/>
    </row>
    <row r="2851" spans="2:8" x14ac:dyDescent="0.35">
      <c r="B2851"/>
      <c r="C2851"/>
      <c r="H2851"/>
    </row>
    <row r="2852" spans="2:8" x14ac:dyDescent="0.35">
      <c r="B2852"/>
      <c r="C2852"/>
      <c r="H2852"/>
    </row>
    <row r="2853" spans="2:8" x14ac:dyDescent="0.35">
      <c r="B2853"/>
      <c r="C2853"/>
      <c r="H2853"/>
    </row>
    <row r="2854" spans="2:8" x14ac:dyDescent="0.35">
      <c r="B2854"/>
      <c r="C2854"/>
      <c r="H2854"/>
    </row>
    <row r="2855" spans="2:8" x14ac:dyDescent="0.35">
      <c r="B2855"/>
      <c r="C2855"/>
      <c r="H2855"/>
    </row>
    <row r="2856" spans="2:8" x14ac:dyDescent="0.35">
      <c r="B2856"/>
      <c r="C2856"/>
      <c r="H2856"/>
    </row>
    <row r="2857" spans="2:8" x14ac:dyDescent="0.35">
      <c r="B2857"/>
      <c r="C2857"/>
      <c r="H2857"/>
    </row>
    <row r="2858" spans="2:8" x14ac:dyDescent="0.35">
      <c r="B2858"/>
      <c r="C2858"/>
      <c r="H2858"/>
    </row>
    <row r="2859" spans="2:8" x14ac:dyDescent="0.35">
      <c r="B2859"/>
      <c r="C2859"/>
      <c r="H2859"/>
    </row>
    <row r="2860" spans="2:8" x14ac:dyDescent="0.35">
      <c r="B2860"/>
      <c r="C2860"/>
      <c r="H2860"/>
    </row>
    <row r="2861" spans="2:8" x14ac:dyDescent="0.35">
      <c r="B2861"/>
      <c r="C2861"/>
      <c r="H2861"/>
    </row>
    <row r="2862" spans="2:8" x14ac:dyDescent="0.35">
      <c r="B2862"/>
      <c r="C2862"/>
      <c r="H2862"/>
    </row>
    <row r="2863" spans="2:8" x14ac:dyDescent="0.35">
      <c r="B2863"/>
      <c r="C2863"/>
      <c r="H2863"/>
    </row>
    <row r="2864" spans="2:8" x14ac:dyDescent="0.35">
      <c r="B2864"/>
      <c r="C2864"/>
      <c r="H2864"/>
    </row>
    <row r="2865" spans="2:8" x14ac:dyDescent="0.35">
      <c r="B2865"/>
      <c r="C2865"/>
      <c r="H2865"/>
    </row>
    <row r="2866" spans="2:8" x14ac:dyDescent="0.35">
      <c r="B2866"/>
      <c r="C2866"/>
      <c r="H2866"/>
    </row>
    <row r="2867" spans="2:8" x14ac:dyDescent="0.35">
      <c r="B2867"/>
      <c r="C2867"/>
      <c r="H2867"/>
    </row>
    <row r="2868" spans="2:8" x14ac:dyDescent="0.35">
      <c r="B2868"/>
      <c r="C2868"/>
      <c r="H2868"/>
    </row>
    <row r="2869" spans="2:8" x14ac:dyDescent="0.35">
      <c r="B2869"/>
      <c r="C2869"/>
      <c r="H2869"/>
    </row>
    <row r="2870" spans="2:8" x14ac:dyDescent="0.35">
      <c r="B2870"/>
      <c r="C2870"/>
      <c r="H2870"/>
    </row>
    <row r="2871" spans="2:8" x14ac:dyDescent="0.35">
      <c r="B2871"/>
      <c r="C2871"/>
      <c r="H2871"/>
    </row>
    <row r="2872" spans="2:8" x14ac:dyDescent="0.35">
      <c r="B2872"/>
      <c r="C2872"/>
      <c r="H2872"/>
    </row>
    <row r="2873" spans="2:8" x14ac:dyDescent="0.35">
      <c r="B2873"/>
      <c r="C2873"/>
      <c r="H2873"/>
    </row>
    <row r="2874" spans="2:8" x14ac:dyDescent="0.35">
      <c r="B2874"/>
      <c r="C2874"/>
      <c r="H2874"/>
    </row>
    <row r="2875" spans="2:8" x14ac:dyDescent="0.35">
      <c r="B2875"/>
      <c r="C2875"/>
      <c r="H2875"/>
    </row>
    <row r="2876" spans="2:8" x14ac:dyDescent="0.35">
      <c r="B2876"/>
      <c r="C2876"/>
      <c r="H2876"/>
    </row>
    <row r="2877" spans="2:8" x14ac:dyDescent="0.35">
      <c r="B2877"/>
      <c r="C2877"/>
      <c r="H2877"/>
    </row>
    <row r="2878" spans="2:8" x14ac:dyDescent="0.35">
      <c r="B2878"/>
      <c r="C2878"/>
      <c r="H2878"/>
    </row>
    <row r="2879" spans="2:8" x14ac:dyDescent="0.35">
      <c r="B2879"/>
      <c r="C2879"/>
      <c r="H2879"/>
    </row>
    <row r="2880" spans="2:8" x14ac:dyDescent="0.35">
      <c r="B2880"/>
      <c r="C2880"/>
      <c r="H2880"/>
    </row>
    <row r="2881" spans="2:8" x14ac:dyDescent="0.35">
      <c r="B2881"/>
      <c r="C2881"/>
      <c r="H2881"/>
    </row>
    <row r="2882" spans="2:8" x14ac:dyDescent="0.35">
      <c r="B2882"/>
      <c r="C2882"/>
      <c r="H2882"/>
    </row>
    <row r="2883" spans="2:8" x14ac:dyDescent="0.35">
      <c r="B2883"/>
      <c r="C2883"/>
      <c r="H2883"/>
    </row>
    <row r="2884" spans="2:8" x14ac:dyDescent="0.35">
      <c r="B2884"/>
      <c r="C2884"/>
      <c r="H2884"/>
    </row>
    <row r="2885" spans="2:8" x14ac:dyDescent="0.35">
      <c r="B2885"/>
      <c r="C2885"/>
      <c r="H2885"/>
    </row>
    <row r="2886" spans="2:8" x14ac:dyDescent="0.35">
      <c r="B2886"/>
      <c r="C2886"/>
      <c r="H2886"/>
    </row>
    <row r="2887" spans="2:8" x14ac:dyDescent="0.35">
      <c r="B2887"/>
      <c r="C2887"/>
      <c r="H2887"/>
    </row>
    <row r="2888" spans="2:8" x14ac:dyDescent="0.35">
      <c r="B2888"/>
      <c r="C2888"/>
      <c r="H2888"/>
    </row>
    <row r="2889" spans="2:8" x14ac:dyDescent="0.35">
      <c r="B2889"/>
      <c r="C2889"/>
      <c r="H2889"/>
    </row>
    <row r="2890" spans="2:8" x14ac:dyDescent="0.35">
      <c r="B2890"/>
      <c r="C2890"/>
      <c r="H2890"/>
    </row>
    <row r="2891" spans="2:8" x14ac:dyDescent="0.35">
      <c r="B2891"/>
      <c r="C2891"/>
      <c r="H2891"/>
    </row>
    <row r="2892" spans="2:8" x14ac:dyDescent="0.35">
      <c r="B2892"/>
      <c r="C2892"/>
      <c r="H2892"/>
    </row>
    <row r="2893" spans="2:8" x14ac:dyDescent="0.35">
      <c r="B2893"/>
      <c r="C2893"/>
      <c r="H2893"/>
    </row>
    <row r="2894" spans="2:8" x14ac:dyDescent="0.35">
      <c r="B2894"/>
      <c r="C2894"/>
      <c r="H2894"/>
    </row>
    <row r="2895" spans="2:8" x14ac:dyDescent="0.35">
      <c r="B2895"/>
      <c r="C2895"/>
      <c r="H2895"/>
    </row>
    <row r="2896" spans="2:8" x14ac:dyDescent="0.35">
      <c r="B2896"/>
      <c r="C2896"/>
      <c r="H2896"/>
    </row>
    <row r="2897" spans="2:8" x14ac:dyDescent="0.35">
      <c r="B2897"/>
      <c r="C2897"/>
      <c r="H2897"/>
    </row>
    <row r="2898" spans="2:8" x14ac:dyDescent="0.35">
      <c r="B2898"/>
      <c r="C2898"/>
      <c r="H2898"/>
    </row>
    <row r="2899" spans="2:8" x14ac:dyDescent="0.35">
      <c r="B2899"/>
      <c r="C2899"/>
      <c r="H2899"/>
    </row>
    <row r="2900" spans="2:8" x14ac:dyDescent="0.35">
      <c r="B2900"/>
      <c r="C2900"/>
      <c r="H2900"/>
    </row>
    <row r="2901" spans="2:8" x14ac:dyDescent="0.35">
      <c r="B2901"/>
      <c r="C2901"/>
      <c r="H2901"/>
    </row>
    <row r="2902" spans="2:8" x14ac:dyDescent="0.35">
      <c r="B2902"/>
      <c r="C2902"/>
      <c r="H2902"/>
    </row>
    <row r="2903" spans="2:8" x14ac:dyDescent="0.35">
      <c r="B2903"/>
      <c r="C2903"/>
      <c r="H2903"/>
    </row>
    <row r="2904" spans="2:8" x14ac:dyDescent="0.35">
      <c r="B2904"/>
      <c r="C2904"/>
      <c r="H2904"/>
    </row>
    <row r="2905" spans="2:8" x14ac:dyDescent="0.35">
      <c r="B2905"/>
      <c r="C2905"/>
      <c r="H2905"/>
    </row>
    <row r="2906" spans="2:8" x14ac:dyDescent="0.35">
      <c r="B2906"/>
      <c r="C2906"/>
      <c r="H2906"/>
    </row>
    <row r="2907" spans="2:8" x14ac:dyDescent="0.35">
      <c r="B2907"/>
      <c r="C2907"/>
      <c r="H2907"/>
    </row>
    <row r="2908" spans="2:8" x14ac:dyDescent="0.35">
      <c r="B2908"/>
      <c r="C2908"/>
      <c r="H2908"/>
    </row>
    <row r="2909" spans="2:8" x14ac:dyDescent="0.35">
      <c r="B2909"/>
      <c r="C2909"/>
      <c r="H2909"/>
    </row>
    <row r="2910" spans="2:8" x14ac:dyDescent="0.35">
      <c r="B2910"/>
      <c r="C2910"/>
      <c r="H2910"/>
    </row>
    <row r="2911" spans="2:8" x14ac:dyDescent="0.35">
      <c r="B2911"/>
      <c r="C2911"/>
      <c r="H2911"/>
    </row>
    <row r="2912" spans="2:8" x14ac:dyDescent="0.35">
      <c r="B2912"/>
      <c r="C2912"/>
      <c r="H2912"/>
    </row>
    <row r="2913" spans="2:8" x14ac:dyDescent="0.35">
      <c r="B2913"/>
      <c r="C2913"/>
      <c r="H2913"/>
    </row>
    <row r="2914" spans="2:8" x14ac:dyDescent="0.35">
      <c r="B2914"/>
      <c r="C2914"/>
      <c r="H2914"/>
    </row>
    <row r="2915" spans="2:8" x14ac:dyDescent="0.35">
      <c r="B2915"/>
      <c r="C2915"/>
      <c r="H2915"/>
    </row>
    <row r="2916" spans="2:8" x14ac:dyDescent="0.35">
      <c r="B2916"/>
      <c r="C2916"/>
      <c r="H2916"/>
    </row>
    <row r="2917" spans="2:8" x14ac:dyDescent="0.35">
      <c r="B2917"/>
      <c r="C2917"/>
      <c r="H2917"/>
    </row>
    <row r="2918" spans="2:8" x14ac:dyDescent="0.35">
      <c r="B2918"/>
      <c r="C2918"/>
      <c r="H2918"/>
    </row>
    <row r="2919" spans="2:8" x14ac:dyDescent="0.35">
      <c r="B2919"/>
      <c r="C2919"/>
      <c r="H2919"/>
    </row>
    <row r="2920" spans="2:8" x14ac:dyDescent="0.35">
      <c r="B2920"/>
      <c r="C2920"/>
      <c r="H2920"/>
    </row>
    <row r="2921" spans="2:8" x14ac:dyDescent="0.35">
      <c r="B2921"/>
      <c r="C2921"/>
      <c r="H2921"/>
    </row>
    <row r="2922" spans="2:8" x14ac:dyDescent="0.35">
      <c r="B2922"/>
      <c r="C2922"/>
      <c r="H2922"/>
    </row>
    <row r="2923" spans="2:8" x14ac:dyDescent="0.35">
      <c r="B2923"/>
      <c r="C2923"/>
      <c r="H2923"/>
    </row>
    <row r="2924" spans="2:8" x14ac:dyDescent="0.35">
      <c r="B2924"/>
      <c r="C2924"/>
      <c r="H2924"/>
    </row>
    <row r="2925" spans="2:8" x14ac:dyDescent="0.35">
      <c r="B2925"/>
      <c r="C2925"/>
      <c r="H2925"/>
    </row>
    <row r="2926" spans="2:8" x14ac:dyDescent="0.35">
      <c r="B2926"/>
      <c r="C2926"/>
      <c r="H2926"/>
    </row>
    <row r="2927" spans="2:8" x14ac:dyDescent="0.35">
      <c r="B2927"/>
      <c r="C2927"/>
      <c r="H2927"/>
    </row>
    <row r="2928" spans="2:8" x14ac:dyDescent="0.35">
      <c r="B2928"/>
      <c r="C2928"/>
      <c r="H2928"/>
    </row>
    <row r="2929" spans="2:8" x14ac:dyDescent="0.35">
      <c r="B2929"/>
      <c r="C2929"/>
      <c r="H2929"/>
    </row>
    <row r="2930" spans="2:8" x14ac:dyDescent="0.35">
      <c r="B2930"/>
      <c r="C2930"/>
      <c r="H2930"/>
    </row>
    <row r="2931" spans="2:8" x14ac:dyDescent="0.35">
      <c r="B2931"/>
      <c r="C2931"/>
      <c r="H2931"/>
    </row>
    <row r="2932" spans="2:8" x14ac:dyDescent="0.35">
      <c r="B2932"/>
      <c r="C2932"/>
      <c r="H2932"/>
    </row>
    <row r="2933" spans="2:8" x14ac:dyDescent="0.35">
      <c r="B2933"/>
      <c r="C2933"/>
      <c r="H2933"/>
    </row>
    <row r="2934" spans="2:8" x14ac:dyDescent="0.35">
      <c r="B2934"/>
      <c r="C2934"/>
      <c r="H2934"/>
    </row>
    <row r="2935" spans="2:8" x14ac:dyDescent="0.35">
      <c r="B2935"/>
      <c r="C2935"/>
      <c r="H2935"/>
    </row>
    <row r="2936" spans="2:8" x14ac:dyDescent="0.35">
      <c r="B2936"/>
      <c r="C2936"/>
      <c r="H2936"/>
    </row>
    <row r="2937" spans="2:8" x14ac:dyDescent="0.35">
      <c r="B2937"/>
      <c r="C2937"/>
      <c r="H2937"/>
    </row>
    <row r="2938" spans="2:8" x14ac:dyDescent="0.35">
      <c r="B2938"/>
      <c r="C2938"/>
      <c r="H2938"/>
    </row>
    <row r="2939" spans="2:8" x14ac:dyDescent="0.35">
      <c r="B2939"/>
      <c r="C2939"/>
      <c r="H2939"/>
    </row>
    <row r="2940" spans="2:8" x14ac:dyDescent="0.35">
      <c r="B2940"/>
      <c r="C2940"/>
      <c r="H2940"/>
    </row>
    <row r="2941" spans="2:8" x14ac:dyDescent="0.35">
      <c r="B2941"/>
      <c r="C2941"/>
      <c r="H2941"/>
    </row>
    <row r="2942" spans="2:8" x14ac:dyDescent="0.35">
      <c r="B2942"/>
      <c r="C2942"/>
      <c r="H2942"/>
    </row>
    <row r="2943" spans="2:8" x14ac:dyDescent="0.35">
      <c r="B2943"/>
      <c r="C2943"/>
      <c r="H2943"/>
    </row>
    <row r="2944" spans="2:8" x14ac:dyDescent="0.35">
      <c r="B2944"/>
      <c r="C2944"/>
      <c r="H2944"/>
    </row>
    <row r="2945" spans="2:8" x14ac:dyDescent="0.35">
      <c r="B2945"/>
      <c r="C2945"/>
      <c r="H2945"/>
    </row>
    <row r="2946" spans="2:8" x14ac:dyDescent="0.35">
      <c r="B2946"/>
      <c r="C2946"/>
      <c r="H2946"/>
    </row>
    <row r="2947" spans="2:8" x14ac:dyDescent="0.35">
      <c r="B2947"/>
      <c r="C2947"/>
      <c r="H2947"/>
    </row>
    <row r="2948" spans="2:8" x14ac:dyDescent="0.35">
      <c r="B2948"/>
      <c r="C2948"/>
      <c r="H2948"/>
    </row>
    <row r="2949" spans="2:8" x14ac:dyDescent="0.35">
      <c r="B2949"/>
      <c r="C2949"/>
      <c r="H2949"/>
    </row>
    <row r="2950" spans="2:8" x14ac:dyDescent="0.35">
      <c r="B2950"/>
      <c r="C2950"/>
      <c r="H2950"/>
    </row>
    <row r="2951" spans="2:8" x14ac:dyDescent="0.35">
      <c r="B2951"/>
      <c r="C2951"/>
      <c r="H2951"/>
    </row>
    <row r="2952" spans="2:8" x14ac:dyDescent="0.35">
      <c r="B2952"/>
      <c r="C2952"/>
      <c r="H2952"/>
    </row>
    <row r="2953" spans="2:8" x14ac:dyDescent="0.35">
      <c r="B2953"/>
      <c r="C2953"/>
      <c r="H2953"/>
    </row>
    <row r="2954" spans="2:8" x14ac:dyDescent="0.35">
      <c r="B2954"/>
      <c r="C2954"/>
      <c r="H2954"/>
    </row>
    <row r="2955" spans="2:8" x14ac:dyDescent="0.35">
      <c r="B2955"/>
      <c r="C2955"/>
      <c r="H2955"/>
    </row>
    <row r="2956" spans="2:8" x14ac:dyDescent="0.35">
      <c r="B2956"/>
      <c r="C2956"/>
      <c r="H2956"/>
    </row>
    <row r="2957" spans="2:8" x14ac:dyDescent="0.35">
      <c r="B2957"/>
      <c r="C2957"/>
      <c r="H2957"/>
    </row>
    <row r="2958" spans="2:8" x14ac:dyDescent="0.35">
      <c r="B2958"/>
      <c r="C2958"/>
      <c r="H2958"/>
    </row>
    <row r="2959" spans="2:8" x14ac:dyDescent="0.35">
      <c r="B2959"/>
      <c r="C2959"/>
      <c r="H2959"/>
    </row>
    <row r="2960" spans="2:8" x14ac:dyDescent="0.35">
      <c r="B2960"/>
      <c r="C2960"/>
      <c r="H2960"/>
    </row>
    <row r="2961" spans="2:8" x14ac:dyDescent="0.35">
      <c r="B2961"/>
      <c r="C2961"/>
      <c r="H2961"/>
    </row>
    <row r="2962" spans="2:8" x14ac:dyDescent="0.35">
      <c r="B2962"/>
      <c r="C2962"/>
      <c r="H2962"/>
    </row>
    <row r="2963" spans="2:8" x14ac:dyDescent="0.35">
      <c r="B2963"/>
      <c r="C2963"/>
      <c r="H2963"/>
    </row>
    <row r="2964" spans="2:8" x14ac:dyDescent="0.35">
      <c r="B2964"/>
      <c r="C2964"/>
      <c r="H2964"/>
    </row>
    <row r="2965" spans="2:8" x14ac:dyDescent="0.35">
      <c r="B2965"/>
      <c r="C2965"/>
      <c r="H2965"/>
    </row>
    <row r="2966" spans="2:8" x14ac:dyDescent="0.35">
      <c r="B2966"/>
      <c r="C2966"/>
      <c r="H2966"/>
    </row>
    <row r="2967" spans="2:8" x14ac:dyDescent="0.35">
      <c r="B2967"/>
      <c r="C2967"/>
      <c r="H2967"/>
    </row>
    <row r="2968" spans="2:8" x14ac:dyDescent="0.35">
      <c r="B2968"/>
      <c r="C2968"/>
      <c r="H2968"/>
    </row>
    <row r="2969" spans="2:8" x14ac:dyDescent="0.35">
      <c r="B2969"/>
      <c r="C2969"/>
      <c r="H2969"/>
    </row>
    <row r="2970" spans="2:8" x14ac:dyDescent="0.35">
      <c r="B2970"/>
      <c r="C2970"/>
      <c r="H2970"/>
    </row>
    <row r="2971" spans="2:8" x14ac:dyDescent="0.35">
      <c r="B2971"/>
      <c r="C2971"/>
      <c r="H2971"/>
    </row>
    <row r="2972" spans="2:8" x14ac:dyDescent="0.35">
      <c r="B2972"/>
      <c r="C2972"/>
      <c r="H2972"/>
    </row>
    <row r="2973" spans="2:8" x14ac:dyDescent="0.35">
      <c r="B2973"/>
      <c r="C2973"/>
      <c r="H2973"/>
    </row>
    <row r="2974" spans="2:8" x14ac:dyDescent="0.35">
      <c r="B2974"/>
      <c r="C2974"/>
      <c r="H2974"/>
    </row>
    <row r="2975" spans="2:8" x14ac:dyDescent="0.35">
      <c r="B2975"/>
      <c r="C2975"/>
      <c r="H2975"/>
    </row>
    <row r="2976" spans="2:8" x14ac:dyDescent="0.35">
      <c r="B2976"/>
      <c r="C2976"/>
      <c r="H2976"/>
    </row>
    <row r="2977" spans="2:8" x14ac:dyDescent="0.35">
      <c r="B2977"/>
      <c r="C2977"/>
      <c r="H2977"/>
    </row>
    <row r="2978" spans="2:8" x14ac:dyDescent="0.35">
      <c r="B2978"/>
      <c r="C2978"/>
      <c r="H2978"/>
    </row>
    <row r="2979" spans="2:8" x14ac:dyDescent="0.35">
      <c r="B2979"/>
      <c r="C2979"/>
      <c r="H2979"/>
    </row>
    <row r="2980" spans="2:8" x14ac:dyDescent="0.35">
      <c r="B2980"/>
      <c r="C2980"/>
      <c r="H2980"/>
    </row>
    <row r="2981" spans="2:8" x14ac:dyDescent="0.35">
      <c r="B2981"/>
      <c r="C2981"/>
      <c r="H2981"/>
    </row>
    <row r="2982" spans="2:8" x14ac:dyDescent="0.35">
      <c r="B2982"/>
      <c r="C2982"/>
      <c r="H2982"/>
    </row>
    <row r="2983" spans="2:8" x14ac:dyDescent="0.35">
      <c r="B2983"/>
      <c r="C2983"/>
      <c r="H2983"/>
    </row>
    <row r="2984" spans="2:8" x14ac:dyDescent="0.35">
      <c r="B2984"/>
      <c r="C2984"/>
      <c r="H2984"/>
    </row>
    <row r="2985" spans="2:8" x14ac:dyDescent="0.35">
      <c r="B2985"/>
      <c r="C2985"/>
      <c r="H2985"/>
    </row>
    <row r="2986" spans="2:8" x14ac:dyDescent="0.35">
      <c r="B2986"/>
      <c r="C2986"/>
      <c r="H2986"/>
    </row>
    <row r="2987" spans="2:8" x14ac:dyDescent="0.35">
      <c r="B2987"/>
      <c r="C2987"/>
      <c r="H2987"/>
    </row>
    <row r="2988" spans="2:8" x14ac:dyDescent="0.35">
      <c r="B2988"/>
      <c r="C2988"/>
      <c r="H2988"/>
    </row>
    <row r="2989" spans="2:8" x14ac:dyDescent="0.35">
      <c r="B2989"/>
      <c r="C2989"/>
      <c r="H2989"/>
    </row>
    <row r="2990" spans="2:8" x14ac:dyDescent="0.35">
      <c r="B2990"/>
      <c r="C2990"/>
      <c r="H2990"/>
    </row>
    <row r="2991" spans="2:8" x14ac:dyDescent="0.35">
      <c r="B2991"/>
      <c r="C2991"/>
      <c r="H2991"/>
    </row>
    <row r="2992" spans="2:8" x14ac:dyDescent="0.35">
      <c r="B2992"/>
      <c r="C2992"/>
      <c r="H2992"/>
    </row>
    <row r="2993" spans="2:8" x14ac:dyDescent="0.35">
      <c r="B2993"/>
      <c r="C2993"/>
      <c r="H2993"/>
    </row>
    <row r="2994" spans="2:8" x14ac:dyDescent="0.35">
      <c r="B2994"/>
      <c r="C2994"/>
      <c r="H2994"/>
    </row>
    <row r="2995" spans="2:8" x14ac:dyDescent="0.35">
      <c r="B2995"/>
      <c r="C2995"/>
      <c r="H2995"/>
    </row>
    <row r="2996" spans="2:8" x14ac:dyDescent="0.35">
      <c r="B2996"/>
      <c r="C2996"/>
      <c r="H2996"/>
    </row>
    <row r="2997" spans="2:8" x14ac:dyDescent="0.35">
      <c r="B2997"/>
      <c r="C2997"/>
      <c r="H2997"/>
    </row>
    <row r="2998" spans="2:8" x14ac:dyDescent="0.35">
      <c r="B2998"/>
      <c r="C2998"/>
      <c r="H2998"/>
    </row>
    <row r="2999" spans="2:8" x14ac:dyDescent="0.35">
      <c r="B2999"/>
      <c r="C2999"/>
      <c r="H2999"/>
    </row>
    <row r="3000" spans="2:8" x14ac:dyDescent="0.35">
      <c r="B3000"/>
      <c r="C3000"/>
      <c r="H3000"/>
    </row>
    <row r="3001" spans="2:8" x14ac:dyDescent="0.35">
      <c r="B3001"/>
      <c r="C3001"/>
      <c r="H3001"/>
    </row>
    <row r="3002" spans="2:8" x14ac:dyDescent="0.35">
      <c r="B3002"/>
      <c r="C3002"/>
      <c r="H3002"/>
    </row>
    <row r="3003" spans="2:8" x14ac:dyDescent="0.35">
      <c r="B3003"/>
      <c r="C3003"/>
      <c r="H3003"/>
    </row>
    <row r="3004" spans="2:8" x14ac:dyDescent="0.35">
      <c r="B3004"/>
      <c r="C3004"/>
      <c r="H3004"/>
    </row>
    <row r="3005" spans="2:8" x14ac:dyDescent="0.35">
      <c r="B3005"/>
      <c r="C3005"/>
      <c r="H3005"/>
    </row>
    <row r="3006" spans="2:8" x14ac:dyDescent="0.35">
      <c r="B3006"/>
      <c r="C3006"/>
      <c r="H3006"/>
    </row>
    <row r="3007" spans="2:8" x14ac:dyDescent="0.35">
      <c r="B3007"/>
      <c r="C3007"/>
      <c r="H3007"/>
    </row>
    <row r="3008" spans="2:8" x14ac:dyDescent="0.35">
      <c r="B3008"/>
      <c r="C3008"/>
      <c r="H3008"/>
    </row>
    <row r="3009" spans="2:8" x14ac:dyDescent="0.35">
      <c r="B3009"/>
      <c r="C3009"/>
      <c r="H3009"/>
    </row>
    <row r="3010" spans="2:8" x14ac:dyDescent="0.35">
      <c r="B3010"/>
      <c r="C3010"/>
      <c r="H3010"/>
    </row>
    <row r="3011" spans="2:8" x14ac:dyDescent="0.35">
      <c r="B3011"/>
      <c r="C3011"/>
      <c r="H3011"/>
    </row>
    <row r="3012" spans="2:8" x14ac:dyDescent="0.35">
      <c r="B3012"/>
      <c r="C3012"/>
      <c r="H3012"/>
    </row>
    <row r="3013" spans="2:8" x14ac:dyDescent="0.35">
      <c r="B3013"/>
      <c r="C3013"/>
      <c r="H3013"/>
    </row>
    <row r="3014" spans="2:8" x14ac:dyDescent="0.35">
      <c r="B3014"/>
      <c r="C3014"/>
      <c r="H3014"/>
    </row>
    <row r="3015" spans="2:8" x14ac:dyDescent="0.35">
      <c r="B3015"/>
      <c r="C3015"/>
      <c r="H3015"/>
    </row>
    <row r="3016" spans="2:8" x14ac:dyDescent="0.35">
      <c r="B3016"/>
      <c r="C3016"/>
      <c r="H3016"/>
    </row>
    <row r="3017" spans="2:8" x14ac:dyDescent="0.35">
      <c r="B3017"/>
      <c r="C3017"/>
      <c r="H3017"/>
    </row>
    <row r="3018" spans="2:8" x14ac:dyDescent="0.35">
      <c r="B3018"/>
      <c r="C3018"/>
      <c r="H3018"/>
    </row>
    <row r="3019" spans="2:8" x14ac:dyDescent="0.35">
      <c r="B3019"/>
      <c r="C3019"/>
      <c r="H3019"/>
    </row>
    <row r="3020" spans="2:8" x14ac:dyDescent="0.35">
      <c r="B3020"/>
      <c r="C3020"/>
      <c r="H3020"/>
    </row>
    <row r="3021" spans="2:8" x14ac:dyDescent="0.35">
      <c r="B3021"/>
      <c r="C3021"/>
      <c r="H3021"/>
    </row>
    <row r="3022" spans="2:8" x14ac:dyDescent="0.35">
      <c r="B3022"/>
      <c r="C3022"/>
      <c r="H3022"/>
    </row>
    <row r="3023" spans="2:8" x14ac:dyDescent="0.35">
      <c r="B3023"/>
      <c r="C3023"/>
      <c r="H3023"/>
    </row>
    <row r="3024" spans="2:8" x14ac:dyDescent="0.35">
      <c r="B3024"/>
      <c r="C3024"/>
      <c r="H3024"/>
    </row>
    <row r="3025" spans="2:8" x14ac:dyDescent="0.35">
      <c r="B3025"/>
      <c r="C3025"/>
      <c r="H3025"/>
    </row>
    <row r="3026" spans="2:8" x14ac:dyDescent="0.35">
      <c r="B3026"/>
      <c r="C3026"/>
      <c r="H3026"/>
    </row>
    <row r="3027" spans="2:8" x14ac:dyDescent="0.35">
      <c r="B3027"/>
      <c r="C3027"/>
      <c r="H3027"/>
    </row>
    <row r="3028" spans="2:8" x14ac:dyDescent="0.35">
      <c r="B3028"/>
      <c r="C3028"/>
      <c r="H3028"/>
    </row>
    <row r="3029" spans="2:8" x14ac:dyDescent="0.35">
      <c r="B3029"/>
      <c r="C3029"/>
      <c r="H3029"/>
    </row>
    <row r="3030" spans="2:8" x14ac:dyDescent="0.35">
      <c r="B3030"/>
      <c r="C3030"/>
      <c r="H3030"/>
    </row>
    <row r="3031" spans="2:8" x14ac:dyDescent="0.35">
      <c r="B3031"/>
      <c r="C3031"/>
      <c r="H3031"/>
    </row>
    <row r="3032" spans="2:8" x14ac:dyDescent="0.35">
      <c r="B3032"/>
      <c r="C3032"/>
      <c r="H3032"/>
    </row>
    <row r="3033" spans="2:8" x14ac:dyDescent="0.35">
      <c r="B3033"/>
      <c r="C3033"/>
      <c r="H3033"/>
    </row>
    <row r="3034" spans="2:8" x14ac:dyDescent="0.35">
      <c r="B3034"/>
      <c r="C3034"/>
      <c r="H3034"/>
    </row>
    <row r="3035" spans="2:8" x14ac:dyDescent="0.35">
      <c r="B3035"/>
      <c r="C3035"/>
      <c r="H3035"/>
    </row>
    <row r="3036" spans="2:8" x14ac:dyDescent="0.35">
      <c r="B3036"/>
      <c r="C3036"/>
      <c r="H3036"/>
    </row>
    <row r="3037" spans="2:8" x14ac:dyDescent="0.35">
      <c r="B3037"/>
      <c r="C3037"/>
      <c r="H3037"/>
    </row>
    <row r="3038" spans="2:8" x14ac:dyDescent="0.35">
      <c r="B3038"/>
      <c r="C3038"/>
      <c r="H3038"/>
    </row>
    <row r="3039" spans="2:8" x14ac:dyDescent="0.35">
      <c r="B3039"/>
      <c r="C3039"/>
      <c r="H3039"/>
    </row>
    <row r="3040" spans="2:8" x14ac:dyDescent="0.35">
      <c r="B3040"/>
      <c r="C3040"/>
      <c r="H3040"/>
    </row>
    <row r="3041" spans="2:8" x14ac:dyDescent="0.35">
      <c r="B3041"/>
      <c r="C3041"/>
      <c r="H3041"/>
    </row>
    <row r="3042" spans="2:8" x14ac:dyDescent="0.35">
      <c r="B3042"/>
      <c r="C3042"/>
      <c r="H3042"/>
    </row>
    <row r="3043" spans="2:8" x14ac:dyDescent="0.35">
      <c r="B3043"/>
      <c r="C3043"/>
      <c r="H3043"/>
    </row>
    <row r="3044" spans="2:8" x14ac:dyDescent="0.35">
      <c r="B3044"/>
      <c r="C3044"/>
      <c r="H3044"/>
    </row>
    <row r="3045" spans="2:8" x14ac:dyDescent="0.35">
      <c r="B3045"/>
      <c r="C3045"/>
      <c r="H3045"/>
    </row>
    <row r="3046" spans="2:8" x14ac:dyDescent="0.35">
      <c r="B3046"/>
      <c r="C3046"/>
      <c r="H3046"/>
    </row>
    <row r="3047" spans="2:8" x14ac:dyDescent="0.35">
      <c r="B3047"/>
      <c r="C3047"/>
      <c r="H3047"/>
    </row>
    <row r="3048" spans="2:8" x14ac:dyDescent="0.35">
      <c r="B3048"/>
      <c r="C3048"/>
      <c r="H3048"/>
    </row>
    <row r="3049" spans="2:8" x14ac:dyDescent="0.35">
      <c r="B3049"/>
      <c r="C3049"/>
      <c r="H3049"/>
    </row>
    <row r="3050" spans="2:8" x14ac:dyDescent="0.35">
      <c r="B3050"/>
      <c r="C3050"/>
      <c r="H3050"/>
    </row>
    <row r="3051" spans="2:8" x14ac:dyDescent="0.35">
      <c r="B3051"/>
      <c r="C3051"/>
      <c r="H3051"/>
    </row>
    <row r="3052" spans="2:8" x14ac:dyDescent="0.35">
      <c r="B3052"/>
      <c r="C3052"/>
      <c r="H3052"/>
    </row>
    <row r="3053" spans="2:8" x14ac:dyDescent="0.35">
      <c r="B3053"/>
      <c r="C3053"/>
      <c r="H3053"/>
    </row>
    <row r="3054" spans="2:8" x14ac:dyDescent="0.35">
      <c r="B3054"/>
      <c r="C3054"/>
      <c r="H3054"/>
    </row>
    <row r="3055" spans="2:8" x14ac:dyDescent="0.35">
      <c r="B3055"/>
      <c r="C3055"/>
      <c r="H3055"/>
    </row>
    <row r="3056" spans="2:8" x14ac:dyDescent="0.35">
      <c r="B3056"/>
      <c r="C3056"/>
      <c r="H3056"/>
    </row>
    <row r="3057" spans="2:8" x14ac:dyDescent="0.35">
      <c r="B3057"/>
      <c r="C3057"/>
      <c r="H3057"/>
    </row>
    <row r="3058" spans="2:8" x14ac:dyDescent="0.35">
      <c r="B3058"/>
      <c r="C3058"/>
      <c r="H3058"/>
    </row>
    <row r="3059" spans="2:8" x14ac:dyDescent="0.35">
      <c r="B3059"/>
      <c r="C3059"/>
      <c r="H3059"/>
    </row>
    <row r="3060" spans="2:8" x14ac:dyDescent="0.35">
      <c r="B3060"/>
      <c r="C3060"/>
      <c r="H3060"/>
    </row>
    <row r="3061" spans="2:8" x14ac:dyDescent="0.35">
      <c r="B3061"/>
      <c r="C3061"/>
      <c r="H3061"/>
    </row>
    <row r="3062" spans="2:8" x14ac:dyDescent="0.35">
      <c r="B3062"/>
      <c r="C3062"/>
      <c r="H3062"/>
    </row>
    <row r="3063" spans="2:8" x14ac:dyDescent="0.35">
      <c r="B3063"/>
      <c r="C3063"/>
      <c r="H3063"/>
    </row>
    <row r="3064" spans="2:8" x14ac:dyDescent="0.35">
      <c r="B3064"/>
      <c r="C3064"/>
      <c r="H3064"/>
    </row>
    <row r="3065" spans="2:8" x14ac:dyDescent="0.35">
      <c r="B3065"/>
      <c r="C3065"/>
      <c r="H3065"/>
    </row>
    <row r="3066" spans="2:8" x14ac:dyDescent="0.35">
      <c r="B3066"/>
      <c r="C3066"/>
      <c r="H3066"/>
    </row>
    <row r="3067" spans="2:8" x14ac:dyDescent="0.35">
      <c r="B3067"/>
      <c r="C3067"/>
      <c r="H3067"/>
    </row>
    <row r="3068" spans="2:8" x14ac:dyDescent="0.35">
      <c r="B3068"/>
      <c r="C3068"/>
      <c r="H3068"/>
    </row>
    <row r="3069" spans="2:8" x14ac:dyDescent="0.35">
      <c r="B3069"/>
      <c r="C3069"/>
      <c r="H3069"/>
    </row>
    <row r="3070" spans="2:8" x14ac:dyDescent="0.35">
      <c r="B3070"/>
      <c r="C3070"/>
      <c r="H3070"/>
    </row>
    <row r="3071" spans="2:8" x14ac:dyDescent="0.35">
      <c r="B3071"/>
      <c r="C3071"/>
      <c r="H3071"/>
    </row>
    <row r="3072" spans="2:8" x14ac:dyDescent="0.35">
      <c r="B3072"/>
      <c r="C3072"/>
      <c r="H3072"/>
    </row>
    <row r="3073" spans="2:8" x14ac:dyDescent="0.35">
      <c r="B3073"/>
      <c r="C3073"/>
      <c r="H3073"/>
    </row>
    <row r="3074" spans="2:8" x14ac:dyDescent="0.35">
      <c r="B3074"/>
      <c r="C3074"/>
      <c r="H3074"/>
    </row>
    <row r="3075" spans="2:8" x14ac:dyDescent="0.35">
      <c r="B3075"/>
      <c r="C3075"/>
      <c r="H3075"/>
    </row>
    <row r="3076" spans="2:8" x14ac:dyDescent="0.35">
      <c r="B3076"/>
      <c r="C3076"/>
      <c r="H3076"/>
    </row>
    <row r="3077" spans="2:8" x14ac:dyDescent="0.35">
      <c r="B3077"/>
      <c r="C3077"/>
      <c r="H3077"/>
    </row>
    <row r="3078" spans="2:8" x14ac:dyDescent="0.35">
      <c r="B3078"/>
      <c r="C3078"/>
      <c r="H3078"/>
    </row>
    <row r="3079" spans="2:8" x14ac:dyDescent="0.35">
      <c r="B3079"/>
      <c r="C3079"/>
      <c r="H3079"/>
    </row>
    <row r="3080" spans="2:8" x14ac:dyDescent="0.35">
      <c r="B3080"/>
      <c r="C3080"/>
      <c r="H3080"/>
    </row>
    <row r="3081" spans="2:8" x14ac:dyDescent="0.35">
      <c r="B3081"/>
      <c r="C3081"/>
      <c r="H3081"/>
    </row>
    <row r="3082" spans="2:8" x14ac:dyDescent="0.35">
      <c r="B3082"/>
      <c r="C3082"/>
      <c r="H3082"/>
    </row>
    <row r="3083" spans="2:8" x14ac:dyDescent="0.35">
      <c r="B3083"/>
      <c r="C3083"/>
      <c r="H3083"/>
    </row>
    <row r="3084" spans="2:8" x14ac:dyDescent="0.35">
      <c r="B3084"/>
      <c r="C3084"/>
      <c r="H3084"/>
    </row>
    <row r="3085" spans="2:8" x14ac:dyDescent="0.35">
      <c r="B3085"/>
      <c r="C3085"/>
      <c r="H3085"/>
    </row>
    <row r="3086" spans="2:8" x14ac:dyDescent="0.35">
      <c r="B3086"/>
      <c r="C3086"/>
      <c r="H3086"/>
    </row>
    <row r="3087" spans="2:8" x14ac:dyDescent="0.35">
      <c r="B3087"/>
      <c r="C3087"/>
      <c r="H3087"/>
    </row>
    <row r="3088" spans="2:8" x14ac:dyDescent="0.35">
      <c r="B3088"/>
      <c r="C3088"/>
      <c r="H3088"/>
    </row>
    <row r="3089" spans="2:8" x14ac:dyDescent="0.35">
      <c r="B3089"/>
      <c r="C3089"/>
      <c r="H3089"/>
    </row>
    <row r="3090" spans="2:8" x14ac:dyDescent="0.35">
      <c r="B3090"/>
      <c r="C3090"/>
      <c r="H3090"/>
    </row>
    <row r="3091" spans="2:8" x14ac:dyDescent="0.35">
      <c r="B3091"/>
      <c r="C3091"/>
      <c r="H3091"/>
    </row>
    <row r="3092" spans="2:8" x14ac:dyDescent="0.35">
      <c r="B3092"/>
      <c r="C3092"/>
      <c r="H3092"/>
    </row>
    <row r="3093" spans="2:8" x14ac:dyDescent="0.35">
      <c r="B3093"/>
      <c r="C3093"/>
      <c r="H3093"/>
    </row>
    <row r="3094" spans="2:8" x14ac:dyDescent="0.35">
      <c r="B3094"/>
      <c r="C3094"/>
      <c r="H3094"/>
    </row>
    <row r="3095" spans="2:8" x14ac:dyDescent="0.35">
      <c r="B3095"/>
      <c r="C3095"/>
      <c r="H3095"/>
    </row>
    <row r="3096" spans="2:8" x14ac:dyDescent="0.35">
      <c r="B3096"/>
      <c r="C3096"/>
      <c r="H3096"/>
    </row>
    <row r="3097" spans="2:8" x14ac:dyDescent="0.35">
      <c r="B3097"/>
      <c r="C3097"/>
      <c r="H3097"/>
    </row>
    <row r="3098" spans="2:8" x14ac:dyDescent="0.35">
      <c r="B3098"/>
      <c r="C3098"/>
      <c r="H3098"/>
    </row>
    <row r="3099" spans="2:8" x14ac:dyDescent="0.35">
      <c r="B3099"/>
      <c r="C3099"/>
      <c r="H3099"/>
    </row>
    <row r="3100" spans="2:8" x14ac:dyDescent="0.35">
      <c r="B3100"/>
      <c r="C3100"/>
      <c r="H3100"/>
    </row>
    <row r="3101" spans="2:8" x14ac:dyDescent="0.35">
      <c r="B3101"/>
      <c r="C3101"/>
      <c r="H3101"/>
    </row>
    <row r="3102" spans="2:8" x14ac:dyDescent="0.35">
      <c r="B3102"/>
      <c r="C3102"/>
      <c r="H3102"/>
    </row>
    <row r="3103" spans="2:8" x14ac:dyDescent="0.35">
      <c r="B3103"/>
      <c r="C3103"/>
      <c r="H3103"/>
    </row>
    <row r="3104" spans="2:8" x14ac:dyDescent="0.35">
      <c r="B3104"/>
      <c r="C3104"/>
      <c r="H3104"/>
    </row>
    <row r="3105" spans="2:8" x14ac:dyDescent="0.35">
      <c r="B3105"/>
      <c r="C3105"/>
      <c r="H3105"/>
    </row>
    <row r="3106" spans="2:8" x14ac:dyDescent="0.35">
      <c r="B3106"/>
      <c r="C3106"/>
      <c r="H3106"/>
    </row>
    <row r="3107" spans="2:8" x14ac:dyDescent="0.35">
      <c r="B3107"/>
      <c r="C3107"/>
      <c r="H3107"/>
    </row>
    <row r="3108" spans="2:8" x14ac:dyDescent="0.35">
      <c r="B3108"/>
      <c r="C3108"/>
      <c r="H3108"/>
    </row>
    <row r="3109" spans="2:8" x14ac:dyDescent="0.35">
      <c r="B3109"/>
      <c r="C3109"/>
      <c r="H3109"/>
    </row>
    <row r="3110" spans="2:8" x14ac:dyDescent="0.35">
      <c r="B3110"/>
      <c r="C3110"/>
      <c r="H3110"/>
    </row>
    <row r="3111" spans="2:8" x14ac:dyDescent="0.35">
      <c r="B3111"/>
      <c r="C3111"/>
      <c r="H3111"/>
    </row>
    <row r="3112" spans="2:8" x14ac:dyDescent="0.35">
      <c r="B3112"/>
      <c r="C3112"/>
      <c r="H3112"/>
    </row>
    <row r="3113" spans="2:8" x14ac:dyDescent="0.35">
      <c r="B3113"/>
      <c r="C3113"/>
      <c r="H3113"/>
    </row>
    <row r="3114" spans="2:8" x14ac:dyDescent="0.35">
      <c r="B3114"/>
      <c r="C3114"/>
      <c r="H3114"/>
    </row>
    <row r="3115" spans="2:8" x14ac:dyDescent="0.35">
      <c r="B3115"/>
      <c r="C3115"/>
      <c r="H3115"/>
    </row>
    <row r="3116" spans="2:8" x14ac:dyDescent="0.35">
      <c r="B3116"/>
      <c r="C3116"/>
      <c r="H3116"/>
    </row>
    <row r="3117" spans="2:8" x14ac:dyDescent="0.35">
      <c r="B3117"/>
      <c r="C3117"/>
      <c r="H3117"/>
    </row>
    <row r="3118" spans="2:8" x14ac:dyDescent="0.35">
      <c r="B3118"/>
      <c r="C3118"/>
      <c r="H3118"/>
    </row>
    <row r="3119" spans="2:8" x14ac:dyDescent="0.35">
      <c r="B3119"/>
      <c r="C3119"/>
      <c r="H3119"/>
    </row>
    <row r="3120" spans="2:8" x14ac:dyDescent="0.35">
      <c r="B3120"/>
      <c r="C3120"/>
      <c r="H3120"/>
    </row>
    <row r="3121" spans="2:8" x14ac:dyDescent="0.35">
      <c r="B3121"/>
      <c r="C3121"/>
      <c r="H3121"/>
    </row>
    <row r="3122" spans="2:8" x14ac:dyDescent="0.35">
      <c r="B3122"/>
      <c r="C3122"/>
      <c r="H3122"/>
    </row>
    <row r="3123" spans="2:8" x14ac:dyDescent="0.35">
      <c r="B3123"/>
      <c r="C3123"/>
      <c r="H3123"/>
    </row>
    <row r="3124" spans="2:8" x14ac:dyDescent="0.35">
      <c r="B3124"/>
      <c r="C3124"/>
      <c r="H3124"/>
    </row>
    <row r="3125" spans="2:8" x14ac:dyDescent="0.35">
      <c r="B3125"/>
      <c r="C3125"/>
      <c r="H3125"/>
    </row>
    <row r="3126" spans="2:8" x14ac:dyDescent="0.35">
      <c r="B3126"/>
      <c r="C3126"/>
      <c r="H3126"/>
    </row>
    <row r="3127" spans="2:8" x14ac:dyDescent="0.35">
      <c r="B3127"/>
      <c r="C3127"/>
      <c r="H3127"/>
    </row>
    <row r="3128" spans="2:8" x14ac:dyDescent="0.35">
      <c r="B3128"/>
      <c r="C3128"/>
      <c r="H3128"/>
    </row>
    <row r="3129" spans="2:8" x14ac:dyDescent="0.35">
      <c r="B3129"/>
      <c r="C3129"/>
      <c r="H3129"/>
    </row>
    <row r="3130" spans="2:8" x14ac:dyDescent="0.35">
      <c r="B3130"/>
      <c r="C3130"/>
      <c r="H3130"/>
    </row>
    <row r="3131" spans="2:8" x14ac:dyDescent="0.35">
      <c r="B3131"/>
      <c r="C3131"/>
      <c r="H3131"/>
    </row>
    <row r="3132" spans="2:8" x14ac:dyDescent="0.35">
      <c r="B3132"/>
      <c r="C3132"/>
      <c r="H3132"/>
    </row>
    <row r="3133" spans="2:8" x14ac:dyDescent="0.35">
      <c r="B3133"/>
      <c r="C3133"/>
      <c r="H3133"/>
    </row>
    <row r="3134" spans="2:8" x14ac:dyDescent="0.35">
      <c r="B3134"/>
      <c r="C3134"/>
      <c r="H3134"/>
    </row>
    <row r="3135" spans="2:8" x14ac:dyDescent="0.35">
      <c r="B3135"/>
      <c r="C3135"/>
      <c r="H3135"/>
    </row>
    <row r="3136" spans="2:8" x14ac:dyDescent="0.35">
      <c r="B3136"/>
      <c r="C3136"/>
      <c r="H3136"/>
    </row>
    <row r="3137" spans="2:8" x14ac:dyDescent="0.35">
      <c r="B3137"/>
      <c r="C3137"/>
      <c r="H3137"/>
    </row>
    <row r="3138" spans="2:8" x14ac:dyDescent="0.35">
      <c r="B3138"/>
      <c r="C3138"/>
      <c r="H3138"/>
    </row>
    <row r="3139" spans="2:8" x14ac:dyDescent="0.35">
      <c r="B3139"/>
      <c r="C3139"/>
      <c r="H3139"/>
    </row>
    <row r="3140" spans="2:8" x14ac:dyDescent="0.35">
      <c r="B3140"/>
      <c r="C3140"/>
      <c r="H3140"/>
    </row>
    <row r="3141" spans="2:8" x14ac:dyDescent="0.35">
      <c r="B3141"/>
      <c r="C3141"/>
      <c r="H3141"/>
    </row>
    <row r="3142" spans="2:8" x14ac:dyDescent="0.35">
      <c r="B3142"/>
      <c r="C3142"/>
      <c r="H3142"/>
    </row>
    <row r="3143" spans="2:8" x14ac:dyDescent="0.35">
      <c r="B3143"/>
      <c r="C3143"/>
      <c r="H3143"/>
    </row>
    <row r="3144" spans="2:8" x14ac:dyDescent="0.35">
      <c r="B3144"/>
      <c r="C3144"/>
      <c r="H3144"/>
    </row>
    <row r="3145" spans="2:8" x14ac:dyDescent="0.35">
      <c r="B3145"/>
      <c r="C3145"/>
      <c r="H3145"/>
    </row>
    <row r="3146" spans="2:8" x14ac:dyDescent="0.35">
      <c r="B3146"/>
      <c r="C3146"/>
      <c r="H3146"/>
    </row>
    <row r="3147" spans="2:8" x14ac:dyDescent="0.35">
      <c r="B3147"/>
      <c r="C3147"/>
      <c r="H3147"/>
    </row>
    <row r="3148" spans="2:8" x14ac:dyDescent="0.35">
      <c r="B3148"/>
      <c r="C3148"/>
      <c r="H3148"/>
    </row>
    <row r="3149" spans="2:8" x14ac:dyDescent="0.35">
      <c r="B3149"/>
      <c r="C3149"/>
      <c r="H3149"/>
    </row>
    <row r="3150" spans="2:8" x14ac:dyDescent="0.35">
      <c r="B3150"/>
      <c r="C3150"/>
      <c r="H3150"/>
    </row>
    <row r="3151" spans="2:8" x14ac:dyDescent="0.35">
      <c r="B3151"/>
      <c r="C3151"/>
      <c r="H3151"/>
    </row>
    <row r="3152" spans="2:8" x14ac:dyDescent="0.35">
      <c r="B3152"/>
      <c r="C3152"/>
      <c r="H3152"/>
    </row>
    <row r="3153" spans="2:8" x14ac:dyDescent="0.35">
      <c r="B3153"/>
      <c r="C3153"/>
      <c r="H3153"/>
    </row>
    <row r="3154" spans="2:8" x14ac:dyDescent="0.35">
      <c r="B3154"/>
      <c r="C3154"/>
      <c r="H3154"/>
    </row>
    <row r="3155" spans="2:8" x14ac:dyDescent="0.35">
      <c r="B3155"/>
      <c r="C3155"/>
      <c r="H3155"/>
    </row>
    <row r="3156" spans="2:8" x14ac:dyDescent="0.35">
      <c r="B3156"/>
      <c r="C3156"/>
      <c r="H3156"/>
    </row>
    <row r="3157" spans="2:8" x14ac:dyDescent="0.35">
      <c r="B3157"/>
      <c r="C3157"/>
      <c r="H3157"/>
    </row>
    <row r="3158" spans="2:8" x14ac:dyDescent="0.35">
      <c r="B3158"/>
      <c r="C3158"/>
      <c r="H3158"/>
    </row>
    <row r="3159" spans="2:8" x14ac:dyDescent="0.35">
      <c r="B3159"/>
      <c r="C3159"/>
      <c r="H3159"/>
    </row>
    <row r="3160" spans="2:8" x14ac:dyDescent="0.35">
      <c r="B3160"/>
      <c r="C3160"/>
      <c r="H3160"/>
    </row>
    <row r="3161" spans="2:8" x14ac:dyDescent="0.35">
      <c r="B3161"/>
      <c r="C3161"/>
      <c r="H3161"/>
    </row>
    <row r="3162" spans="2:8" x14ac:dyDescent="0.35">
      <c r="B3162"/>
      <c r="C3162"/>
      <c r="H3162"/>
    </row>
    <row r="3163" spans="2:8" x14ac:dyDescent="0.35">
      <c r="B3163"/>
      <c r="C3163"/>
      <c r="H3163"/>
    </row>
    <row r="3164" spans="2:8" x14ac:dyDescent="0.35">
      <c r="B3164"/>
      <c r="C3164"/>
      <c r="H3164"/>
    </row>
    <row r="3165" spans="2:8" x14ac:dyDescent="0.35">
      <c r="B3165"/>
      <c r="C3165"/>
      <c r="H3165"/>
    </row>
    <row r="3166" spans="2:8" x14ac:dyDescent="0.35">
      <c r="B3166"/>
      <c r="C3166"/>
      <c r="H3166"/>
    </row>
    <row r="3167" spans="2:8" x14ac:dyDescent="0.35">
      <c r="B3167"/>
      <c r="C3167"/>
      <c r="H3167"/>
    </row>
    <row r="3168" spans="2:8" x14ac:dyDescent="0.35">
      <c r="B3168"/>
      <c r="C3168"/>
      <c r="H3168"/>
    </row>
    <row r="3169" spans="2:8" x14ac:dyDescent="0.35">
      <c r="B3169"/>
      <c r="C3169"/>
      <c r="H3169"/>
    </row>
    <row r="3170" spans="2:8" x14ac:dyDescent="0.35">
      <c r="B3170"/>
      <c r="C3170"/>
      <c r="H3170"/>
    </row>
    <row r="3171" spans="2:8" x14ac:dyDescent="0.35">
      <c r="B3171"/>
      <c r="C3171"/>
      <c r="H3171"/>
    </row>
    <row r="3172" spans="2:8" x14ac:dyDescent="0.35">
      <c r="B3172"/>
      <c r="C3172"/>
      <c r="H3172"/>
    </row>
    <row r="3173" spans="2:8" x14ac:dyDescent="0.35">
      <c r="B3173"/>
      <c r="C3173"/>
      <c r="H3173"/>
    </row>
    <row r="3174" spans="2:8" x14ac:dyDescent="0.35">
      <c r="B3174"/>
      <c r="C3174"/>
      <c r="H3174"/>
    </row>
    <row r="3175" spans="2:8" x14ac:dyDescent="0.35">
      <c r="B3175"/>
      <c r="C3175"/>
      <c r="H3175"/>
    </row>
    <row r="3176" spans="2:8" x14ac:dyDescent="0.35">
      <c r="B3176"/>
      <c r="C3176"/>
      <c r="H3176"/>
    </row>
    <row r="3177" spans="2:8" x14ac:dyDescent="0.35">
      <c r="B3177"/>
      <c r="C3177"/>
      <c r="H3177"/>
    </row>
    <row r="3178" spans="2:8" x14ac:dyDescent="0.35">
      <c r="B3178"/>
      <c r="C3178"/>
      <c r="H3178"/>
    </row>
    <row r="3179" spans="2:8" x14ac:dyDescent="0.35">
      <c r="B3179"/>
      <c r="C3179"/>
      <c r="H3179"/>
    </row>
    <row r="3180" spans="2:8" x14ac:dyDescent="0.35">
      <c r="B3180"/>
      <c r="C3180"/>
      <c r="H3180"/>
    </row>
    <row r="3181" spans="2:8" x14ac:dyDescent="0.35">
      <c r="B3181"/>
      <c r="C3181"/>
      <c r="H3181"/>
    </row>
    <row r="3182" spans="2:8" x14ac:dyDescent="0.35">
      <c r="B3182"/>
      <c r="C3182"/>
      <c r="H3182"/>
    </row>
    <row r="3183" spans="2:8" x14ac:dyDescent="0.35">
      <c r="B3183"/>
      <c r="C3183"/>
      <c r="H3183"/>
    </row>
    <row r="3184" spans="2:8" x14ac:dyDescent="0.35">
      <c r="B3184"/>
      <c r="C3184"/>
      <c r="H3184"/>
    </row>
    <row r="3185" spans="2:8" x14ac:dyDescent="0.35">
      <c r="B3185"/>
      <c r="C3185"/>
      <c r="H3185"/>
    </row>
    <row r="3186" spans="2:8" x14ac:dyDescent="0.35">
      <c r="B3186"/>
      <c r="C3186"/>
      <c r="H3186"/>
    </row>
    <row r="3187" spans="2:8" x14ac:dyDescent="0.35">
      <c r="B3187"/>
      <c r="C3187"/>
      <c r="H3187"/>
    </row>
    <row r="3188" spans="2:8" x14ac:dyDescent="0.35">
      <c r="B3188"/>
      <c r="C3188"/>
      <c r="H3188"/>
    </row>
    <row r="3189" spans="2:8" x14ac:dyDescent="0.35">
      <c r="B3189"/>
      <c r="C3189"/>
      <c r="H3189"/>
    </row>
    <row r="3190" spans="2:8" x14ac:dyDescent="0.35">
      <c r="B3190"/>
      <c r="C3190"/>
      <c r="H3190"/>
    </row>
    <row r="3191" spans="2:8" x14ac:dyDescent="0.35">
      <c r="B3191"/>
      <c r="C3191"/>
      <c r="H3191"/>
    </row>
    <row r="3192" spans="2:8" x14ac:dyDescent="0.35">
      <c r="B3192"/>
      <c r="C3192"/>
      <c r="H3192"/>
    </row>
    <row r="3193" spans="2:8" x14ac:dyDescent="0.35">
      <c r="B3193"/>
      <c r="C3193"/>
      <c r="H3193"/>
    </row>
    <row r="3194" spans="2:8" x14ac:dyDescent="0.35">
      <c r="B3194"/>
      <c r="C3194"/>
      <c r="H3194"/>
    </row>
    <row r="3195" spans="2:8" x14ac:dyDescent="0.35">
      <c r="B3195"/>
      <c r="C3195"/>
      <c r="H3195"/>
    </row>
    <row r="3196" spans="2:8" x14ac:dyDescent="0.35">
      <c r="B3196"/>
      <c r="C3196"/>
      <c r="H3196"/>
    </row>
    <row r="3197" spans="2:8" x14ac:dyDescent="0.35">
      <c r="B3197"/>
      <c r="C3197"/>
      <c r="H3197"/>
    </row>
    <row r="3198" spans="2:8" x14ac:dyDescent="0.35">
      <c r="B3198"/>
      <c r="C3198"/>
      <c r="H3198"/>
    </row>
    <row r="3199" spans="2:8" x14ac:dyDescent="0.35">
      <c r="B3199"/>
      <c r="C3199"/>
      <c r="H3199"/>
    </row>
    <row r="3200" spans="2:8" x14ac:dyDescent="0.35">
      <c r="B3200"/>
      <c r="C3200"/>
      <c r="H3200"/>
    </row>
    <row r="3201" spans="2:8" x14ac:dyDescent="0.35">
      <c r="B3201"/>
      <c r="C3201"/>
      <c r="H3201"/>
    </row>
    <row r="3202" spans="2:8" x14ac:dyDescent="0.35">
      <c r="B3202"/>
      <c r="C3202"/>
      <c r="H3202"/>
    </row>
    <row r="3203" spans="2:8" x14ac:dyDescent="0.35">
      <c r="B3203"/>
      <c r="C3203"/>
      <c r="H3203"/>
    </row>
    <row r="3204" spans="2:8" x14ac:dyDescent="0.35">
      <c r="B3204"/>
      <c r="C3204"/>
      <c r="H3204"/>
    </row>
    <row r="3205" spans="2:8" x14ac:dyDescent="0.35">
      <c r="B3205"/>
      <c r="C3205"/>
      <c r="H3205"/>
    </row>
    <row r="3206" spans="2:8" x14ac:dyDescent="0.35">
      <c r="B3206"/>
      <c r="C3206"/>
      <c r="H3206"/>
    </row>
    <row r="3207" spans="2:8" x14ac:dyDescent="0.35">
      <c r="B3207"/>
      <c r="C3207"/>
      <c r="H3207"/>
    </row>
    <row r="3208" spans="2:8" x14ac:dyDescent="0.35">
      <c r="B3208"/>
      <c r="C3208"/>
      <c r="H3208"/>
    </row>
    <row r="3209" spans="2:8" x14ac:dyDescent="0.35">
      <c r="B3209"/>
      <c r="C3209"/>
      <c r="H3209"/>
    </row>
    <row r="3210" spans="2:8" x14ac:dyDescent="0.35">
      <c r="B3210"/>
      <c r="C3210"/>
      <c r="H3210"/>
    </row>
    <row r="3211" spans="2:8" x14ac:dyDescent="0.35">
      <c r="B3211"/>
      <c r="C3211"/>
      <c r="H3211"/>
    </row>
    <row r="3212" spans="2:8" x14ac:dyDescent="0.35">
      <c r="B3212"/>
      <c r="C3212"/>
      <c r="H3212"/>
    </row>
    <row r="3213" spans="2:8" x14ac:dyDescent="0.35">
      <c r="B3213"/>
      <c r="C3213"/>
      <c r="H3213"/>
    </row>
    <row r="3214" spans="2:8" x14ac:dyDescent="0.35">
      <c r="B3214"/>
      <c r="C3214"/>
      <c r="H3214"/>
    </row>
    <row r="3215" spans="2:8" x14ac:dyDescent="0.35">
      <c r="B3215"/>
      <c r="C3215"/>
      <c r="H3215"/>
    </row>
    <row r="3216" spans="2:8" x14ac:dyDescent="0.35">
      <c r="B3216"/>
      <c r="C3216"/>
      <c r="H3216"/>
    </row>
    <row r="3217" spans="2:8" x14ac:dyDescent="0.35">
      <c r="B3217"/>
      <c r="C3217"/>
      <c r="H3217"/>
    </row>
    <row r="3218" spans="2:8" x14ac:dyDescent="0.35">
      <c r="B3218"/>
      <c r="C3218"/>
      <c r="H3218"/>
    </row>
    <row r="3219" spans="2:8" x14ac:dyDescent="0.35">
      <c r="B3219"/>
      <c r="C3219"/>
      <c r="H3219"/>
    </row>
    <row r="3220" spans="2:8" x14ac:dyDescent="0.35">
      <c r="B3220"/>
      <c r="C3220"/>
      <c r="H3220"/>
    </row>
    <row r="3221" spans="2:8" x14ac:dyDescent="0.35">
      <c r="B3221"/>
      <c r="C3221"/>
      <c r="H3221"/>
    </row>
    <row r="3222" spans="2:8" x14ac:dyDescent="0.35">
      <c r="B3222"/>
      <c r="C3222"/>
      <c r="H3222"/>
    </row>
    <row r="3223" spans="2:8" x14ac:dyDescent="0.35">
      <c r="B3223"/>
      <c r="C3223"/>
      <c r="H3223"/>
    </row>
    <row r="3224" spans="2:8" x14ac:dyDescent="0.35">
      <c r="B3224"/>
      <c r="C3224"/>
      <c r="H3224"/>
    </row>
    <row r="3225" spans="2:8" x14ac:dyDescent="0.35">
      <c r="B3225"/>
      <c r="C3225"/>
      <c r="H3225"/>
    </row>
    <row r="3226" spans="2:8" x14ac:dyDescent="0.35">
      <c r="B3226"/>
      <c r="C3226"/>
      <c r="H3226"/>
    </row>
    <row r="3227" spans="2:8" x14ac:dyDescent="0.35">
      <c r="B3227"/>
      <c r="C3227"/>
      <c r="H3227"/>
    </row>
    <row r="3228" spans="2:8" x14ac:dyDescent="0.35">
      <c r="B3228"/>
      <c r="C3228"/>
      <c r="H3228"/>
    </row>
    <row r="3229" spans="2:8" x14ac:dyDescent="0.35">
      <c r="B3229"/>
      <c r="C3229"/>
      <c r="H3229"/>
    </row>
    <row r="3230" spans="2:8" x14ac:dyDescent="0.35">
      <c r="B3230"/>
      <c r="C3230"/>
      <c r="H3230"/>
    </row>
    <row r="3231" spans="2:8" x14ac:dyDescent="0.35">
      <c r="B3231"/>
      <c r="C3231"/>
      <c r="H3231"/>
    </row>
    <row r="3232" spans="2:8" x14ac:dyDescent="0.35">
      <c r="B3232"/>
      <c r="C3232"/>
      <c r="H3232"/>
    </row>
    <row r="3233" spans="2:8" x14ac:dyDescent="0.35">
      <c r="B3233"/>
      <c r="C3233"/>
      <c r="H3233"/>
    </row>
    <row r="3234" spans="2:8" x14ac:dyDescent="0.35">
      <c r="B3234"/>
      <c r="C3234"/>
      <c r="H3234"/>
    </row>
    <row r="3235" spans="2:8" x14ac:dyDescent="0.35">
      <c r="B3235"/>
      <c r="C3235"/>
      <c r="H3235"/>
    </row>
    <row r="3236" spans="2:8" x14ac:dyDescent="0.35">
      <c r="B3236"/>
      <c r="C3236"/>
      <c r="H3236"/>
    </row>
    <row r="3237" spans="2:8" x14ac:dyDescent="0.35">
      <c r="B3237"/>
      <c r="C3237"/>
      <c r="H3237"/>
    </row>
    <row r="3238" spans="2:8" x14ac:dyDescent="0.35">
      <c r="B3238"/>
      <c r="C3238"/>
      <c r="H3238"/>
    </row>
    <row r="3239" spans="2:8" x14ac:dyDescent="0.35">
      <c r="B3239"/>
      <c r="C3239"/>
      <c r="H3239"/>
    </row>
    <row r="3240" spans="2:8" x14ac:dyDescent="0.35">
      <c r="B3240"/>
      <c r="C3240"/>
      <c r="H3240"/>
    </row>
    <row r="3241" spans="2:8" x14ac:dyDescent="0.35">
      <c r="B3241"/>
      <c r="C3241"/>
      <c r="H3241"/>
    </row>
    <row r="3242" spans="2:8" x14ac:dyDescent="0.35">
      <c r="B3242"/>
      <c r="C3242"/>
      <c r="H3242"/>
    </row>
    <row r="3243" spans="2:8" x14ac:dyDescent="0.35">
      <c r="B3243"/>
      <c r="C3243"/>
      <c r="H3243"/>
    </row>
    <row r="3244" spans="2:8" x14ac:dyDescent="0.35">
      <c r="B3244"/>
      <c r="C3244"/>
      <c r="H3244"/>
    </row>
    <row r="3245" spans="2:8" x14ac:dyDescent="0.35">
      <c r="B3245"/>
      <c r="C3245"/>
      <c r="H3245"/>
    </row>
    <row r="3246" spans="2:8" x14ac:dyDescent="0.35">
      <c r="B3246"/>
      <c r="C3246"/>
      <c r="H3246"/>
    </row>
    <row r="3247" spans="2:8" x14ac:dyDescent="0.35">
      <c r="B3247"/>
      <c r="C3247"/>
      <c r="H3247"/>
    </row>
    <row r="3248" spans="2:8" x14ac:dyDescent="0.35">
      <c r="B3248"/>
      <c r="C3248"/>
      <c r="H3248"/>
    </row>
    <row r="3249" spans="2:8" x14ac:dyDescent="0.35">
      <c r="B3249"/>
      <c r="C3249"/>
      <c r="H3249"/>
    </row>
    <row r="3250" spans="2:8" x14ac:dyDescent="0.35">
      <c r="B3250"/>
      <c r="C3250"/>
      <c r="H3250"/>
    </row>
    <row r="3251" spans="2:8" x14ac:dyDescent="0.35">
      <c r="B3251"/>
      <c r="C3251"/>
      <c r="H3251"/>
    </row>
    <row r="3252" spans="2:8" x14ac:dyDescent="0.35">
      <c r="B3252"/>
      <c r="C3252"/>
      <c r="H3252"/>
    </row>
    <row r="3253" spans="2:8" x14ac:dyDescent="0.35">
      <c r="B3253"/>
      <c r="C3253"/>
      <c r="H3253"/>
    </row>
    <row r="3254" spans="2:8" x14ac:dyDescent="0.35">
      <c r="B3254"/>
      <c r="C3254"/>
      <c r="H3254"/>
    </row>
    <row r="3255" spans="2:8" x14ac:dyDescent="0.35">
      <c r="B3255"/>
      <c r="C3255"/>
      <c r="H3255"/>
    </row>
    <row r="3256" spans="2:8" x14ac:dyDescent="0.35">
      <c r="B3256"/>
      <c r="C3256"/>
      <c r="H3256"/>
    </row>
    <row r="3257" spans="2:8" x14ac:dyDescent="0.35">
      <c r="B3257"/>
      <c r="C3257"/>
      <c r="H3257"/>
    </row>
    <row r="3258" spans="2:8" x14ac:dyDescent="0.35">
      <c r="B3258"/>
      <c r="C3258"/>
      <c r="H3258"/>
    </row>
    <row r="3259" spans="2:8" x14ac:dyDescent="0.35">
      <c r="B3259"/>
      <c r="C3259"/>
      <c r="H3259"/>
    </row>
    <row r="3260" spans="2:8" x14ac:dyDescent="0.35">
      <c r="B3260"/>
      <c r="C3260"/>
      <c r="H3260"/>
    </row>
    <row r="3261" spans="2:8" x14ac:dyDescent="0.35">
      <c r="B3261"/>
      <c r="C3261"/>
      <c r="H3261"/>
    </row>
    <row r="3262" spans="2:8" x14ac:dyDescent="0.35">
      <c r="B3262"/>
      <c r="C3262"/>
      <c r="H3262"/>
    </row>
    <row r="3263" spans="2:8" x14ac:dyDescent="0.35">
      <c r="B3263"/>
      <c r="C3263"/>
      <c r="H3263"/>
    </row>
    <row r="3264" spans="2:8" x14ac:dyDescent="0.35">
      <c r="B3264"/>
      <c r="C3264"/>
      <c r="H3264"/>
    </row>
    <row r="3265" spans="2:8" x14ac:dyDescent="0.35">
      <c r="B3265"/>
      <c r="C3265"/>
      <c r="H3265"/>
    </row>
    <row r="3266" spans="2:8" x14ac:dyDescent="0.35">
      <c r="B3266"/>
      <c r="C3266"/>
      <c r="H3266"/>
    </row>
    <row r="3267" spans="2:8" x14ac:dyDescent="0.35">
      <c r="B3267"/>
      <c r="C3267"/>
      <c r="H3267"/>
    </row>
    <row r="3268" spans="2:8" x14ac:dyDescent="0.35">
      <c r="B3268"/>
      <c r="C3268"/>
      <c r="H3268"/>
    </row>
    <row r="3269" spans="2:8" x14ac:dyDescent="0.35">
      <c r="B3269"/>
      <c r="C3269"/>
      <c r="H3269"/>
    </row>
    <row r="3270" spans="2:8" x14ac:dyDescent="0.35">
      <c r="B3270"/>
      <c r="C3270"/>
      <c r="H3270"/>
    </row>
    <row r="3271" spans="2:8" x14ac:dyDescent="0.35">
      <c r="B3271"/>
      <c r="C3271"/>
      <c r="H3271"/>
    </row>
    <row r="3272" spans="2:8" x14ac:dyDescent="0.35">
      <c r="B3272"/>
      <c r="C3272"/>
      <c r="H3272"/>
    </row>
    <row r="3273" spans="2:8" x14ac:dyDescent="0.35">
      <c r="B3273"/>
      <c r="C3273"/>
      <c r="H3273"/>
    </row>
    <row r="3274" spans="2:8" x14ac:dyDescent="0.35">
      <c r="B3274"/>
      <c r="C3274"/>
      <c r="H3274"/>
    </row>
    <row r="3275" spans="2:8" x14ac:dyDescent="0.35">
      <c r="B3275"/>
      <c r="C3275"/>
      <c r="H3275"/>
    </row>
    <row r="3276" spans="2:8" x14ac:dyDescent="0.35">
      <c r="B3276"/>
      <c r="C3276"/>
      <c r="H3276"/>
    </row>
    <row r="3277" spans="2:8" x14ac:dyDescent="0.35">
      <c r="B3277"/>
      <c r="C3277"/>
      <c r="H3277"/>
    </row>
    <row r="3278" spans="2:8" x14ac:dyDescent="0.35">
      <c r="B3278"/>
      <c r="C3278"/>
      <c r="H3278"/>
    </row>
    <row r="3279" spans="2:8" x14ac:dyDescent="0.35">
      <c r="B3279"/>
      <c r="C3279"/>
      <c r="H3279"/>
    </row>
    <row r="3280" spans="2:8" x14ac:dyDescent="0.35">
      <c r="B3280"/>
      <c r="C3280"/>
      <c r="H3280"/>
    </row>
    <row r="3281" spans="2:8" x14ac:dyDescent="0.35">
      <c r="B3281"/>
      <c r="C3281"/>
      <c r="H3281"/>
    </row>
    <row r="3282" spans="2:8" x14ac:dyDescent="0.35">
      <c r="B3282"/>
      <c r="C3282"/>
      <c r="H3282"/>
    </row>
    <row r="3283" spans="2:8" x14ac:dyDescent="0.35">
      <c r="B3283"/>
      <c r="C3283"/>
      <c r="H3283"/>
    </row>
    <row r="3284" spans="2:8" x14ac:dyDescent="0.35">
      <c r="B3284"/>
      <c r="C3284"/>
      <c r="H3284"/>
    </row>
    <row r="3285" spans="2:8" x14ac:dyDescent="0.35">
      <c r="B3285"/>
      <c r="C3285"/>
      <c r="H3285"/>
    </row>
    <row r="3286" spans="2:8" x14ac:dyDescent="0.35">
      <c r="B3286"/>
      <c r="C3286"/>
      <c r="H3286"/>
    </row>
    <row r="3287" spans="2:8" x14ac:dyDescent="0.35">
      <c r="B3287"/>
      <c r="C3287"/>
      <c r="H3287"/>
    </row>
    <row r="3288" spans="2:8" x14ac:dyDescent="0.35">
      <c r="B3288"/>
      <c r="C3288"/>
      <c r="H3288"/>
    </row>
    <row r="3289" spans="2:8" x14ac:dyDescent="0.35">
      <c r="B3289"/>
      <c r="C3289"/>
      <c r="H3289"/>
    </row>
    <row r="3290" spans="2:8" x14ac:dyDescent="0.35">
      <c r="B3290"/>
      <c r="C3290"/>
      <c r="H3290"/>
    </row>
    <row r="3291" spans="2:8" x14ac:dyDescent="0.35">
      <c r="B3291"/>
      <c r="C3291"/>
      <c r="H3291"/>
    </row>
    <row r="3292" spans="2:8" x14ac:dyDescent="0.35">
      <c r="B3292"/>
      <c r="C3292"/>
      <c r="H3292"/>
    </row>
    <row r="3293" spans="2:8" x14ac:dyDescent="0.35">
      <c r="B3293"/>
      <c r="C3293"/>
      <c r="H3293"/>
    </row>
    <row r="3294" spans="2:8" x14ac:dyDescent="0.35">
      <c r="B3294"/>
      <c r="C3294"/>
      <c r="H3294"/>
    </row>
    <row r="3295" spans="2:8" x14ac:dyDescent="0.35">
      <c r="B3295"/>
      <c r="C3295"/>
      <c r="H3295"/>
    </row>
    <row r="3296" spans="2:8" x14ac:dyDescent="0.35">
      <c r="B3296"/>
      <c r="C3296"/>
      <c r="H3296"/>
    </row>
    <row r="3297" spans="2:8" x14ac:dyDescent="0.35">
      <c r="B3297"/>
      <c r="C3297"/>
      <c r="H3297"/>
    </row>
    <row r="3298" spans="2:8" x14ac:dyDescent="0.35">
      <c r="B3298"/>
      <c r="C3298"/>
      <c r="H3298"/>
    </row>
    <row r="3299" spans="2:8" x14ac:dyDescent="0.35">
      <c r="B3299"/>
      <c r="C3299"/>
      <c r="H3299"/>
    </row>
    <row r="3300" spans="2:8" x14ac:dyDescent="0.35">
      <c r="B3300"/>
      <c r="C3300"/>
      <c r="H3300"/>
    </row>
    <row r="3301" spans="2:8" x14ac:dyDescent="0.35">
      <c r="B3301"/>
      <c r="C3301"/>
      <c r="H3301"/>
    </row>
    <row r="3302" spans="2:8" x14ac:dyDescent="0.35">
      <c r="B3302"/>
      <c r="C3302"/>
      <c r="H3302"/>
    </row>
    <row r="3303" spans="2:8" x14ac:dyDescent="0.35">
      <c r="B3303"/>
      <c r="C3303"/>
      <c r="H3303"/>
    </row>
    <row r="3304" spans="2:8" x14ac:dyDescent="0.35">
      <c r="B3304"/>
      <c r="C3304"/>
      <c r="H3304"/>
    </row>
    <row r="3305" spans="2:8" x14ac:dyDescent="0.35">
      <c r="B3305"/>
      <c r="C3305"/>
      <c r="H3305"/>
    </row>
    <row r="3306" spans="2:8" x14ac:dyDescent="0.35">
      <c r="B3306"/>
      <c r="C3306"/>
      <c r="H3306"/>
    </row>
    <row r="3307" spans="2:8" x14ac:dyDescent="0.35">
      <c r="B3307"/>
      <c r="C3307"/>
      <c r="H3307"/>
    </row>
    <row r="3308" spans="2:8" x14ac:dyDescent="0.35">
      <c r="B3308"/>
      <c r="C3308"/>
      <c r="H3308"/>
    </row>
    <row r="3309" spans="2:8" x14ac:dyDescent="0.35">
      <c r="B3309"/>
      <c r="C3309"/>
      <c r="H3309"/>
    </row>
    <row r="3310" spans="2:8" x14ac:dyDescent="0.35">
      <c r="B3310"/>
      <c r="C3310"/>
      <c r="H3310"/>
    </row>
    <row r="3311" spans="2:8" x14ac:dyDescent="0.35">
      <c r="B3311"/>
      <c r="C3311"/>
      <c r="H3311"/>
    </row>
    <row r="3312" spans="2:8" x14ac:dyDescent="0.35">
      <c r="B3312"/>
      <c r="C3312"/>
      <c r="H3312"/>
    </row>
    <row r="3313" spans="2:8" x14ac:dyDescent="0.35">
      <c r="B3313"/>
      <c r="C3313"/>
      <c r="H3313"/>
    </row>
    <row r="3314" spans="2:8" x14ac:dyDescent="0.35">
      <c r="B3314"/>
      <c r="C3314"/>
      <c r="H3314"/>
    </row>
    <row r="3315" spans="2:8" x14ac:dyDescent="0.35">
      <c r="B3315"/>
      <c r="C3315"/>
      <c r="H3315"/>
    </row>
    <row r="3316" spans="2:8" x14ac:dyDescent="0.35">
      <c r="B3316"/>
      <c r="C3316"/>
      <c r="H3316"/>
    </row>
    <row r="3317" spans="2:8" x14ac:dyDescent="0.35">
      <c r="B3317"/>
      <c r="C3317"/>
      <c r="H3317"/>
    </row>
    <row r="3318" spans="2:8" x14ac:dyDescent="0.35">
      <c r="B3318"/>
      <c r="C3318"/>
      <c r="H3318"/>
    </row>
    <row r="3319" spans="2:8" x14ac:dyDescent="0.35">
      <c r="B3319"/>
      <c r="C3319"/>
      <c r="H3319"/>
    </row>
    <row r="3320" spans="2:8" x14ac:dyDescent="0.35">
      <c r="B3320"/>
      <c r="C3320"/>
      <c r="H3320"/>
    </row>
    <row r="3321" spans="2:8" x14ac:dyDescent="0.35">
      <c r="B3321"/>
      <c r="C3321"/>
      <c r="H3321"/>
    </row>
    <row r="3322" spans="2:8" x14ac:dyDescent="0.35">
      <c r="B3322"/>
      <c r="C3322"/>
      <c r="H3322"/>
    </row>
    <row r="3323" spans="2:8" x14ac:dyDescent="0.35">
      <c r="B3323"/>
      <c r="C3323"/>
      <c r="H3323"/>
    </row>
    <row r="3324" spans="2:8" x14ac:dyDescent="0.35">
      <c r="B3324"/>
      <c r="C3324"/>
      <c r="H3324"/>
    </row>
    <row r="3325" spans="2:8" x14ac:dyDescent="0.35">
      <c r="B3325"/>
      <c r="C3325"/>
      <c r="H3325"/>
    </row>
    <row r="3326" spans="2:8" x14ac:dyDescent="0.35">
      <c r="B3326"/>
      <c r="C3326"/>
      <c r="H3326"/>
    </row>
    <row r="3327" spans="2:8" x14ac:dyDescent="0.35">
      <c r="B3327"/>
      <c r="C3327"/>
      <c r="H3327"/>
    </row>
    <row r="3328" spans="2:8" x14ac:dyDescent="0.35">
      <c r="B3328"/>
      <c r="C3328"/>
      <c r="H3328"/>
    </row>
    <row r="3329" spans="2:8" x14ac:dyDescent="0.35">
      <c r="B3329"/>
      <c r="C3329"/>
      <c r="H3329"/>
    </row>
    <row r="3330" spans="2:8" x14ac:dyDescent="0.35">
      <c r="B3330"/>
      <c r="C3330"/>
      <c r="H3330"/>
    </row>
    <row r="3331" spans="2:8" x14ac:dyDescent="0.35">
      <c r="B3331"/>
      <c r="C3331"/>
      <c r="H3331"/>
    </row>
    <row r="3332" spans="2:8" x14ac:dyDescent="0.35">
      <c r="B3332"/>
      <c r="C3332"/>
      <c r="H3332"/>
    </row>
    <row r="3333" spans="2:8" x14ac:dyDescent="0.35">
      <c r="B3333"/>
      <c r="C3333"/>
      <c r="H3333"/>
    </row>
    <row r="3334" spans="2:8" x14ac:dyDescent="0.35">
      <c r="B3334"/>
      <c r="C3334"/>
      <c r="H3334"/>
    </row>
    <row r="3335" spans="2:8" x14ac:dyDescent="0.35">
      <c r="B3335"/>
      <c r="C3335"/>
      <c r="H3335"/>
    </row>
    <row r="3336" spans="2:8" x14ac:dyDescent="0.35">
      <c r="B3336"/>
      <c r="C3336"/>
      <c r="H3336"/>
    </row>
    <row r="3337" spans="2:8" x14ac:dyDescent="0.35">
      <c r="B3337"/>
      <c r="C3337"/>
      <c r="H3337"/>
    </row>
    <row r="3338" spans="2:8" x14ac:dyDescent="0.35">
      <c r="B3338"/>
      <c r="C3338"/>
      <c r="H3338"/>
    </row>
    <row r="3339" spans="2:8" x14ac:dyDescent="0.35">
      <c r="B3339"/>
      <c r="C3339"/>
      <c r="H3339"/>
    </row>
    <row r="3340" spans="2:8" x14ac:dyDescent="0.35">
      <c r="B3340"/>
      <c r="C3340"/>
      <c r="H3340"/>
    </row>
    <row r="3341" spans="2:8" x14ac:dyDescent="0.35">
      <c r="B3341"/>
      <c r="C3341"/>
      <c r="H3341"/>
    </row>
    <row r="3342" spans="2:8" x14ac:dyDescent="0.35">
      <c r="B3342"/>
      <c r="C3342"/>
      <c r="H3342"/>
    </row>
    <row r="3343" spans="2:8" x14ac:dyDescent="0.35">
      <c r="B3343"/>
      <c r="C3343"/>
      <c r="H3343"/>
    </row>
    <row r="3344" spans="2:8" x14ac:dyDescent="0.35">
      <c r="B3344"/>
      <c r="C3344"/>
      <c r="H3344"/>
    </row>
    <row r="3345" spans="2:8" x14ac:dyDescent="0.35">
      <c r="B3345"/>
      <c r="C3345"/>
      <c r="H3345"/>
    </row>
    <row r="3346" spans="2:8" x14ac:dyDescent="0.35">
      <c r="B3346"/>
      <c r="C3346"/>
      <c r="H3346"/>
    </row>
    <row r="3347" spans="2:8" x14ac:dyDescent="0.35">
      <c r="B3347"/>
      <c r="C3347"/>
      <c r="H3347"/>
    </row>
    <row r="3348" spans="2:8" x14ac:dyDescent="0.35">
      <c r="B3348"/>
      <c r="C3348"/>
      <c r="H3348"/>
    </row>
    <row r="3349" spans="2:8" x14ac:dyDescent="0.35">
      <c r="B3349"/>
      <c r="C3349"/>
      <c r="H3349"/>
    </row>
    <row r="3350" spans="2:8" x14ac:dyDescent="0.35">
      <c r="B3350"/>
      <c r="C3350"/>
      <c r="H3350"/>
    </row>
    <row r="3351" spans="2:8" x14ac:dyDescent="0.35">
      <c r="B3351"/>
      <c r="C3351"/>
      <c r="H3351"/>
    </row>
    <row r="3352" spans="2:8" x14ac:dyDescent="0.35">
      <c r="B3352"/>
      <c r="C3352"/>
      <c r="H3352"/>
    </row>
    <row r="3353" spans="2:8" x14ac:dyDescent="0.35">
      <c r="B3353"/>
      <c r="C3353"/>
      <c r="H3353"/>
    </row>
    <row r="3354" spans="2:8" x14ac:dyDescent="0.35">
      <c r="B3354"/>
      <c r="C3354"/>
      <c r="H3354"/>
    </row>
    <row r="3355" spans="2:8" x14ac:dyDescent="0.35">
      <c r="B3355"/>
      <c r="C3355"/>
      <c r="H3355"/>
    </row>
    <row r="3356" spans="2:8" x14ac:dyDescent="0.35">
      <c r="B3356"/>
      <c r="C3356"/>
      <c r="H3356"/>
    </row>
    <row r="3357" spans="2:8" x14ac:dyDescent="0.35">
      <c r="B3357"/>
      <c r="C3357"/>
      <c r="H3357"/>
    </row>
    <row r="3358" spans="2:8" x14ac:dyDescent="0.35">
      <c r="B3358"/>
      <c r="C3358"/>
      <c r="H3358"/>
    </row>
    <row r="3359" spans="2:8" x14ac:dyDescent="0.35">
      <c r="B3359"/>
      <c r="C3359"/>
      <c r="H3359"/>
    </row>
    <row r="3360" spans="2:8" x14ac:dyDescent="0.35">
      <c r="B3360"/>
      <c r="C3360"/>
      <c r="H3360"/>
    </row>
    <row r="3361" spans="2:8" x14ac:dyDescent="0.35">
      <c r="B3361"/>
      <c r="C3361"/>
      <c r="H3361"/>
    </row>
    <row r="3362" spans="2:8" x14ac:dyDescent="0.35">
      <c r="B3362"/>
      <c r="C3362"/>
      <c r="H3362"/>
    </row>
    <row r="3363" spans="2:8" x14ac:dyDescent="0.35">
      <c r="B3363"/>
      <c r="C3363"/>
      <c r="H3363"/>
    </row>
    <row r="3364" spans="2:8" x14ac:dyDescent="0.35">
      <c r="B3364"/>
      <c r="C3364"/>
      <c r="H3364"/>
    </row>
    <row r="3365" spans="2:8" x14ac:dyDescent="0.35">
      <c r="B3365"/>
      <c r="C3365"/>
      <c r="H3365"/>
    </row>
    <row r="3366" spans="2:8" x14ac:dyDescent="0.35">
      <c r="B3366"/>
      <c r="C3366"/>
      <c r="H3366"/>
    </row>
    <row r="3367" spans="2:8" x14ac:dyDescent="0.35">
      <c r="B3367"/>
      <c r="C3367"/>
      <c r="H3367"/>
    </row>
    <row r="3368" spans="2:8" x14ac:dyDescent="0.35">
      <c r="B3368"/>
      <c r="C3368"/>
      <c r="H3368"/>
    </row>
    <row r="3369" spans="2:8" x14ac:dyDescent="0.35">
      <c r="B3369"/>
      <c r="C3369"/>
      <c r="H3369"/>
    </row>
    <row r="3370" spans="2:8" x14ac:dyDescent="0.35">
      <c r="B3370"/>
      <c r="C3370"/>
      <c r="H3370"/>
    </row>
    <row r="3371" spans="2:8" x14ac:dyDescent="0.35">
      <c r="B3371"/>
      <c r="C3371"/>
      <c r="H3371"/>
    </row>
    <row r="3372" spans="2:8" x14ac:dyDescent="0.35">
      <c r="B3372"/>
      <c r="C3372"/>
      <c r="H3372"/>
    </row>
    <row r="3373" spans="2:8" x14ac:dyDescent="0.35">
      <c r="B3373"/>
      <c r="C3373"/>
      <c r="H3373"/>
    </row>
    <row r="3374" spans="2:8" x14ac:dyDescent="0.35">
      <c r="B3374"/>
      <c r="C3374"/>
      <c r="H3374"/>
    </row>
    <row r="3375" spans="2:8" x14ac:dyDescent="0.35">
      <c r="B3375"/>
      <c r="C3375"/>
      <c r="H3375"/>
    </row>
    <row r="3376" spans="2:8" x14ac:dyDescent="0.35">
      <c r="B3376"/>
      <c r="C3376"/>
      <c r="H3376"/>
    </row>
    <row r="3377" spans="2:8" x14ac:dyDescent="0.35">
      <c r="B3377"/>
      <c r="C3377"/>
      <c r="H3377"/>
    </row>
    <row r="3378" spans="2:8" x14ac:dyDescent="0.35">
      <c r="B3378"/>
      <c r="C3378"/>
      <c r="H3378"/>
    </row>
    <row r="3379" spans="2:8" x14ac:dyDescent="0.35">
      <c r="B3379"/>
      <c r="C3379"/>
      <c r="H3379"/>
    </row>
    <row r="3380" spans="2:8" x14ac:dyDescent="0.35">
      <c r="B3380"/>
      <c r="C3380"/>
      <c r="H3380"/>
    </row>
    <row r="3381" spans="2:8" x14ac:dyDescent="0.35">
      <c r="B3381"/>
      <c r="C3381"/>
      <c r="H3381"/>
    </row>
    <row r="3382" spans="2:8" x14ac:dyDescent="0.35">
      <c r="B3382"/>
      <c r="C3382"/>
      <c r="H3382"/>
    </row>
    <row r="3383" spans="2:8" x14ac:dyDescent="0.35">
      <c r="B3383"/>
      <c r="C3383"/>
      <c r="H3383"/>
    </row>
    <row r="3384" spans="2:8" x14ac:dyDescent="0.35">
      <c r="B3384"/>
      <c r="C3384"/>
      <c r="H3384"/>
    </row>
    <row r="3385" spans="2:8" x14ac:dyDescent="0.35">
      <c r="B3385"/>
      <c r="C3385"/>
      <c r="H3385"/>
    </row>
    <row r="3386" spans="2:8" x14ac:dyDescent="0.35">
      <c r="B3386"/>
      <c r="C3386"/>
      <c r="H3386"/>
    </row>
    <row r="3387" spans="2:8" x14ac:dyDescent="0.35">
      <c r="B3387"/>
      <c r="C3387"/>
      <c r="H3387"/>
    </row>
    <row r="3388" spans="2:8" x14ac:dyDescent="0.35">
      <c r="B3388"/>
      <c r="C3388"/>
      <c r="H3388"/>
    </row>
    <row r="3389" spans="2:8" x14ac:dyDescent="0.35">
      <c r="B3389"/>
      <c r="C3389"/>
      <c r="H3389"/>
    </row>
    <row r="3390" spans="2:8" x14ac:dyDescent="0.35">
      <c r="B3390"/>
      <c r="C3390"/>
      <c r="H3390"/>
    </row>
    <row r="3391" spans="2:8" x14ac:dyDescent="0.35">
      <c r="B3391"/>
      <c r="C3391"/>
      <c r="H3391"/>
    </row>
    <row r="3392" spans="2:8" x14ac:dyDescent="0.35">
      <c r="B3392"/>
      <c r="C3392"/>
      <c r="H3392"/>
    </row>
    <row r="3393" spans="2:8" x14ac:dyDescent="0.35">
      <c r="B3393"/>
      <c r="C3393"/>
      <c r="H3393"/>
    </row>
    <row r="3394" spans="2:8" x14ac:dyDescent="0.35">
      <c r="B3394"/>
      <c r="C3394"/>
      <c r="H3394"/>
    </row>
    <row r="3395" spans="2:8" x14ac:dyDescent="0.35">
      <c r="B3395"/>
      <c r="C3395"/>
      <c r="H3395"/>
    </row>
    <row r="3396" spans="2:8" x14ac:dyDescent="0.35">
      <c r="B3396"/>
      <c r="C3396"/>
      <c r="H3396"/>
    </row>
    <row r="3397" spans="2:8" x14ac:dyDescent="0.35">
      <c r="B3397"/>
      <c r="C3397"/>
      <c r="H3397"/>
    </row>
    <row r="3398" spans="2:8" x14ac:dyDescent="0.35">
      <c r="B3398"/>
      <c r="C3398"/>
      <c r="H3398"/>
    </row>
    <row r="3399" spans="2:8" x14ac:dyDescent="0.35">
      <c r="B3399"/>
      <c r="C3399"/>
      <c r="H3399"/>
    </row>
    <row r="3400" spans="2:8" x14ac:dyDescent="0.35">
      <c r="B3400"/>
      <c r="C3400"/>
      <c r="H3400"/>
    </row>
    <row r="3401" spans="2:8" x14ac:dyDescent="0.35">
      <c r="B3401"/>
      <c r="C3401"/>
      <c r="H3401"/>
    </row>
    <row r="3402" spans="2:8" x14ac:dyDescent="0.35">
      <c r="B3402"/>
      <c r="C3402"/>
      <c r="H3402"/>
    </row>
    <row r="3403" spans="2:8" x14ac:dyDescent="0.35">
      <c r="B3403"/>
      <c r="C3403"/>
      <c r="H3403"/>
    </row>
    <row r="3404" spans="2:8" x14ac:dyDescent="0.35">
      <c r="B3404"/>
      <c r="C3404"/>
      <c r="H3404"/>
    </row>
    <row r="3405" spans="2:8" x14ac:dyDescent="0.35">
      <c r="B3405"/>
      <c r="C3405"/>
      <c r="H3405"/>
    </row>
    <row r="3406" spans="2:8" x14ac:dyDescent="0.35">
      <c r="B3406"/>
      <c r="C3406"/>
      <c r="H3406"/>
    </row>
    <row r="3407" spans="2:8" x14ac:dyDescent="0.35">
      <c r="B3407"/>
      <c r="C3407"/>
      <c r="H3407"/>
    </row>
    <row r="3408" spans="2:8" x14ac:dyDescent="0.35">
      <c r="B3408"/>
      <c r="C3408"/>
      <c r="H3408"/>
    </row>
    <row r="3409" spans="2:8" x14ac:dyDescent="0.35">
      <c r="B3409"/>
      <c r="C3409"/>
      <c r="H3409"/>
    </row>
    <row r="3410" spans="2:8" x14ac:dyDescent="0.35">
      <c r="B3410"/>
      <c r="C3410"/>
      <c r="H3410"/>
    </row>
    <row r="3411" spans="2:8" x14ac:dyDescent="0.35">
      <c r="B3411"/>
      <c r="C3411"/>
      <c r="H3411"/>
    </row>
    <row r="3412" spans="2:8" x14ac:dyDescent="0.35">
      <c r="B3412"/>
      <c r="C3412"/>
      <c r="H3412"/>
    </row>
    <row r="3413" spans="2:8" x14ac:dyDescent="0.35">
      <c r="B3413"/>
      <c r="C3413"/>
      <c r="H3413"/>
    </row>
    <row r="3414" spans="2:8" x14ac:dyDescent="0.35">
      <c r="B3414"/>
      <c r="C3414"/>
      <c r="H3414"/>
    </row>
    <row r="3415" spans="2:8" x14ac:dyDescent="0.35">
      <c r="B3415"/>
      <c r="C3415"/>
      <c r="H3415"/>
    </row>
    <row r="3416" spans="2:8" x14ac:dyDescent="0.35">
      <c r="B3416"/>
      <c r="C3416"/>
      <c r="H3416"/>
    </row>
    <row r="3417" spans="2:8" x14ac:dyDescent="0.35">
      <c r="B3417"/>
      <c r="C3417"/>
      <c r="H3417"/>
    </row>
    <row r="3418" spans="2:8" x14ac:dyDescent="0.35">
      <c r="B3418"/>
      <c r="C3418"/>
      <c r="H3418"/>
    </row>
    <row r="3419" spans="2:8" x14ac:dyDescent="0.35">
      <c r="B3419"/>
      <c r="C3419"/>
      <c r="H3419"/>
    </row>
    <row r="3420" spans="2:8" x14ac:dyDescent="0.35">
      <c r="B3420"/>
      <c r="C3420"/>
      <c r="H3420"/>
    </row>
    <row r="3421" spans="2:8" x14ac:dyDescent="0.35">
      <c r="B3421"/>
      <c r="C3421"/>
      <c r="H3421"/>
    </row>
    <row r="3422" spans="2:8" x14ac:dyDescent="0.35">
      <c r="B3422"/>
      <c r="C3422"/>
      <c r="H3422"/>
    </row>
    <row r="3423" spans="2:8" x14ac:dyDescent="0.35">
      <c r="B3423"/>
      <c r="C3423"/>
      <c r="H3423"/>
    </row>
    <row r="3424" spans="2:8" x14ac:dyDescent="0.35">
      <c r="B3424"/>
      <c r="C3424"/>
      <c r="H3424"/>
    </row>
    <row r="3425" spans="2:8" x14ac:dyDescent="0.35">
      <c r="B3425"/>
      <c r="C3425"/>
      <c r="H3425"/>
    </row>
    <row r="3426" spans="2:8" x14ac:dyDescent="0.35">
      <c r="B3426"/>
      <c r="C3426"/>
      <c r="H3426"/>
    </row>
    <row r="3427" spans="2:8" x14ac:dyDescent="0.35">
      <c r="B3427"/>
      <c r="C3427"/>
      <c r="H3427"/>
    </row>
    <row r="3428" spans="2:8" x14ac:dyDescent="0.35">
      <c r="B3428"/>
      <c r="C3428"/>
      <c r="H3428"/>
    </row>
    <row r="3429" spans="2:8" x14ac:dyDescent="0.35">
      <c r="B3429"/>
      <c r="C3429"/>
      <c r="H3429"/>
    </row>
    <row r="3430" spans="2:8" x14ac:dyDescent="0.35">
      <c r="B3430"/>
      <c r="C3430"/>
      <c r="H3430"/>
    </row>
    <row r="3431" spans="2:8" x14ac:dyDescent="0.35">
      <c r="B3431"/>
      <c r="C3431"/>
      <c r="H3431"/>
    </row>
    <row r="3432" spans="2:8" x14ac:dyDescent="0.35">
      <c r="B3432"/>
      <c r="C3432"/>
      <c r="H3432"/>
    </row>
    <row r="3433" spans="2:8" x14ac:dyDescent="0.35">
      <c r="B3433"/>
      <c r="C3433"/>
      <c r="H3433"/>
    </row>
    <row r="3434" spans="2:8" x14ac:dyDescent="0.35">
      <c r="B3434"/>
      <c r="C3434"/>
      <c r="H3434"/>
    </row>
    <row r="3435" spans="2:8" x14ac:dyDescent="0.35">
      <c r="B3435"/>
      <c r="C3435"/>
      <c r="H3435"/>
    </row>
    <row r="3436" spans="2:8" x14ac:dyDescent="0.35">
      <c r="B3436"/>
      <c r="C3436"/>
      <c r="H3436"/>
    </row>
    <row r="3437" spans="2:8" x14ac:dyDescent="0.35">
      <c r="B3437"/>
      <c r="C3437"/>
      <c r="H3437"/>
    </row>
    <row r="3438" spans="2:8" x14ac:dyDescent="0.35">
      <c r="B3438"/>
      <c r="C3438"/>
      <c r="H3438"/>
    </row>
    <row r="3439" spans="2:8" x14ac:dyDescent="0.35">
      <c r="B3439"/>
      <c r="C3439"/>
      <c r="H3439"/>
    </row>
    <row r="3440" spans="2:8" x14ac:dyDescent="0.35">
      <c r="B3440"/>
      <c r="C3440"/>
      <c r="H3440"/>
    </row>
    <row r="3441" spans="2:8" x14ac:dyDescent="0.35">
      <c r="B3441"/>
      <c r="C3441"/>
      <c r="H3441"/>
    </row>
    <row r="3442" spans="2:8" x14ac:dyDescent="0.35">
      <c r="B3442"/>
      <c r="C3442"/>
      <c r="H3442"/>
    </row>
    <row r="3443" spans="2:8" x14ac:dyDescent="0.35">
      <c r="B3443"/>
      <c r="C3443"/>
      <c r="H3443"/>
    </row>
    <row r="3444" spans="2:8" x14ac:dyDescent="0.35">
      <c r="B3444"/>
      <c r="C3444"/>
      <c r="H3444"/>
    </row>
    <row r="3445" spans="2:8" x14ac:dyDescent="0.35">
      <c r="B3445"/>
      <c r="C3445"/>
      <c r="H3445"/>
    </row>
    <row r="3446" spans="2:8" x14ac:dyDescent="0.35">
      <c r="B3446"/>
      <c r="C3446"/>
      <c r="H3446"/>
    </row>
    <row r="3447" spans="2:8" x14ac:dyDescent="0.35">
      <c r="B3447"/>
      <c r="C3447"/>
      <c r="H3447"/>
    </row>
    <row r="3448" spans="2:8" x14ac:dyDescent="0.35">
      <c r="B3448"/>
      <c r="C3448"/>
      <c r="H3448"/>
    </row>
    <row r="3449" spans="2:8" x14ac:dyDescent="0.35">
      <c r="B3449"/>
      <c r="C3449"/>
      <c r="H3449"/>
    </row>
    <row r="3450" spans="2:8" x14ac:dyDescent="0.35">
      <c r="B3450"/>
      <c r="C3450"/>
      <c r="H3450"/>
    </row>
    <row r="3451" spans="2:8" x14ac:dyDescent="0.35">
      <c r="B3451"/>
      <c r="C3451"/>
      <c r="H3451"/>
    </row>
    <row r="3452" spans="2:8" x14ac:dyDescent="0.35">
      <c r="B3452"/>
      <c r="C3452"/>
      <c r="H3452"/>
    </row>
    <row r="3453" spans="2:8" x14ac:dyDescent="0.35">
      <c r="B3453"/>
      <c r="C3453"/>
      <c r="H3453"/>
    </row>
    <row r="3454" spans="2:8" x14ac:dyDescent="0.35">
      <c r="B3454"/>
      <c r="C3454"/>
      <c r="H3454"/>
    </row>
    <row r="3455" spans="2:8" x14ac:dyDescent="0.35">
      <c r="B3455"/>
      <c r="C3455"/>
      <c r="H3455"/>
    </row>
    <row r="3456" spans="2:8" x14ac:dyDescent="0.35">
      <c r="B3456"/>
      <c r="C3456"/>
      <c r="H3456"/>
    </row>
    <row r="3457" spans="2:8" x14ac:dyDescent="0.35">
      <c r="B3457"/>
      <c r="C3457"/>
      <c r="H3457"/>
    </row>
    <row r="3458" spans="2:8" x14ac:dyDescent="0.35">
      <c r="B3458"/>
      <c r="C3458"/>
      <c r="H3458"/>
    </row>
    <row r="3459" spans="2:8" x14ac:dyDescent="0.35">
      <c r="B3459"/>
      <c r="C3459"/>
      <c r="H3459"/>
    </row>
    <row r="3460" spans="2:8" x14ac:dyDescent="0.35">
      <c r="B3460"/>
      <c r="C3460"/>
      <c r="H3460"/>
    </row>
    <row r="3461" spans="2:8" x14ac:dyDescent="0.35">
      <c r="B3461"/>
      <c r="C3461"/>
      <c r="H3461"/>
    </row>
    <row r="3462" spans="2:8" x14ac:dyDescent="0.35">
      <c r="B3462"/>
      <c r="C3462"/>
      <c r="H3462"/>
    </row>
    <row r="3463" spans="2:8" x14ac:dyDescent="0.35">
      <c r="B3463"/>
      <c r="C3463"/>
      <c r="H3463"/>
    </row>
    <row r="3464" spans="2:8" x14ac:dyDescent="0.35">
      <c r="B3464"/>
      <c r="C3464"/>
      <c r="H3464"/>
    </row>
    <row r="3465" spans="2:8" x14ac:dyDescent="0.35">
      <c r="B3465"/>
      <c r="C3465"/>
      <c r="H3465"/>
    </row>
    <row r="3466" spans="2:8" x14ac:dyDescent="0.35">
      <c r="B3466"/>
      <c r="C3466"/>
      <c r="H3466"/>
    </row>
    <row r="3467" spans="2:8" x14ac:dyDescent="0.35">
      <c r="B3467"/>
      <c r="C3467"/>
      <c r="H3467"/>
    </row>
    <row r="3468" spans="2:8" x14ac:dyDescent="0.35">
      <c r="B3468"/>
      <c r="C3468"/>
      <c r="H3468"/>
    </row>
    <row r="3469" spans="2:8" x14ac:dyDescent="0.35">
      <c r="B3469"/>
      <c r="C3469"/>
      <c r="H3469"/>
    </row>
    <row r="3470" spans="2:8" x14ac:dyDescent="0.35">
      <c r="B3470"/>
      <c r="C3470"/>
      <c r="H3470"/>
    </row>
    <row r="3471" spans="2:8" x14ac:dyDescent="0.35">
      <c r="B3471"/>
      <c r="C3471"/>
      <c r="H3471"/>
    </row>
    <row r="3472" spans="2:8" x14ac:dyDescent="0.35">
      <c r="B3472"/>
      <c r="C3472"/>
      <c r="H3472"/>
    </row>
    <row r="3473" spans="2:8" x14ac:dyDescent="0.35">
      <c r="B3473"/>
      <c r="C3473"/>
      <c r="H3473"/>
    </row>
    <row r="3474" spans="2:8" x14ac:dyDescent="0.35">
      <c r="B3474"/>
      <c r="C3474"/>
      <c r="H3474"/>
    </row>
    <row r="3475" spans="2:8" x14ac:dyDescent="0.35">
      <c r="B3475"/>
      <c r="C3475"/>
      <c r="H3475"/>
    </row>
    <row r="3476" spans="2:8" x14ac:dyDescent="0.35">
      <c r="B3476"/>
      <c r="C3476"/>
      <c r="H3476"/>
    </row>
    <row r="3477" spans="2:8" x14ac:dyDescent="0.35">
      <c r="B3477"/>
      <c r="C3477"/>
      <c r="H3477"/>
    </row>
    <row r="3478" spans="2:8" x14ac:dyDescent="0.35">
      <c r="B3478"/>
      <c r="C3478"/>
      <c r="H3478"/>
    </row>
    <row r="3479" spans="2:8" x14ac:dyDescent="0.35">
      <c r="B3479"/>
      <c r="C3479"/>
      <c r="H3479"/>
    </row>
    <row r="3480" spans="2:8" x14ac:dyDescent="0.35">
      <c r="B3480"/>
      <c r="C3480"/>
      <c r="H3480"/>
    </row>
    <row r="3481" spans="2:8" x14ac:dyDescent="0.35">
      <c r="B3481"/>
      <c r="C3481"/>
      <c r="H3481"/>
    </row>
    <row r="3482" spans="2:8" x14ac:dyDescent="0.35">
      <c r="B3482"/>
      <c r="C3482"/>
      <c r="H3482"/>
    </row>
    <row r="3483" spans="2:8" x14ac:dyDescent="0.35">
      <c r="B3483"/>
      <c r="C3483"/>
      <c r="H3483"/>
    </row>
    <row r="3484" spans="2:8" x14ac:dyDescent="0.35">
      <c r="B3484"/>
      <c r="C3484"/>
      <c r="H3484"/>
    </row>
    <row r="3485" spans="2:8" x14ac:dyDescent="0.35">
      <c r="B3485"/>
      <c r="C3485"/>
      <c r="H3485"/>
    </row>
    <row r="3486" spans="2:8" x14ac:dyDescent="0.35">
      <c r="B3486"/>
      <c r="C3486"/>
      <c r="H3486"/>
    </row>
    <row r="3487" spans="2:8" x14ac:dyDescent="0.35">
      <c r="B3487"/>
      <c r="C3487"/>
      <c r="H3487"/>
    </row>
    <row r="3488" spans="2:8" x14ac:dyDescent="0.35">
      <c r="B3488"/>
      <c r="C3488"/>
      <c r="H3488"/>
    </row>
    <row r="3489" spans="2:8" x14ac:dyDescent="0.35">
      <c r="B3489"/>
      <c r="C3489"/>
      <c r="H3489"/>
    </row>
    <row r="3490" spans="2:8" x14ac:dyDescent="0.35">
      <c r="B3490"/>
      <c r="C3490"/>
      <c r="H3490"/>
    </row>
    <row r="3491" spans="2:8" x14ac:dyDescent="0.35">
      <c r="B3491"/>
      <c r="C3491"/>
      <c r="H3491"/>
    </row>
    <row r="3492" spans="2:8" x14ac:dyDescent="0.35">
      <c r="B3492"/>
      <c r="C3492"/>
      <c r="H3492"/>
    </row>
    <row r="3493" spans="2:8" x14ac:dyDescent="0.35">
      <c r="B3493"/>
      <c r="C3493"/>
      <c r="H3493"/>
    </row>
    <row r="3494" spans="2:8" x14ac:dyDescent="0.35">
      <c r="B3494"/>
      <c r="C3494"/>
      <c r="H3494"/>
    </row>
    <row r="3495" spans="2:8" x14ac:dyDescent="0.35">
      <c r="B3495"/>
      <c r="C3495"/>
      <c r="H3495"/>
    </row>
    <row r="3496" spans="2:8" x14ac:dyDescent="0.35">
      <c r="B3496"/>
      <c r="C3496"/>
      <c r="H3496"/>
    </row>
    <row r="3497" spans="2:8" x14ac:dyDescent="0.35">
      <c r="B3497"/>
      <c r="C3497"/>
      <c r="H3497"/>
    </row>
    <row r="3498" spans="2:8" x14ac:dyDescent="0.35">
      <c r="B3498"/>
      <c r="C3498"/>
      <c r="H3498"/>
    </row>
    <row r="3499" spans="2:8" x14ac:dyDescent="0.35">
      <c r="B3499"/>
      <c r="C3499"/>
      <c r="H3499"/>
    </row>
    <row r="3500" spans="2:8" x14ac:dyDescent="0.35">
      <c r="B3500"/>
      <c r="C3500"/>
      <c r="H3500"/>
    </row>
    <row r="3501" spans="2:8" x14ac:dyDescent="0.35">
      <c r="B3501"/>
      <c r="C3501"/>
      <c r="H3501"/>
    </row>
    <row r="3502" spans="2:8" x14ac:dyDescent="0.35">
      <c r="B3502"/>
      <c r="C3502"/>
      <c r="H3502"/>
    </row>
    <row r="3503" spans="2:8" x14ac:dyDescent="0.35">
      <c r="B3503"/>
      <c r="C3503"/>
      <c r="H3503"/>
    </row>
    <row r="3504" spans="2:8" x14ac:dyDescent="0.35">
      <c r="B3504"/>
      <c r="C3504"/>
      <c r="H3504"/>
    </row>
    <row r="3505" spans="2:8" x14ac:dyDescent="0.35">
      <c r="B3505"/>
      <c r="C3505"/>
      <c r="H3505"/>
    </row>
    <row r="3506" spans="2:8" x14ac:dyDescent="0.35">
      <c r="B3506"/>
      <c r="C3506"/>
      <c r="H3506"/>
    </row>
    <row r="3507" spans="2:8" x14ac:dyDescent="0.35">
      <c r="B3507"/>
      <c r="C3507"/>
      <c r="H3507"/>
    </row>
    <row r="3508" spans="2:8" x14ac:dyDescent="0.35">
      <c r="B3508"/>
      <c r="C3508"/>
      <c r="H3508"/>
    </row>
    <row r="3509" spans="2:8" x14ac:dyDescent="0.35">
      <c r="B3509"/>
      <c r="C3509"/>
      <c r="H3509"/>
    </row>
    <row r="3510" spans="2:8" x14ac:dyDescent="0.35">
      <c r="B3510"/>
      <c r="C3510"/>
      <c r="H3510"/>
    </row>
    <row r="3511" spans="2:8" x14ac:dyDescent="0.35">
      <c r="B3511"/>
      <c r="C3511"/>
      <c r="H3511"/>
    </row>
    <row r="3512" spans="2:8" x14ac:dyDescent="0.35">
      <c r="B3512"/>
      <c r="C3512"/>
      <c r="H3512"/>
    </row>
    <row r="3513" spans="2:8" x14ac:dyDescent="0.35">
      <c r="B3513"/>
      <c r="C3513"/>
      <c r="H3513"/>
    </row>
    <row r="3514" spans="2:8" x14ac:dyDescent="0.35">
      <c r="B3514"/>
      <c r="C3514"/>
      <c r="H3514"/>
    </row>
    <row r="3515" spans="2:8" x14ac:dyDescent="0.35">
      <c r="B3515"/>
      <c r="C3515"/>
      <c r="H3515"/>
    </row>
    <row r="3516" spans="2:8" x14ac:dyDescent="0.35">
      <c r="B3516"/>
      <c r="C3516"/>
      <c r="H3516"/>
    </row>
    <row r="3517" spans="2:8" x14ac:dyDescent="0.35">
      <c r="B3517"/>
      <c r="C3517"/>
      <c r="H3517"/>
    </row>
    <row r="3518" spans="2:8" x14ac:dyDescent="0.35">
      <c r="B3518"/>
      <c r="C3518"/>
      <c r="H3518"/>
    </row>
    <row r="3519" spans="2:8" x14ac:dyDescent="0.35">
      <c r="B3519"/>
      <c r="C3519"/>
      <c r="H3519"/>
    </row>
    <row r="3520" spans="2:8" x14ac:dyDescent="0.35">
      <c r="B3520"/>
      <c r="C3520"/>
      <c r="H3520"/>
    </row>
    <row r="3521" spans="2:8" x14ac:dyDescent="0.35">
      <c r="B3521"/>
      <c r="C3521"/>
      <c r="H3521"/>
    </row>
    <row r="3522" spans="2:8" x14ac:dyDescent="0.35">
      <c r="B3522"/>
      <c r="C3522"/>
      <c r="H3522"/>
    </row>
    <row r="3523" spans="2:8" x14ac:dyDescent="0.35">
      <c r="B3523"/>
      <c r="C3523"/>
      <c r="H3523"/>
    </row>
    <row r="3524" spans="2:8" x14ac:dyDescent="0.35">
      <c r="B3524"/>
      <c r="C3524"/>
      <c r="H3524"/>
    </row>
    <row r="3525" spans="2:8" x14ac:dyDescent="0.35">
      <c r="B3525"/>
      <c r="C3525"/>
      <c r="H3525"/>
    </row>
    <row r="3526" spans="2:8" x14ac:dyDescent="0.35">
      <c r="B3526"/>
      <c r="C3526"/>
      <c r="H3526"/>
    </row>
    <row r="3527" spans="2:8" x14ac:dyDescent="0.35">
      <c r="B3527"/>
      <c r="C3527"/>
      <c r="H3527"/>
    </row>
    <row r="3528" spans="2:8" x14ac:dyDescent="0.35">
      <c r="B3528"/>
      <c r="C3528"/>
      <c r="H3528"/>
    </row>
    <row r="3529" spans="2:8" x14ac:dyDescent="0.35">
      <c r="B3529"/>
      <c r="C3529"/>
      <c r="H3529"/>
    </row>
    <row r="3530" spans="2:8" x14ac:dyDescent="0.35">
      <c r="B3530"/>
      <c r="C3530"/>
      <c r="H3530"/>
    </row>
    <row r="3531" spans="2:8" x14ac:dyDescent="0.35">
      <c r="B3531"/>
      <c r="C3531"/>
      <c r="H3531"/>
    </row>
    <row r="3532" spans="2:8" x14ac:dyDescent="0.35">
      <c r="B3532"/>
      <c r="C3532"/>
      <c r="H3532"/>
    </row>
    <row r="3533" spans="2:8" x14ac:dyDescent="0.35">
      <c r="B3533"/>
      <c r="C3533"/>
      <c r="H3533"/>
    </row>
    <row r="3534" spans="2:8" x14ac:dyDescent="0.35">
      <c r="B3534"/>
      <c r="C3534"/>
      <c r="H3534"/>
    </row>
    <row r="3535" spans="2:8" x14ac:dyDescent="0.35">
      <c r="B3535"/>
      <c r="C3535"/>
      <c r="H3535"/>
    </row>
    <row r="3536" spans="2:8" x14ac:dyDescent="0.35">
      <c r="B3536"/>
      <c r="C3536"/>
      <c r="H3536"/>
    </row>
    <row r="3537" spans="2:8" x14ac:dyDescent="0.35">
      <c r="B3537"/>
      <c r="C3537"/>
      <c r="H3537"/>
    </row>
    <row r="3538" spans="2:8" x14ac:dyDescent="0.35">
      <c r="B3538"/>
      <c r="C3538"/>
      <c r="H3538"/>
    </row>
    <row r="3539" spans="2:8" x14ac:dyDescent="0.35">
      <c r="B3539"/>
      <c r="C3539"/>
      <c r="H3539"/>
    </row>
    <row r="3540" spans="2:8" x14ac:dyDescent="0.35">
      <c r="B3540"/>
      <c r="C3540"/>
      <c r="H3540"/>
    </row>
    <row r="3541" spans="2:8" x14ac:dyDescent="0.35">
      <c r="B3541"/>
      <c r="C3541"/>
      <c r="H3541"/>
    </row>
    <row r="3542" spans="2:8" x14ac:dyDescent="0.35">
      <c r="B3542"/>
      <c r="C3542"/>
      <c r="H3542"/>
    </row>
    <row r="3543" spans="2:8" x14ac:dyDescent="0.35">
      <c r="B3543"/>
      <c r="C3543"/>
      <c r="H3543"/>
    </row>
    <row r="3544" spans="2:8" x14ac:dyDescent="0.35">
      <c r="B3544"/>
      <c r="C3544"/>
      <c r="H3544"/>
    </row>
    <row r="3545" spans="2:8" x14ac:dyDescent="0.35">
      <c r="B3545"/>
      <c r="C3545"/>
      <c r="H3545"/>
    </row>
    <row r="3546" spans="2:8" x14ac:dyDescent="0.35">
      <c r="B3546"/>
      <c r="C3546"/>
      <c r="H3546"/>
    </row>
    <row r="3547" spans="2:8" x14ac:dyDescent="0.35">
      <c r="B3547"/>
      <c r="C3547"/>
      <c r="H3547"/>
    </row>
    <row r="3548" spans="2:8" x14ac:dyDescent="0.35">
      <c r="B3548"/>
      <c r="C3548"/>
      <c r="H3548"/>
    </row>
    <row r="3549" spans="2:8" x14ac:dyDescent="0.35">
      <c r="B3549"/>
      <c r="C3549"/>
      <c r="H3549"/>
    </row>
    <row r="3550" spans="2:8" x14ac:dyDescent="0.35">
      <c r="B3550"/>
      <c r="C3550"/>
      <c r="H3550"/>
    </row>
    <row r="3551" spans="2:8" x14ac:dyDescent="0.35">
      <c r="B3551"/>
      <c r="C3551"/>
      <c r="H3551"/>
    </row>
    <row r="3552" spans="2:8" x14ac:dyDescent="0.35">
      <c r="B3552"/>
      <c r="C3552"/>
      <c r="H3552"/>
    </row>
    <row r="3553" spans="2:8" x14ac:dyDescent="0.35">
      <c r="B3553"/>
      <c r="C3553"/>
      <c r="H3553"/>
    </row>
    <row r="3554" spans="2:8" x14ac:dyDescent="0.35">
      <c r="B3554"/>
      <c r="C3554"/>
      <c r="H3554"/>
    </row>
    <row r="3555" spans="2:8" x14ac:dyDescent="0.35">
      <c r="B3555"/>
      <c r="C3555"/>
      <c r="H3555"/>
    </row>
    <row r="3556" spans="2:8" x14ac:dyDescent="0.35">
      <c r="B3556"/>
      <c r="C3556"/>
      <c r="H3556"/>
    </row>
    <row r="3557" spans="2:8" x14ac:dyDescent="0.35">
      <c r="B3557"/>
      <c r="C3557"/>
      <c r="H3557"/>
    </row>
    <row r="3558" spans="2:8" x14ac:dyDescent="0.35">
      <c r="B3558"/>
      <c r="C3558"/>
      <c r="H3558"/>
    </row>
    <row r="3559" spans="2:8" x14ac:dyDescent="0.35">
      <c r="B3559"/>
      <c r="C3559"/>
      <c r="H3559"/>
    </row>
    <row r="3560" spans="2:8" x14ac:dyDescent="0.35">
      <c r="B3560"/>
      <c r="C3560"/>
      <c r="H3560"/>
    </row>
    <row r="3561" spans="2:8" x14ac:dyDescent="0.35">
      <c r="B3561"/>
      <c r="C3561"/>
      <c r="H3561"/>
    </row>
    <row r="3562" spans="2:8" x14ac:dyDescent="0.35">
      <c r="B3562"/>
      <c r="C3562"/>
      <c r="H3562"/>
    </row>
    <row r="3563" spans="2:8" x14ac:dyDescent="0.35">
      <c r="B3563"/>
      <c r="C3563"/>
      <c r="H3563"/>
    </row>
    <row r="3564" spans="2:8" x14ac:dyDescent="0.35">
      <c r="B3564"/>
      <c r="C3564"/>
      <c r="H3564"/>
    </row>
    <row r="3565" spans="2:8" x14ac:dyDescent="0.35">
      <c r="B3565"/>
      <c r="C3565"/>
      <c r="H3565"/>
    </row>
    <row r="3566" spans="2:8" x14ac:dyDescent="0.35">
      <c r="B3566"/>
      <c r="C3566"/>
      <c r="H3566"/>
    </row>
    <row r="3567" spans="2:8" x14ac:dyDescent="0.35">
      <c r="B3567"/>
      <c r="C3567"/>
      <c r="H3567"/>
    </row>
    <row r="3568" spans="2:8" x14ac:dyDescent="0.35">
      <c r="B3568"/>
      <c r="C3568"/>
      <c r="H3568"/>
    </row>
    <row r="3569" spans="2:8" x14ac:dyDescent="0.35">
      <c r="B3569"/>
      <c r="C3569"/>
      <c r="H3569"/>
    </row>
    <row r="3570" spans="2:8" x14ac:dyDescent="0.35">
      <c r="B3570"/>
      <c r="C3570"/>
      <c r="H3570"/>
    </row>
    <row r="3571" spans="2:8" x14ac:dyDescent="0.35">
      <c r="B3571"/>
      <c r="C3571"/>
      <c r="H3571"/>
    </row>
    <row r="3572" spans="2:8" x14ac:dyDescent="0.35">
      <c r="B3572"/>
      <c r="C3572"/>
      <c r="H3572"/>
    </row>
    <row r="3573" spans="2:8" x14ac:dyDescent="0.35">
      <c r="B3573"/>
      <c r="C3573"/>
      <c r="H3573"/>
    </row>
    <row r="3574" spans="2:8" x14ac:dyDescent="0.35">
      <c r="B3574"/>
      <c r="C3574"/>
      <c r="H3574"/>
    </row>
    <row r="3575" spans="2:8" x14ac:dyDescent="0.35">
      <c r="B3575"/>
      <c r="C3575"/>
      <c r="H3575"/>
    </row>
    <row r="3576" spans="2:8" x14ac:dyDescent="0.35">
      <c r="B3576"/>
      <c r="C3576"/>
      <c r="H3576"/>
    </row>
    <row r="3577" spans="2:8" x14ac:dyDescent="0.35">
      <c r="B3577"/>
      <c r="C3577"/>
      <c r="H3577"/>
    </row>
    <row r="3578" spans="2:8" x14ac:dyDescent="0.35">
      <c r="B3578"/>
      <c r="C3578"/>
      <c r="H3578"/>
    </row>
    <row r="3579" spans="2:8" x14ac:dyDescent="0.35">
      <c r="B3579"/>
      <c r="C3579"/>
      <c r="H3579"/>
    </row>
    <row r="3580" spans="2:8" x14ac:dyDescent="0.35">
      <c r="B3580"/>
      <c r="C3580"/>
      <c r="H3580"/>
    </row>
    <row r="3581" spans="2:8" x14ac:dyDescent="0.35">
      <c r="B3581"/>
      <c r="C3581"/>
      <c r="H3581"/>
    </row>
    <row r="3582" spans="2:8" x14ac:dyDescent="0.35">
      <c r="B3582"/>
      <c r="C3582"/>
      <c r="H3582"/>
    </row>
    <row r="3583" spans="2:8" x14ac:dyDescent="0.35">
      <c r="B3583"/>
      <c r="C3583"/>
      <c r="H3583"/>
    </row>
    <row r="3584" spans="2:8" x14ac:dyDescent="0.35">
      <c r="B3584"/>
      <c r="C3584"/>
      <c r="H3584"/>
    </row>
    <row r="3585" spans="2:8" x14ac:dyDescent="0.35">
      <c r="B3585"/>
      <c r="C3585"/>
      <c r="H3585"/>
    </row>
    <row r="3586" spans="2:8" x14ac:dyDescent="0.35">
      <c r="B3586"/>
      <c r="C3586"/>
      <c r="H3586"/>
    </row>
    <row r="3587" spans="2:8" x14ac:dyDescent="0.35">
      <c r="B3587"/>
      <c r="C3587"/>
      <c r="H3587"/>
    </row>
    <row r="3588" spans="2:8" x14ac:dyDescent="0.35">
      <c r="B3588"/>
      <c r="C3588"/>
      <c r="H3588"/>
    </row>
    <row r="3589" spans="2:8" x14ac:dyDescent="0.35">
      <c r="B3589"/>
      <c r="C3589"/>
      <c r="H3589"/>
    </row>
    <row r="3590" spans="2:8" x14ac:dyDescent="0.35">
      <c r="B3590"/>
      <c r="C3590"/>
      <c r="H3590"/>
    </row>
    <row r="3591" spans="2:8" x14ac:dyDescent="0.35">
      <c r="B3591"/>
      <c r="C3591"/>
      <c r="H3591"/>
    </row>
    <row r="3592" spans="2:8" x14ac:dyDescent="0.35">
      <c r="B3592"/>
      <c r="C3592"/>
      <c r="H3592"/>
    </row>
    <row r="3593" spans="2:8" x14ac:dyDescent="0.35">
      <c r="B3593"/>
      <c r="C3593"/>
      <c r="H3593"/>
    </row>
    <row r="3594" spans="2:8" x14ac:dyDescent="0.35">
      <c r="B3594"/>
      <c r="C3594"/>
      <c r="H3594"/>
    </row>
    <row r="3595" spans="2:8" x14ac:dyDescent="0.35">
      <c r="B3595"/>
      <c r="C3595"/>
      <c r="H3595"/>
    </row>
    <row r="3596" spans="2:8" x14ac:dyDescent="0.35">
      <c r="B3596"/>
      <c r="C3596"/>
      <c r="H3596"/>
    </row>
    <row r="3597" spans="2:8" x14ac:dyDescent="0.35">
      <c r="B3597"/>
      <c r="C3597"/>
      <c r="H3597"/>
    </row>
    <row r="3598" spans="2:8" x14ac:dyDescent="0.35">
      <c r="B3598"/>
      <c r="C3598"/>
      <c r="H3598"/>
    </row>
    <row r="3599" spans="2:8" x14ac:dyDescent="0.35">
      <c r="B3599"/>
      <c r="C3599"/>
      <c r="H3599"/>
    </row>
    <row r="3600" spans="2:8" x14ac:dyDescent="0.35">
      <c r="B3600"/>
      <c r="C3600"/>
      <c r="H3600"/>
    </row>
    <row r="3601" spans="2:8" x14ac:dyDescent="0.35">
      <c r="B3601"/>
      <c r="C3601"/>
      <c r="H3601"/>
    </row>
    <row r="3602" spans="2:8" x14ac:dyDescent="0.35">
      <c r="B3602"/>
      <c r="C3602"/>
      <c r="H3602"/>
    </row>
    <row r="3603" spans="2:8" x14ac:dyDescent="0.35">
      <c r="B3603"/>
      <c r="C3603"/>
      <c r="H3603"/>
    </row>
    <row r="3604" spans="2:8" x14ac:dyDescent="0.35">
      <c r="B3604"/>
      <c r="C3604"/>
      <c r="H3604"/>
    </row>
    <row r="3605" spans="2:8" x14ac:dyDescent="0.35">
      <c r="B3605"/>
      <c r="C3605"/>
      <c r="H3605"/>
    </row>
    <row r="3606" spans="2:8" x14ac:dyDescent="0.35">
      <c r="B3606"/>
      <c r="C3606"/>
      <c r="H3606"/>
    </row>
    <row r="3607" spans="2:8" x14ac:dyDescent="0.35">
      <c r="B3607"/>
      <c r="C3607"/>
      <c r="H3607"/>
    </row>
    <row r="3608" spans="2:8" x14ac:dyDescent="0.35">
      <c r="B3608"/>
      <c r="C3608"/>
      <c r="H3608"/>
    </row>
    <row r="3609" spans="2:8" x14ac:dyDescent="0.35">
      <c r="B3609"/>
      <c r="C3609"/>
      <c r="H3609"/>
    </row>
    <row r="3610" spans="2:8" x14ac:dyDescent="0.35">
      <c r="B3610"/>
      <c r="C3610"/>
      <c r="H3610"/>
    </row>
    <row r="3611" spans="2:8" x14ac:dyDescent="0.35">
      <c r="B3611"/>
      <c r="C3611"/>
      <c r="H3611"/>
    </row>
    <row r="3612" spans="2:8" x14ac:dyDescent="0.35">
      <c r="B3612"/>
      <c r="C3612"/>
      <c r="H3612"/>
    </row>
    <row r="3613" spans="2:8" x14ac:dyDescent="0.35">
      <c r="B3613"/>
      <c r="C3613"/>
      <c r="H3613"/>
    </row>
    <row r="3614" spans="2:8" x14ac:dyDescent="0.35">
      <c r="B3614"/>
      <c r="C3614"/>
      <c r="H3614"/>
    </row>
    <row r="3615" spans="2:8" x14ac:dyDescent="0.35">
      <c r="B3615"/>
      <c r="C3615"/>
      <c r="H3615"/>
    </row>
    <row r="3616" spans="2:8" x14ac:dyDescent="0.35">
      <c r="B3616"/>
      <c r="C3616"/>
      <c r="H3616"/>
    </row>
    <row r="3617" spans="2:8" x14ac:dyDescent="0.35">
      <c r="B3617"/>
      <c r="C3617"/>
      <c r="H3617"/>
    </row>
    <row r="3618" spans="2:8" x14ac:dyDescent="0.35">
      <c r="B3618"/>
      <c r="C3618"/>
      <c r="H3618"/>
    </row>
    <row r="3619" spans="2:8" x14ac:dyDescent="0.35">
      <c r="B3619"/>
      <c r="C3619"/>
      <c r="H3619"/>
    </row>
    <row r="3620" spans="2:8" x14ac:dyDescent="0.35">
      <c r="B3620"/>
      <c r="C3620"/>
      <c r="H3620"/>
    </row>
    <row r="3621" spans="2:8" x14ac:dyDescent="0.35">
      <c r="B3621"/>
      <c r="C3621"/>
      <c r="H3621"/>
    </row>
    <row r="3622" spans="2:8" x14ac:dyDescent="0.35">
      <c r="B3622"/>
      <c r="C3622"/>
      <c r="H3622"/>
    </row>
    <row r="3623" spans="2:8" x14ac:dyDescent="0.35">
      <c r="B3623"/>
      <c r="C3623"/>
      <c r="H3623"/>
    </row>
    <row r="3624" spans="2:8" x14ac:dyDescent="0.35">
      <c r="B3624"/>
      <c r="C3624"/>
      <c r="H3624"/>
    </row>
    <row r="3625" spans="2:8" x14ac:dyDescent="0.35">
      <c r="B3625"/>
      <c r="C3625"/>
      <c r="H3625"/>
    </row>
    <row r="3626" spans="2:8" x14ac:dyDescent="0.35">
      <c r="B3626"/>
      <c r="C3626"/>
      <c r="H3626"/>
    </row>
    <row r="3627" spans="2:8" x14ac:dyDescent="0.35">
      <c r="B3627"/>
      <c r="C3627"/>
      <c r="H3627"/>
    </row>
    <row r="3628" spans="2:8" x14ac:dyDescent="0.35">
      <c r="B3628"/>
      <c r="C3628"/>
      <c r="H3628"/>
    </row>
    <row r="3629" spans="2:8" x14ac:dyDescent="0.35">
      <c r="B3629"/>
      <c r="C3629"/>
      <c r="H3629"/>
    </row>
    <row r="3630" spans="2:8" x14ac:dyDescent="0.35">
      <c r="B3630"/>
      <c r="C3630"/>
      <c r="H3630"/>
    </row>
    <row r="3631" spans="2:8" x14ac:dyDescent="0.35">
      <c r="B3631"/>
      <c r="C3631"/>
      <c r="H3631"/>
    </row>
    <row r="3632" spans="2:8" x14ac:dyDescent="0.35">
      <c r="B3632"/>
      <c r="C3632"/>
      <c r="H3632"/>
    </row>
    <row r="3633" spans="2:8" x14ac:dyDescent="0.35">
      <c r="B3633"/>
      <c r="C3633"/>
      <c r="H3633"/>
    </row>
    <row r="3634" spans="2:8" x14ac:dyDescent="0.35">
      <c r="B3634"/>
      <c r="C3634"/>
      <c r="H3634"/>
    </row>
    <row r="3635" spans="2:8" x14ac:dyDescent="0.35">
      <c r="B3635"/>
      <c r="C3635"/>
      <c r="H3635"/>
    </row>
    <row r="3636" spans="2:8" x14ac:dyDescent="0.35">
      <c r="B3636"/>
      <c r="C3636"/>
      <c r="H3636"/>
    </row>
    <row r="3637" spans="2:8" x14ac:dyDescent="0.35">
      <c r="B3637"/>
      <c r="C3637"/>
      <c r="H3637"/>
    </row>
    <row r="3638" spans="2:8" x14ac:dyDescent="0.35">
      <c r="B3638"/>
      <c r="C3638"/>
      <c r="H3638"/>
    </row>
    <row r="3639" spans="2:8" x14ac:dyDescent="0.35">
      <c r="B3639"/>
      <c r="C3639"/>
      <c r="H3639"/>
    </row>
    <row r="3640" spans="2:8" x14ac:dyDescent="0.35">
      <c r="B3640"/>
      <c r="C3640"/>
      <c r="H3640"/>
    </row>
    <row r="3641" spans="2:8" x14ac:dyDescent="0.35">
      <c r="B3641"/>
      <c r="C3641"/>
      <c r="H3641"/>
    </row>
    <row r="3642" spans="2:8" x14ac:dyDescent="0.35">
      <c r="B3642"/>
      <c r="C3642"/>
      <c r="H3642"/>
    </row>
    <row r="3643" spans="2:8" x14ac:dyDescent="0.35">
      <c r="B3643"/>
      <c r="C3643"/>
      <c r="H3643"/>
    </row>
    <row r="3644" spans="2:8" x14ac:dyDescent="0.35">
      <c r="B3644"/>
      <c r="C3644"/>
      <c r="H3644"/>
    </row>
    <row r="3645" spans="2:8" x14ac:dyDescent="0.35">
      <c r="B3645"/>
      <c r="C3645"/>
      <c r="H3645"/>
    </row>
    <row r="3646" spans="2:8" x14ac:dyDescent="0.35">
      <c r="B3646"/>
      <c r="C3646"/>
      <c r="H3646"/>
    </row>
    <row r="3647" spans="2:8" x14ac:dyDescent="0.35">
      <c r="B3647"/>
      <c r="C3647"/>
      <c r="H3647"/>
    </row>
    <row r="3648" spans="2:8" x14ac:dyDescent="0.35">
      <c r="B3648"/>
      <c r="C3648"/>
      <c r="H3648"/>
    </row>
    <row r="3649" spans="2:8" x14ac:dyDescent="0.35">
      <c r="B3649"/>
      <c r="C3649"/>
      <c r="H3649"/>
    </row>
    <row r="3650" spans="2:8" x14ac:dyDescent="0.35">
      <c r="B3650"/>
      <c r="C3650"/>
      <c r="H3650"/>
    </row>
    <row r="3651" spans="2:8" x14ac:dyDescent="0.35">
      <c r="B3651"/>
      <c r="C3651"/>
      <c r="H3651"/>
    </row>
    <row r="3652" spans="2:8" x14ac:dyDescent="0.35">
      <c r="B3652"/>
      <c r="C3652"/>
      <c r="H3652"/>
    </row>
    <row r="3653" spans="2:8" x14ac:dyDescent="0.35">
      <c r="B3653"/>
      <c r="C3653"/>
      <c r="H3653"/>
    </row>
    <row r="3654" spans="2:8" x14ac:dyDescent="0.35">
      <c r="B3654"/>
      <c r="C3654"/>
      <c r="H3654"/>
    </row>
    <row r="3655" spans="2:8" x14ac:dyDescent="0.35">
      <c r="B3655"/>
      <c r="C3655"/>
      <c r="H3655"/>
    </row>
    <row r="3656" spans="2:8" x14ac:dyDescent="0.35">
      <c r="B3656"/>
      <c r="C3656"/>
      <c r="H3656"/>
    </row>
    <row r="3657" spans="2:8" x14ac:dyDescent="0.35">
      <c r="B3657"/>
      <c r="C3657"/>
      <c r="H3657"/>
    </row>
    <row r="3658" spans="2:8" x14ac:dyDescent="0.35">
      <c r="B3658"/>
      <c r="C3658"/>
      <c r="H3658"/>
    </row>
    <row r="3659" spans="2:8" x14ac:dyDescent="0.35">
      <c r="B3659"/>
      <c r="C3659"/>
      <c r="H3659"/>
    </row>
    <row r="3660" spans="2:8" x14ac:dyDescent="0.35">
      <c r="B3660"/>
      <c r="C3660"/>
      <c r="H3660"/>
    </row>
    <row r="3661" spans="2:8" x14ac:dyDescent="0.35">
      <c r="B3661"/>
      <c r="C3661"/>
      <c r="H3661"/>
    </row>
    <row r="3662" spans="2:8" x14ac:dyDescent="0.35">
      <c r="B3662"/>
      <c r="C3662"/>
      <c r="H3662"/>
    </row>
    <row r="3663" spans="2:8" x14ac:dyDescent="0.35">
      <c r="B3663"/>
      <c r="C3663"/>
      <c r="H3663"/>
    </row>
    <row r="3664" spans="2:8" x14ac:dyDescent="0.35">
      <c r="B3664"/>
      <c r="C3664"/>
      <c r="H3664"/>
    </row>
    <row r="3665" spans="2:8" x14ac:dyDescent="0.35">
      <c r="B3665"/>
      <c r="C3665"/>
      <c r="H3665"/>
    </row>
    <row r="3666" spans="2:8" x14ac:dyDescent="0.35">
      <c r="B3666"/>
      <c r="C3666"/>
      <c r="H3666"/>
    </row>
    <row r="3667" spans="2:8" x14ac:dyDescent="0.35">
      <c r="B3667"/>
      <c r="C3667"/>
      <c r="H3667"/>
    </row>
    <row r="3668" spans="2:8" x14ac:dyDescent="0.35">
      <c r="B3668"/>
      <c r="C3668"/>
      <c r="H3668"/>
    </row>
    <row r="3669" spans="2:8" x14ac:dyDescent="0.35">
      <c r="B3669"/>
      <c r="C3669"/>
      <c r="H3669"/>
    </row>
    <row r="3670" spans="2:8" x14ac:dyDescent="0.35">
      <c r="B3670"/>
      <c r="C3670"/>
      <c r="H3670"/>
    </row>
    <row r="3671" spans="2:8" x14ac:dyDescent="0.35">
      <c r="B3671"/>
      <c r="C3671"/>
      <c r="H3671"/>
    </row>
    <row r="3672" spans="2:8" x14ac:dyDescent="0.35">
      <c r="B3672"/>
      <c r="C3672"/>
      <c r="H3672"/>
    </row>
    <row r="3673" spans="2:8" x14ac:dyDescent="0.35">
      <c r="B3673"/>
      <c r="C3673"/>
      <c r="H3673"/>
    </row>
    <row r="3674" spans="2:8" x14ac:dyDescent="0.35">
      <c r="B3674"/>
      <c r="C3674"/>
      <c r="H3674"/>
    </row>
    <row r="3675" spans="2:8" x14ac:dyDescent="0.35">
      <c r="B3675"/>
      <c r="C3675"/>
      <c r="H3675"/>
    </row>
    <row r="3676" spans="2:8" x14ac:dyDescent="0.35">
      <c r="B3676"/>
      <c r="C3676"/>
      <c r="H3676"/>
    </row>
    <row r="3677" spans="2:8" x14ac:dyDescent="0.35">
      <c r="B3677"/>
      <c r="C3677"/>
      <c r="H3677"/>
    </row>
    <row r="3678" spans="2:8" x14ac:dyDescent="0.35">
      <c r="B3678"/>
      <c r="C3678"/>
      <c r="H3678"/>
    </row>
    <row r="3679" spans="2:8" x14ac:dyDescent="0.35">
      <c r="B3679"/>
      <c r="C3679"/>
      <c r="H3679"/>
    </row>
    <row r="3680" spans="2:8" x14ac:dyDescent="0.35">
      <c r="B3680"/>
      <c r="C3680"/>
      <c r="H3680"/>
    </row>
    <row r="3681" spans="2:8" x14ac:dyDescent="0.35">
      <c r="B3681"/>
      <c r="C3681"/>
      <c r="H3681"/>
    </row>
    <row r="3682" spans="2:8" x14ac:dyDescent="0.35">
      <c r="B3682"/>
      <c r="C3682"/>
      <c r="H3682"/>
    </row>
    <row r="3683" spans="2:8" x14ac:dyDescent="0.35">
      <c r="B3683"/>
      <c r="C3683"/>
      <c r="H3683"/>
    </row>
    <row r="3684" spans="2:8" x14ac:dyDescent="0.35">
      <c r="B3684"/>
      <c r="C3684"/>
      <c r="H3684"/>
    </row>
    <row r="3685" spans="2:8" x14ac:dyDescent="0.35">
      <c r="B3685"/>
      <c r="C3685"/>
      <c r="H3685"/>
    </row>
    <row r="3686" spans="2:8" x14ac:dyDescent="0.35">
      <c r="B3686"/>
      <c r="C3686"/>
      <c r="H3686"/>
    </row>
    <row r="3687" spans="2:8" x14ac:dyDescent="0.35">
      <c r="B3687"/>
      <c r="C3687"/>
      <c r="H3687"/>
    </row>
    <row r="3688" spans="2:8" x14ac:dyDescent="0.35">
      <c r="B3688"/>
      <c r="C3688"/>
      <c r="H3688"/>
    </row>
    <row r="3689" spans="2:8" x14ac:dyDescent="0.35">
      <c r="B3689"/>
      <c r="C3689"/>
      <c r="H3689"/>
    </row>
    <row r="3690" spans="2:8" x14ac:dyDescent="0.35">
      <c r="B3690"/>
      <c r="C3690"/>
      <c r="H3690"/>
    </row>
    <row r="3691" spans="2:8" x14ac:dyDescent="0.35">
      <c r="B3691"/>
      <c r="C3691"/>
      <c r="H3691"/>
    </row>
    <row r="3692" spans="2:8" x14ac:dyDescent="0.35">
      <c r="B3692"/>
      <c r="C3692"/>
      <c r="H3692"/>
    </row>
    <row r="3693" spans="2:8" x14ac:dyDescent="0.35">
      <c r="B3693"/>
      <c r="C3693"/>
      <c r="H3693"/>
    </row>
    <row r="3694" spans="2:8" x14ac:dyDescent="0.35">
      <c r="B3694"/>
      <c r="C3694"/>
      <c r="H3694"/>
    </row>
    <row r="3695" spans="2:8" x14ac:dyDescent="0.35">
      <c r="B3695"/>
      <c r="C3695"/>
      <c r="H3695"/>
    </row>
    <row r="3696" spans="2:8" x14ac:dyDescent="0.35">
      <c r="B3696"/>
      <c r="C3696"/>
      <c r="H3696"/>
    </row>
    <row r="3697" spans="2:8" x14ac:dyDescent="0.35">
      <c r="B3697"/>
      <c r="C3697"/>
      <c r="H3697"/>
    </row>
    <row r="3698" spans="2:8" x14ac:dyDescent="0.35">
      <c r="B3698"/>
      <c r="C3698"/>
      <c r="H3698"/>
    </row>
    <row r="3699" spans="2:8" x14ac:dyDescent="0.35">
      <c r="B3699"/>
      <c r="C3699"/>
      <c r="H3699"/>
    </row>
    <row r="3700" spans="2:8" x14ac:dyDescent="0.35">
      <c r="B3700"/>
      <c r="C3700"/>
      <c r="H3700"/>
    </row>
    <row r="3701" spans="2:8" x14ac:dyDescent="0.35">
      <c r="B3701"/>
      <c r="C3701"/>
      <c r="H3701"/>
    </row>
    <row r="3702" spans="2:8" x14ac:dyDescent="0.35">
      <c r="B3702"/>
      <c r="C3702"/>
      <c r="H3702"/>
    </row>
    <row r="3703" spans="2:8" x14ac:dyDescent="0.35">
      <c r="B3703"/>
      <c r="C3703"/>
      <c r="H3703"/>
    </row>
    <row r="3704" spans="2:8" x14ac:dyDescent="0.35">
      <c r="B3704"/>
      <c r="C3704"/>
      <c r="H3704"/>
    </row>
    <row r="3705" spans="2:8" x14ac:dyDescent="0.35">
      <c r="B3705"/>
      <c r="C3705"/>
      <c r="H3705"/>
    </row>
    <row r="3706" spans="2:8" x14ac:dyDescent="0.35">
      <c r="B3706"/>
      <c r="C3706"/>
      <c r="H3706"/>
    </row>
    <row r="3707" spans="2:8" x14ac:dyDescent="0.35">
      <c r="B3707"/>
      <c r="C3707"/>
      <c r="H3707"/>
    </row>
    <row r="3708" spans="2:8" x14ac:dyDescent="0.35">
      <c r="B3708"/>
      <c r="C3708"/>
      <c r="H3708"/>
    </row>
    <row r="3709" spans="2:8" x14ac:dyDescent="0.35">
      <c r="B3709"/>
      <c r="C3709"/>
      <c r="H3709"/>
    </row>
    <row r="3710" spans="2:8" x14ac:dyDescent="0.35">
      <c r="B3710"/>
      <c r="C3710"/>
      <c r="H3710"/>
    </row>
    <row r="3711" spans="2:8" x14ac:dyDescent="0.35">
      <c r="B3711"/>
      <c r="C3711"/>
      <c r="H3711"/>
    </row>
    <row r="3712" spans="2:8" x14ac:dyDescent="0.35">
      <c r="B3712"/>
      <c r="C3712"/>
      <c r="H3712"/>
    </row>
    <row r="3713" spans="2:8" x14ac:dyDescent="0.35">
      <c r="B3713"/>
      <c r="C3713"/>
      <c r="H3713"/>
    </row>
    <row r="3714" spans="2:8" x14ac:dyDescent="0.35">
      <c r="B3714"/>
      <c r="C3714"/>
      <c r="H3714"/>
    </row>
    <row r="3715" spans="2:8" x14ac:dyDescent="0.35">
      <c r="B3715"/>
      <c r="C3715"/>
      <c r="H3715"/>
    </row>
    <row r="3716" spans="2:8" x14ac:dyDescent="0.35">
      <c r="B3716"/>
      <c r="C3716"/>
      <c r="H3716"/>
    </row>
    <row r="3717" spans="2:8" x14ac:dyDescent="0.35">
      <c r="B3717"/>
      <c r="C3717"/>
      <c r="H3717"/>
    </row>
    <row r="3718" spans="2:8" x14ac:dyDescent="0.35">
      <c r="B3718"/>
      <c r="C3718"/>
      <c r="H3718"/>
    </row>
    <row r="3719" spans="2:8" x14ac:dyDescent="0.35">
      <c r="B3719"/>
      <c r="C3719"/>
      <c r="H3719"/>
    </row>
    <row r="3720" spans="2:8" x14ac:dyDescent="0.35">
      <c r="B3720"/>
      <c r="C3720"/>
      <c r="H3720"/>
    </row>
    <row r="3721" spans="2:8" x14ac:dyDescent="0.35">
      <c r="B3721"/>
      <c r="C3721"/>
      <c r="H3721"/>
    </row>
    <row r="3722" spans="2:8" x14ac:dyDescent="0.35">
      <c r="B3722"/>
      <c r="C3722"/>
      <c r="H3722"/>
    </row>
    <row r="3723" spans="2:8" x14ac:dyDescent="0.35">
      <c r="B3723"/>
      <c r="C3723"/>
      <c r="H3723"/>
    </row>
    <row r="3724" spans="2:8" x14ac:dyDescent="0.35">
      <c r="B3724"/>
      <c r="C3724"/>
      <c r="H3724"/>
    </row>
    <row r="3725" spans="2:8" x14ac:dyDescent="0.35">
      <c r="B3725"/>
      <c r="C3725"/>
      <c r="H3725"/>
    </row>
    <row r="3726" spans="2:8" x14ac:dyDescent="0.35">
      <c r="B3726"/>
      <c r="C3726"/>
      <c r="H3726"/>
    </row>
    <row r="3727" spans="2:8" x14ac:dyDescent="0.35">
      <c r="B3727"/>
      <c r="C3727"/>
      <c r="H3727"/>
    </row>
    <row r="3728" spans="2:8" x14ac:dyDescent="0.35">
      <c r="B3728"/>
      <c r="C3728"/>
      <c r="H3728"/>
    </row>
    <row r="3729" spans="2:8" x14ac:dyDescent="0.35">
      <c r="B3729"/>
      <c r="C3729"/>
      <c r="H3729"/>
    </row>
    <row r="3730" spans="2:8" x14ac:dyDescent="0.35">
      <c r="B3730"/>
      <c r="C3730"/>
      <c r="H3730"/>
    </row>
    <row r="3731" spans="2:8" x14ac:dyDescent="0.35">
      <c r="B3731"/>
      <c r="C3731"/>
      <c r="H3731"/>
    </row>
    <row r="3732" spans="2:8" x14ac:dyDescent="0.35">
      <c r="B3732"/>
      <c r="C3732"/>
      <c r="H3732"/>
    </row>
    <row r="3733" spans="2:8" x14ac:dyDescent="0.35">
      <c r="B3733"/>
      <c r="C3733"/>
      <c r="H3733"/>
    </row>
    <row r="3734" spans="2:8" x14ac:dyDescent="0.35">
      <c r="B3734"/>
      <c r="C3734"/>
      <c r="H3734"/>
    </row>
    <row r="3735" spans="2:8" x14ac:dyDescent="0.35">
      <c r="B3735"/>
      <c r="C3735"/>
      <c r="H3735"/>
    </row>
    <row r="3736" spans="2:8" x14ac:dyDescent="0.35">
      <c r="B3736"/>
      <c r="C3736"/>
      <c r="H3736"/>
    </row>
    <row r="3737" spans="2:8" x14ac:dyDescent="0.35">
      <c r="B3737"/>
      <c r="C3737"/>
      <c r="H3737"/>
    </row>
    <row r="3738" spans="2:8" x14ac:dyDescent="0.35">
      <c r="B3738"/>
      <c r="C3738"/>
      <c r="H3738"/>
    </row>
    <row r="3739" spans="2:8" x14ac:dyDescent="0.35">
      <c r="B3739"/>
      <c r="C3739"/>
      <c r="H3739"/>
    </row>
    <row r="3740" spans="2:8" x14ac:dyDescent="0.35">
      <c r="B3740"/>
      <c r="C3740"/>
      <c r="H3740"/>
    </row>
    <row r="3741" spans="2:8" x14ac:dyDescent="0.35">
      <c r="B3741"/>
      <c r="C3741"/>
      <c r="H3741"/>
    </row>
    <row r="3742" spans="2:8" x14ac:dyDescent="0.35">
      <c r="B3742"/>
      <c r="C3742"/>
      <c r="H3742"/>
    </row>
    <row r="3743" spans="2:8" x14ac:dyDescent="0.35">
      <c r="B3743"/>
      <c r="C3743"/>
      <c r="H3743"/>
    </row>
    <row r="3744" spans="2:8" x14ac:dyDescent="0.35">
      <c r="B3744"/>
      <c r="C3744"/>
      <c r="H3744"/>
    </row>
    <row r="3745" spans="2:8" x14ac:dyDescent="0.35">
      <c r="B3745"/>
      <c r="C3745"/>
      <c r="H3745"/>
    </row>
    <row r="3746" spans="2:8" x14ac:dyDescent="0.35">
      <c r="B3746"/>
      <c r="C3746"/>
      <c r="H3746"/>
    </row>
    <row r="3747" spans="2:8" x14ac:dyDescent="0.35">
      <c r="B3747"/>
      <c r="C3747"/>
      <c r="H3747"/>
    </row>
    <row r="3748" spans="2:8" x14ac:dyDescent="0.35">
      <c r="B3748"/>
      <c r="C3748"/>
      <c r="H3748"/>
    </row>
    <row r="3749" spans="2:8" x14ac:dyDescent="0.35">
      <c r="B3749"/>
      <c r="C3749"/>
      <c r="H3749"/>
    </row>
    <row r="3750" spans="2:8" x14ac:dyDescent="0.35">
      <c r="B3750"/>
      <c r="C3750"/>
      <c r="H3750"/>
    </row>
    <row r="3751" spans="2:8" x14ac:dyDescent="0.35">
      <c r="B3751"/>
      <c r="C3751"/>
      <c r="H3751"/>
    </row>
    <row r="3752" spans="2:8" x14ac:dyDescent="0.35">
      <c r="B3752"/>
      <c r="C3752"/>
      <c r="H3752"/>
    </row>
    <row r="3753" spans="2:8" x14ac:dyDescent="0.35">
      <c r="B3753"/>
      <c r="C3753"/>
      <c r="H3753"/>
    </row>
    <row r="3754" spans="2:8" x14ac:dyDescent="0.35">
      <c r="B3754"/>
      <c r="C3754"/>
      <c r="H3754"/>
    </row>
    <row r="3755" spans="2:8" x14ac:dyDescent="0.35">
      <c r="B3755"/>
      <c r="C3755"/>
      <c r="H3755"/>
    </row>
    <row r="3756" spans="2:8" x14ac:dyDescent="0.35">
      <c r="B3756"/>
      <c r="C3756"/>
      <c r="H3756"/>
    </row>
    <row r="3757" spans="2:8" x14ac:dyDescent="0.35">
      <c r="B3757"/>
      <c r="C3757"/>
      <c r="H3757"/>
    </row>
    <row r="3758" spans="2:8" x14ac:dyDescent="0.35">
      <c r="B3758"/>
      <c r="C3758"/>
      <c r="H3758"/>
    </row>
    <row r="3759" spans="2:8" x14ac:dyDescent="0.35">
      <c r="B3759"/>
      <c r="C3759"/>
      <c r="H3759"/>
    </row>
    <row r="3760" spans="2:8" x14ac:dyDescent="0.35">
      <c r="B3760"/>
      <c r="C3760"/>
      <c r="H3760"/>
    </row>
    <row r="3761" spans="2:8" x14ac:dyDescent="0.35">
      <c r="B3761"/>
      <c r="C3761"/>
      <c r="H3761"/>
    </row>
    <row r="3762" spans="2:8" x14ac:dyDescent="0.35">
      <c r="B3762"/>
      <c r="C3762"/>
      <c r="H3762"/>
    </row>
    <row r="3763" spans="2:8" x14ac:dyDescent="0.35">
      <c r="B3763"/>
      <c r="C3763"/>
      <c r="H3763"/>
    </row>
    <row r="3764" spans="2:8" x14ac:dyDescent="0.35">
      <c r="B3764"/>
      <c r="C3764"/>
      <c r="H3764"/>
    </row>
    <row r="3765" spans="2:8" x14ac:dyDescent="0.35">
      <c r="B3765"/>
      <c r="C3765"/>
      <c r="H3765"/>
    </row>
    <row r="3766" spans="2:8" x14ac:dyDescent="0.35">
      <c r="B3766"/>
      <c r="C3766"/>
      <c r="H3766"/>
    </row>
    <row r="3767" spans="2:8" x14ac:dyDescent="0.35">
      <c r="B3767"/>
      <c r="C3767"/>
      <c r="H3767"/>
    </row>
    <row r="3768" spans="2:8" x14ac:dyDescent="0.35">
      <c r="B3768"/>
      <c r="C3768"/>
      <c r="H3768"/>
    </row>
    <row r="3769" spans="2:8" x14ac:dyDescent="0.35">
      <c r="B3769"/>
      <c r="C3769"/>
      <c r="H3769"/>
    </row>
    <row r="3770" spans="2:8" x14ac:dyDescent="0.35">
      <c r="B3770"/>
      <c r="C3770"/>
      <c r="H3770"/>
    </row>
    <row r="3771" spans="2:8" x14ac:dyDescent="0.35">
      <c r="B3771"/>
      <c r="C3771"/>
      <c r="H3771"/>
    </row>
    <row r="3772" spans="2:8" x14ac:dyDescent="0.35">
      <c r="B3772"/>
      <c r="C3772"/>
      <c r="H3772"/>
    </row>
    <row r="3773" spans="2:8" x14ac:dyDescent="0.35">
      <c r="B3773"/>
      <c r="C3773"/>
      <c r="H3773"/>
    </row>
    <row r="3774" spans="2:8" x14ac:dyDescent="0.35">
      <c r="B3774"/>
      <c r="C3774"/>
      <c r="H3774"/>
    </row>
    <row r="3775" spans="2:8" x14ac:dyDescent="0.35">
      <c r="B3775"/>
      <c r="C3775"/>
      <c r="H3775"/>
    </row>
    <row r="3776" spans="2:8" x14ac:dyDescent="0.35">
      <c r="B3776"/>
      <c r="C3776"/>
      <c r="H3776"/>
    </row>
    <row r="3777" spans="2:8" x14ac:dyDescent="0.35">
      <c r="B3777"/>
      <c r="C3777"/>
      <c r="H3777"/>
    </row>
    <row r="3778" spans="2:8" x14ac:dyDescent="0.35">
      <c r="B3778"/>
      <c r="C3778"/>
      <c r="H3778"/>
    </row>
    <row r="3779" spans="2:8" x14ac:dyDescent="0.35">
      <c r="B3779"/>
      <c r="C3779"/>
      <c r="H3779"/>
    </row>
    <row r="3780" spans="2:8" x14ac:dyDescent="0.35">
      <c r="B3780"/>
      <c r="C3780"/>
      <c r="H3780"/>
    </row>
    <row r="3781" spans="2:8" x14ac:dyDescent="0.35">
      <c r="B3781"/>
      <c r="C3781"/>
      <c r="H3781"/>
    </row>
    <row r="3782" spans="2:8" x14ac:dyDescent="0.35">
      <c r="B3782"/>
      <c r="C3782"/>
      <c r="H3782"/>
    </row>
    <row r="3783" spans="2:8" x14ac:dyDescent="0.35">
      <c r="B3783"/>
      <c r="C3783"/>
      <c r="H3783"/>
    </row>
    <row r="3784" spans="2:8" x14ac:dyDescent="0.35">
      <c r="B3784"/>
      <c r="C3784"/>
      <c r="H3784"/>
    </row>
    <row r="3785" spans="2:8" x14ac:dyDescent="0.35">
      <c r="B3785"/>
      <c r="C3785"/>
      <c r="H3785"/>
    </row>
    <row r="3786" spans="2:8" x14ac:dyDescent="0.35">
      <c r="B3786"/>
      <c r="C3786"/>
      <c r="H3786"/>
    </row>
    <row r="3787" spans="2:8" x14ac:dyDescent="0.35">
      <c r="B3787"/>
      <c r="C3787"/>
      <c r="H3787"/>
    </row>
    <row r="3788" spans="2:8" x14ac:dyDescent="0.35">
      <c r="B3788"/>
      <c r="C3788"/>
      <c r="H3788"/>
    </row>
    <row r="3789" spans="2:8" x14ac:dyDescent="0.35">
      <c r="B3789"/>
      <c r="C3789"/>
      <c r="H3789"/>
    </row>
    <row r="3790" spans="2:8" x14ac:dyDescent="0.35">
      <c r="B3790"/>
      <c r="C3790"/>
      <c r="H3790"/>
    </row>
    <row r="3791" spans="2:8" x14ac:dyDescent="0.35">
      <c r="B3791"/>
      <c r="C3791"/>
      <c r="H3791"/>
    </row>
    <row r="3792" spans="2:8" x14ac:dyDescent="0.35">
      <c r="B3792"/>
      <c r="C3792"/>
      <c r="H3792"/>
    </row>
    <row r="3793" spans="2:8" x14ac:dyDescent="0.35">
      <c r="B3793"/>
      <c r="C3793"/>
      <c r="H3793"/>
    </row>
    <row r="3794" spans="2:8" x14ac:dyDescent="0.35">
      <c r="B3794"/>
      <c r="C3794"/>
      <c r="H3794"/>
    </row>
    <row r="3795" spans="2:8" x14ac:dyDescent="0.35">
      <c r="B3795"/>
      <c r="C3795"/>
      <c r="H3795"/>
    </row>
    <row r="3796" spans="2:8" x14ac:dyDescent="0.35">
      <c r="B3796"/>
      <c r="C3796"/>
      <c r="H3796"/>
    </row>
    <row r="3797" spans="2:8" x14ac:dyDescent="0.35">
      <c r="B3797"/>
      <c r="C3797"/>
      <c r="H3797"/>
    </row>
    <row r="3798" spans="2:8" x14ac:dyDescent="0.35">
      <c r="B3798"/>
      <c r="C3798"/>
      <c r="H3798"/>
    </row>
    <row r="3799" spans="2:8" x14ac:dyDescent="0.35">
      <c r="B3799"/>
      <c r="C3799"/>
      <c r="H3799"/>
    </row>
    <row r="3800" spans="2:8" x14ac:dyDescent="0.35">
      <c r="B3800"/>
      <c r="C3800"/>
      <c r="H3800"/>
    </row>
    <row r="3801" spans="2:8" x14ac:dyDescent="0.35">
      <c r="B3801"/>
      <c r="C3801"/>
      <c r="H3801"/>
    </row>
    <row r="3802" spans="2:8" x14ac:dyDescent="0.35">
      <c r="B3802"/>
      <c r="C3802"/>
      <c r="H3802"/>
    </row>
    <row r="3803" spans="2:8" x14ac:dyDescent="0.35">
      <c r="B3803"/>
      <c r="C3803"/>
      <c r="H3803"/>
    </row>
    <row r="3804" spans="2:8" x14ac:dyDescent="0.35">
      <c r="B3804"/>
      <c r="C3804"/>
      <c r="H3804"/>
    </row>
    <row r="3805" spans="2:8" x14ac:dyDescent="0.35">
      <c r="B3805"/>
      <c r="C3805"/>
      <c r="H3805"/>
    </row>
    <row r="3806" spans="2:8" x14ac:dyDescent="0.35">
      <c r="B3806"/>
      <c r="C3806"/>
      <c r="H3806"/>
    </row>
    <row r="3807" spans="2:8" x14ac:dyDescent="0.35">
      <c r="B3807"/>
      <c r="C3807"/>
      <c r="H3807"/>
    </row>
    <row r="3808" spans="2:8" x14ac:dyDescent="0.35">
      <c r="B3808"/>
      <c r="C3808"/>
      <c r="H3808"/>
    </row>
    <row r="3809" spans="2:8" x14ac:dyDescent="0.35">
      <c r="B3809"/>
      <c r="C3809"/>
      <c r="H3809"/>
    </row>
    <row r="3810" spans="2:8" x14ac:dyDescent="0.35">
      <c r="B3810"/>
      <c r="C3810"/>
      <c r="H3810"/>
    </row>
    <row r="3811" spans="2:8" x14ac:dyDescent="0.35">
      <c r="B3811"/>
      <c r="C3811"/>
      <c r="H3811"/>
    </row>
    <row r="3812" spans="2:8" x14ac:dyDescent="0.35">
      <c r="B3812"/>
      <c r="C3812"/>
      <c r="H3812"/>
    </row>
    <row r="3813" spans="2:8" x14ac:dyDescent="0.35">
      <c r="B3813"/>
      <c r="C3813"/>
      <c r="H3813"/>
    </row>
    <row r="3814" spans="2:8" x14ac:dyDescent="0.35">
      <c r="B3814"/>
      <c r="C3814"/>
      <c r="H3814"/>
    </row>
    <row r="3815" spans="2:8" x14ac:dyDescent="0.35">
      <c r="B3815"/>
      <c r="C3815"/>
      <c r="H3815"/>
    </row>
    <row r="3816" spans="2:8" x14ac:dyDescent="0.35">
      <c r="B3816"/>
      <c r="C3816"/>
      <c r="H3816"/>
    </row>
    <row r="3817" spans="2:8" x14ac:dyDescent="0.35">
      <c r="B3817"/>
      <c r="C3817"/>
      <c r="H3817"/>
    </row>
    <row r="3818" spans="2:8" x14ac:dyDescent="0.35">
      <c r="B3818"/>
      <c r="C3818"/>
      <c r="H3818"/>
    </row>
    <row r="3819" spans="2:8" x14ac:dyDescent="0.35">
      <c r="B3819"/>
      <c r="C3819"/>
      <c r="H3819"/>
    </row>
    <row r="3820" spans="2:8" x14ac:dyDescent="0.35">
      <c r="B3820"/>
      <c r="C3820"/>
      <c r="H3820"/>
    </row>
    <row r="3821" spans="2:8" x14ac:dyDescent="0.35">
      <c r="B3821"/>
      <c r="C3821"/>
      <c r="H3821"/>
    </row>
    <row r="3822" spans="2:8" x14ac:dyDescent="0.35">
      <c r="B3822"/>
      <c r="C3822"/>
      <c r="H3822"/>
    </row>
    <row r="3823" spans="2:8" x14ac:dyDescent="0.35">
      <c r="B3823"/>
      <c r="C3823"/>
      <c r="H3823"/>
    </row>
    <row r="3824" spans="2:8" x14ac:dyDescent="0.35">
      <c r="B3824"/>
      <c r="C3824"/>
      <c r="H3824"/>
    </row>
    <row r="3825" spans="2:8" x14ac:dyDescent="0.35">
      <c r="B3825"/>
      <c r="C3825"/>
      <c r="H3825"/>
    </row>
    <row r="3826" spans="2:8" x14ac:dyDescent="0.35">
      <c r="B3826"/>
      <c r="C3826"/>
      <c r="H3826"/>
    </row>
    <row r="3827" spans="2:8" x14ac:dyDescent="0.35">
      <c r="B3827"/>
      <c r="C3827"/>
      <c r="H3827"/>
    </row>
    <row r="3828" spans="2:8" x14ac:dyDescent="0.35">
      <c r="B3828"/>
      <c r="C3828"/>
      <c r="H3828"/>
    </row>
    <row r="3829" spans="2:8" x14ac:dyDescent="0.35">
      <c r="B3829"/>
      <c r="C3829"/>
      <c r="H3829"/>
    </row>
    <row r="3830" spans="2:8" x14ac:dyDescent="0.35">
      <c r="B3830"/>
      <c r="C3830"/>
      <c r="H3830"/>
    </row>
    <row r="3831" spans="2:8" x14ac:dyDescent="0.35">
      <c r="B3831"/>
      <c r="C3831"/>
      <c r="H3831"/>
    </row>
    <row r="3832" spans="2:8" x14ac:dyDescent="0.35">
      <c r="B3832"/>
      <c r="C3832"/>
      <c r="H3832"/>
    </row>
    <row r="3833" spans="2:8" x14ac:dyDescent="0.35">
      <c r="B3833"/>
      <c r="C3833"/>
      <c r="H3833"/>
    </row>
    <row r="3834" spans="2:8" x14ac:dyDescent="0.35">
      <c r="B3834"/>
      <c r="C3834"/>
      <c r="H3834"/>
    </row>
    <row r="3835" spans="2:8" x14ac:dyDescent="0.35">
      <c r="B3835"/>
      <c r="C3835"/>
      <c r="H3835"/>
    </row>
    <row r="3836" spans="2:8" x14ac:dyDescent="0.35">
      <c r="B3836"/>
      <c r="C3836"/>
      <c r="H3836"/>
    </row>
    <row r="3837" spans="2:8" x14ac:dyDescent="0.35">
      <c r="B3837"/>
      <c r="C3837"/>
      <c r="H3837"/>
    </row>
    <row r="3838" spans="2:8" x14ac:dyDescent="0.35">
      <c r="B3838"/>
      <c r="C3838"/>
      <c r="H3838"/>
    </row>
    <row r="3839" spans="2:8" x14ac:dyDescent="0.35">
      <c r="B3839"/>
      <c r="C3839"/>
      <c r="H3839"/>
    </row>
    <row r="3840" spans="2:8" x14ac:dyDescent="0.35">
      <c r="B3840"/>
      <c r="C3840"/>
      <c r="H3840"/>
    </row>
    <row r="3841" spans="2:8" x14ac:dyDescent="0.35">
      <c r="B3841"/>
      <c r="C3841"/>
      <c r="H3841"/>
    </row>
    <row r="3842" spans="2:8" x14ac:dyDescent="0.35">
      <c r="B3842"/>
      <c r="C3842"/>
      <c r="H3842"/>
    </row>
    <row r="3843" spans="2:8" x14ac:dyDescent="0.35">
      <c r="B3843"/>
      <c r="C3843"/>
      <c r="H3843"/>
    </row>
    <row r="3844" spans="2:8" x14ac:dyDescent="0.35">
      <c r="B3844"/>
      <c r="C3844"/>
      <c r="H3844"/>
    </row>
    <row r="3845" spans="2:8" x14ac:dyDescent="0.35">
      <c r="B3845"/>
      <c r="C3845"/>
      <c r="H3845"/>
    </row>
    <row r="3846" spans="2:8" x14ac:dyDescent="0.35">
      <c r="B3846"/>
      <c r="C3846"/>
      <c r="H3846"/>
    </row>
    <row r="3847" spans="2:8" x14ac:dyDescent="0.35">
      <c r="B3847"/>
      <c r="C3847"/>
      <c r="H3847"/>
    </row>
    <row r="3848" spans="2:8" x14ac:dyDescent="0.35">
      <c r="B3848"/>
      <c r="C3848"/>
      <c r="H3848"/>
    </row>
    <row r="3849" spans="2:8" x14ac:dyDescent="0.35">
      <c r="B3849"/>
      <c r="C3849"/>
      <c r="H3849"/>
    </row>
    <row r="3850" spans="2:8" x14ac:dyDescent="0.35">
      <c r="B3850"/>
      <c r="C3850"/>
      <c r="H3850"/>
    </row>
    <row r="3851" spans="2:8" x14ac:dyDescent="0.35">
      <c r="B3851"/>
      <c r="C3851"/>
      <c r="H3851"/>
    </row>
    <row r="3852" spans="2:8" x14ac:dyDescent="0.35">
      <c r="B3852"/>
      <c r="C3852"/>
      <c r="H3852"/>
    </row>
    <row r="3853" spans="2:8" x14ac:dyDescent="0.35">
      <c r="B3853"/>
      <c r="C3853"/>
      <c r="H3853"/>
    </row>
    <row r="3854" spans="2:8" x14ac:dyDescent="0.35">
      <c r="B3854"/>
      <c r="C3854"/>
      <c r="H3854"/>
    </row>
    <row r="3855" spans="2:8" x14ac:dyDescent="0.35">
      <c r="B3855"/>
      <c r="C3855"/>
      <c r="H3855"/>
    </row>
    <row r="3856" spans="2:8" x14ac:dyDescent="0.35">
      <c r="B3856"/>
      <c r="C3856"/>
      <c r="H3856"/>
    </row>
    <row r="3857" spans="2:8" x14ac:dyDescent="0.35">
      <c r="B3857"/>
      <c r="C3857"/>
      <c r="H3857"/>
    </row>
    <row r="3858" spans="2:8" x14ac:dyDescent="0.35">
      <c r="B3858"/>
      <c r="C3858"/>
      <c r="H3858"/>
    </row>
    <row r="3859" spans="2:8" x14ac:dyDescent="0.35">
      <c r="B3859"/>
      <c r="C3859"/>
      <c r="H3859"/>
    </row>
    <row r="3860" spans="2:8" x14ac:dyDescent="0.35">
      <c r="B3860"/>
      <c r="C3860"/>
      <c r="H3860"/>
    </row>
    <row r="3861" spans="2:8" x14ac:dyDescent="0.35">
      <c r="B3861"/>
      <c r="C3861"/>
      <c r="H3861"/>
    </row>
    <row r="3862" spans="2:8" x14ac:dyDescent="0.35">
      <c r="B3862"/>
      <c r="C3862"/>
      <c r="H3862"/>
    </row>
    <row r="3863" spans="2:8" x14ac:dyDescent="0.35">
      <c r="B3863"/>
      <c r="C3863"/>
      <c r="H3863"/>
    </row>
    <row r="3864" spans="2:8" x14ac:dyDescent="0.35">
      <c r="B3864"/>
      <c r="C3864"/>
      <c r="H3864"/>
    </row>
    <row r="3865" spans="2:8" x14ac:dyDescent="0.35">
      <c r="B3865"/>
      <c r="C3865"/>
      <c r="H3865"/>
    </row>
    <row r="3866" spans="2:8" x14ac:dyDescent="0.35">
      <c r="B3866"/>
      <c r="C3866"/>
      <c r="H3866"/>
    </row>
    <row r="3867" spans="2:8" x14ac:dyDescent="0.35">
      <c r="B3867"/>
      <c r="C3867"/>
      <c r="H3867"/>
    </row>
    <row r="3868" spans="2:8" x14ac:dyDescent="0.35">
      <c r="B3868"/>
      <c r="C3868"/>
      <c r="H3868"/>
    </row>
    <row r="3869" spans="2:8" x14ac:dyDescent="0.35">
      <c r="B3869"/>
      <c r="C3869"/>
      <c r="H3869"/>
    </row>
    <row r="3870" spans="2:8" x14ac:dyDescent="0.35">
      <c r="B3870"/>
      <c r="C3870"/>
      <c r="H3870"/>
    </row>
    <row r="3871" spans="2:8" x14ac:dyDescent="0.35">
      <c r="B3871"/>
      <c r="C3871"/>
      <c r="H3871"/>
    </row>
    <row r="3872" spans="2:8" x14ac:dyDescent="0.35">
      <c r="B3872"/>
      <c r="C3872"/>
      <c r="H3872"/>
    </row>
    <row r="3873" spans="2:8" x14ac:dyDescent="0.35">
      <c r="B3873"/>
      <c r="C3873"/>
      <c r="H3873"/>
    </row>
    <row r="3874" spans="2:8" x14ac:dyDescent="0.35">
      <c r="B3874"/>
      <c r="C3874"/>
      <c r="H3874"/>
    </row>
    <row r="3875" spans="2:8" x14ac:dyDescent="0.35">
      <c r="B3875"/>
      <c r="C3875"/>
      <c r="H3875"/>
    </row>
    <row r="3876" spans="2:8" x14ac:dyDescent="0.35">
      <c r="B3876"/>
      <c r="C3876"/>
      <c r="H3876"/>
    </row>
    <row r="3877" spans="2:8" x14ac:dyDescent="0.35">
      <c r="B3877"/>
      <c r="C3877"/>
      <c r="H3877"/>
    </row>
    <row r="3878" spans="2:8" x14ac:dyDescent="0.35">
      <c r="B3878"/>
      <c r="C3878"/>
      <c r="H3878"/>
    </row>
    <row r="3879" spans="2:8" x14ac:dyDescent="0.35">
      <c r="B3879"/>
      <c r="C3879"/>
      <c r="H3879"/>
    </row>
    <row r="3880" spans="2:8" x14ac:dyDescent="0.35">
      <c r="B3880"/>
      <c r="C3880"/>
      <c r="H3880"/>
    </row>
    <row r="3881" spans="2:8" x14ac:dyDescent="0.35">
      <c r="B3881"/>
      <c r="C3881"/>
      <c r="H3881"/>
    </row>
    <row r="3882" spans="2:8" x14ac:dyDescent="0.35">
      <c r="B3882"/>
      <c r="C3882"/>
      <c r="H3882"/>
    </row>
    <row r="3883" spans="2:8" x14ac:dyDescent="0.35">
      <c r="B3883"/>
      <c r="C3883"/>
      <c r="H3883"/>
    </row>
    <row r="3884" spans="2:8" x14ac:dyDescent="0.35">
      <c r="B3884"/>
      <c r="C3884"/>
      <c r="H3884"/>
    </row>
    <row r="3885" spans="2:8" x14ac:dyDescent="0.35">
      <c r="B3885"/>
      <c r="C3885"/>
      <c r="H3885"/>
    </row>
    <row r="3886" spans="2:8" x14ac:dyDescent="0.35">
      <c r="B3886"/>
      <c r="C3886"/>
      <c r="H3886"/>
    </row>
    <row r="3887" spans="2:8" x14ac:dyDescent="0.35">
      <c r="B3887"/>
      <c r="C3887"/>
      <c r="H3887"/>
    </row>
    <row r="3888" spans="2:8" x14ac:dyDescent="0.35">
      <c r="B3888"/>
      <c r="C3888"/>
      <c r="H3888"/>
    </row>
    <row r="3889" spans="2:8" x14ac:dyDescent="0.35">
      <c r="B3889"/>
      <c r="C3889"/>
      <c r="H3889"/>
    </row>
    <row r="3890" spans="2:8" x14ac:dyDescent="0.35">
      <c r="B3890"/>
      <c r="C3890"/>
      <c r="H3890"/>
    </row>
    <row r="3891" spans="2:8" x14ac:dyDescent="0.35">
      <c r="B3891"/>
      <c r="C3891"/>
      <c r="H3891"/>
    </row>
    <row r="3892" spans="2:8" x14ac:dyDescent="0.35">
      <c r="B3892"/>
      <c r="C3892"/>
      <c r="H3892"/>
    </row>
    <row r="3893" spans="2:8" x14ac:dyDescent="0.35">
      <c r="B3893"/>
      <c r="C3893"/>
      <c r="H3893"/>
    </row>
    <row r="3894" spans="2:8" x14ac:dyDescent="0.35">
      <c r="B3894"/>
      <c r="C3894"/>
      <c r="H3894"/>
    </row>
    <row r="3895" spans="2:8" x14ac:dyDescent="0.35">
      <c r="B3895"/>
      <c r="C3895"/>
      <c r="H3895"/>
    </row>
    <row r="3896" spans="2:8" x14ac:dyDescent="0.35">
      <c r="B3896"/>
      <c r="C3896"/>
      <c r="H3896"/>
    </row>
    <row r="3897" spans="2:8" x14ac:dyDescent="0.35">
      <c r="B3897"/>
      <c r="C3897"/>
      <c r="H3897"/>
    </row>
    <row r="3898" spans="2:8" x14ac:dyDescent="0.35">
      <c r="B3898"/>
      <c r="C3898"/>
      <c r="H3898"/>
    </row>
    <row r="3899" spans="2:8" x14ac:dyDescent="0.35">
      <c r="B3899"/>
      <c r="C3899"/>
      <c r="H3899"/>
    </row>
    <row r="3900" spans="2:8" x14ac:dyDescent="0.35">
      <c r="B3900"/>
      <c r="C3900"/>
      <c r="H3900"/>
    </row>
    <row r="3901" spans="2:8" x14ac:dyDescent="0.35">
      <c r="B3901"/>
      <c r="C3901"/>
      <c r="H3901"/>
    </row>
    <row r="3902" spans="2:8" x14ac:dyDescent="0.35">
      <c r="B3902"/>
      <c r="C3902"/>
      <c r="H3902"/>
    </row>
    <row r="3903" spans="2:8" x14ac:dyDescent="0.35">
      <c r="B3903"/>
      <c r="C3903"/>
      <c r="H3903"/>
    </row>
    <row r="3904" spans="2:8" x14ac:dyDescent="0.35">
      <c r="B3904"/>
      <c r="C3904"/>
      <c r="H3904"/>
    </row>
    <row r="3905" spans="2:8" x14ac:dyDescent="0.35">
      <c r="B3905"/>
      <c r="C3905"/>
      <c r="H3905"/>
    </row>
    <row r="3906" spans="2:8" x14ac:dyDescent="0.35">
      <c r="B3906"/>
      <c r="C3906"/>
      <c r="H3906"/>
    </row>
    <row r="3907" spans="2:8" x14ac:dyDescent="0.35">
      <c r="B3907"/>
      <c r="C3907"/>
      <c r="H3907"/>
    </row>
    <row r="3908" spans="2:8" x14ac:dyDescent="0.35">
      <c r="B3908"/>
      <c r="C3908"/>
      <c r="H3908"/>
    </row>
    <row r="3909" spans="2:8" x14ac:dyDescent="0.35">
      <c r="B3909"/>
      <c r="C3909"/>
      <c r="H3909"/>
    </row>
    <row r="3910" spans="2:8" x14ac:dyDescent="0.35">
      <c r="B3910"/>
      <c r="C3910"/>
      <c r="H3910"/>
    </row>
    <row r="3911" spans="2:8" x14ac:dyDescent="0.35">
      <c r="B3911"/>
      <c r="C3911"/>
      <c r="H3911"/>
    </row>
    <row r="3912" spans="2:8" x14ac:dyDescent="0.35">
      <c r="B3912"/>
      <c r="C3912"/>
      <c r="H3912"/>
    </row>
    <row r="3913" spans="2:8" x14ac:dyDescent="0.35">
      <c r="B3913"/>
      <c r="C3913"/>
      <c r="H3913"/>
    </row>
    <row r="3914" spans="2:8" x14ac:dyDescent="0.35">
      <c r="B3914"/>
      <c r="C3914"/>
      <c r="H3914"/>
    </row>
    <row r="3915" spans="2:8" x14ac:dyDescent="0.35">
      <c r="B3915"/>
      <c r="C3915"/>
      <c r="H3915"/>
    </row>
    <row r="3916" spans="2:8" x14ac:dyDescent="0.35">
      <c r="B3916"/>
      <c r="C3916"/>
      <c r="H3916"/>
    </row>
    <row r="3917" spans="2:8" x14ac:dyDescent="0.35">
      <c r="B3917"/>
      <c r="C3917"/>
      <c r="H3917"/>
    </row>
    <row r="3918" spans="2:8" x14ac:dyDescent="0.35">
      <c r="B3918"/>
      <c r="C3918"/>
      <c r="H3918"/>
    </row>
    <row r="3919" spans="2:8" x14ac:dyDescent="0.35">
      <c r="B3919"/>
      <c r="C3919"/>
      <c r="H3919"/>
    </row>
    <row r="3920" spans="2:8" x14ac:dyDescent="0.35">
      <c r="B3920"/>
      <c r="C3920"/>
      <c r="H3920"/>
    </row>
    <row r="3921" spans="2:8" x14ac:dyDescent="0.35">
      <c r="B3921"/>
      <c r="C3921"/>
      <c r="H3921"/>
    </row>
    <row r="3922" spans="2:8" x14ac:dyDescent="0.35">
      <c r="B3922"/>
      <c r="C3922"/>
      <c r="H3922"/>
    </row>
    <row r="3923" spans="2:8" x14ac:dyDescent="0.35">
      <c r="B3923"/>
      <c r="C3923"/>
      <c r="H3923"/>
    </row>
    <row r="3924" spans="2:8" x14ac:dyDescent="0.35">
      <c r="B3924"/>
      <c r="C3924"/>
      <c r="H3924"/>
    </row>
    <row r="3925" spans="2:8" x14ac:dyDescent="0.35">
      <c r="B3925"/>
      <c r="C3925"/>
      <c r="H3925"/>
    </row>
    <row r="3926" spans="2:8" x14ac:dyDescent="0.35">
      <c r="B3926"/>
      <c r="C3926"/>
      <c r="H3926"/>
    </row>
    <row r="3927" spans="2:8" x14ac:dyDescent="0.35">
      <c r="B3927"/>
      <c r="C3927"/>
      <c r="H3927"/>
    </row>
    <row r="3928" spans="2:8" x14ac:dyDescent="0.35">
      <c r="B3928"/>
      <c r="C3928"/>
      <c r="H3928"/>
    </row>
    <row r="3929" spans="2:8" x14ac:dyDescent="0.35">
      <c r="B3929"/>
      <c r="C3929"/>
      <c r="H3929"/>
    </row>
    <row r="3930" spans="2:8" x14ac:dyDescent="0.35">
      <c r="B3930"/>
      <c r="C3930"/>
      <c r="H3930"/>
    </row>
    <row r="3931" spans="2:8" x14ac:dyDescent="0.35">
      <c r="B3931"/>
      <c r="C3931"/>
      <c r="H3931"/>
    </row>
    <row r="3932" spans="2:8" x14ac:dyDescent="0.35">
      <c r="B3932"/>
      <c r="C3932"/>
      <c r="H3932"/>
    </row>
    <row r="3933" spans="2:8" x14ac:dyDescent="0.35">
      <c r="B3933"/>
      <c r="C3933"/>
      <c r="H3933"/>
    </row>
    <row r="3934" spans="2:8" x14ac:dyDescent="0.35">
      <c r="B3934"/>
      <c r="C3934"/>
      <c r="H3934"/>
    </row>
    <row r="3935" spans="2:8" x14ac:dyDescent="0.35">
      <c r="B3935"/>
      <c r="C3935"/>
      <c r="H3935"/>
    </row>
    <row r="3936" spans="2:8" x14ac:dyDescent="0.35">
      <c r="B3936"/>
      <c r="C3936"/>
      <c r="H3936"/>
    </row>
    <row r="3937" spans="2:8" x14ac:dyDescent="0.35">
      <c r="B3937"/>
      <c r="C3937"/>
      <c r="H3937"/>
    </row>
    <row r="3938" spans="2:8" x14ac:dyDescent="0.35">
      <c r="B3938"/>
      <c r="C3938"/>
      <c r="H3938"/>
    </row>
    <row r="3939" spans="2:8" x14ac:dyDescent="0.35">
      <c r="B3939"/>
      <c r="C3939"/>
      <c r="H3939"/>
    </row>
    <row r="3940" spans="2:8" x14ac:dyDescent="0.35">
      <c r="B3940"/>
      <c r="C3940"/>
      <c r="H3940"/>
    </row>
    <row r="3941" spans="2:8" x14ac:dyDescent="0.35">
      <c r="B3941"/>
      <c r="C3941"/>
      <c r="H3941"/>
    </row>
    <row r="3942" spans="2:8" x14ac:dyDescent="0.35">
      <c r="B3942"/>
      <c r="C3942"/>
      <c r="H3942"/>
    </row>
    <row r="3943" spans="2:8" x14ac:dyDescent="0.35">
      <c r="B3943"/>
      <c r="C3943"/>
      <c r="H3943"/>
    </row>
    <row r="3944" spans="2:8" x14ac:dyDescent="0.35">
      <c r="B3944"/>
      <c r="C3944"/>
      <c r="H3944"/>
    </row>
    <row r="3945" spans="2:8" x14ac:dyDescent="0.35">
      <c r="B3945"/>
      <c r="C3945"/>
      <c r="H3945"/>
    </row>
    <row r="3946" spans="2:8" x14ac:dyDescent="0.35">
      <c r="B3946"/>
      <c r="C3946"/>
      <c r="H3946"/>
    </row>
    <row r="3947" spans="2:8" x14ac:dyDescent="0.35">
      <c r="B3947"/>
      <c r="C3947"/>
      <c r="H3947"/>
    </row>
    <row r="3948" spans="2:8" x14ac:dyDescent="0.35">
      <c r="B3948"/>
      <c r="C3948"/>
      <c r="H3948"/>
    </row>
    <row r="3949" spans="2:8" x14ac:dyDescent="0.35">
      <c r="B3949"/>
      <c r="C3949"/>
      <c r="H3949"/>
    </row>
    <row r="3950" spans="2:8" x14ac:dyDescent="0.35">
      <c r="B3950"/>
      <c r="C3950"/>
      <c r="H3950"/>
    </row>
    <row r="3951" spans="2:8" x14ac:dyDescent="0.35">
      <c r="B3951"/>
      <c r="C3951"/>
      <c r="H3951"/>
    </row>
    <row r="3952" spans="2:8" x14ac:dyDescent="0.35">
      <c r="B3952"/>
      <c r="C3952"/>
      <c r="H3952"/>
    </row>
    <row r="3953" spans="2:8" x14ac:dyDescent="0.35">
      <c r="B3953"/>
      <c r="C3953"/>
      <c r="H3953"/>
    </row>
    <row r="3954" spans="2:8" x14ac:dyDescent="0.35">
      <c r="B3954"/>
      <c r="C3954"/>
      <c r="H3954"/>
    </row>
    <row r="3955" spans="2:8" x14ac:dyDescent="0.35">
      <c r="B3955"/>
      <c r="C3955"/>
      <c r="H3955"/>
    </row>
    <row r="3956" spans="2:8" x14ac:dyDescent="0.35">
      <c r="B3956"/>
      <c r="C3956"/>
      <c r="H3956"/>
    </row>
    <row r="3957" spans="2:8" x14ac:dyDescent="0.35">
      <c r="B3957"/>
      <c r="C3957"/>
      <c r="H3957"/>
    </row>
    <row r="3958" spans="2:8" x14ac:dyDescent="0.35">
      <c r="B3958"/>
      <c r="C3958"/>
      <c r="H3958"/>
    </row>
    <row r="3959" spans="2:8" x14ac:dyDescent="0.35">
      <c r="B3959"/>
      <c r="C3959"/>
      <c r="H3959"/>
    </row>
    <row r="3960" spans="2:8" x14ac:dyDescent="0.35">
      <c r="B3960"/>
      <c r="C3960"/>
      <c r="H3960"/>
    </row>
    <row r="3961" spans="2:8" x14ac:dyDescent="0.35">
      <c r="B3961"/>
      <c r="C3961"/>
      <c r="H3961"/>
    </row>
    <row r="3962" spans="2:8" x14ac:dyDescent="0.35">
      <c r="B3962"/>
      <c r="C3962"/>
      <c r="H3962"/>
    </row>
    <row r="3963" spans="2:8" x14ac:dyDescent="0.35">
      <c r="B3963"/>
      <c r="C3963"/>
      <c r="H3963"/>
    </row>
    <row r="3964" spans="2:8" x14ac:dyDescent="0.35">
      <c r="B3964"/>
      <c r="C3964"/>
      <c r="H3964"/>
    </row>
    <row r="3965" spans="2:8" x14ac:dyDescent="0.35">
      <c r="B3965"/>
      <c r="C3965"/>
      <c r="H3965"/>
    </row>
    <row r="3966" spans="2:8" x14ac:dyDescent="0.35">
      <c r="B3966"/>
      <c r="C3966"/>
      <c r="H3966"/>
    </row>
    <row r="3967" spans="2:8" x14ac:dyDescent="0.35">
      <c r="B3967"/>
      <c r="C3967"/>
      <c r="H3967"/>
    </row>
    <row r="3968" spans="2:8" x14ac:dyDescent="0.35">
      <c r="B3968"/>
      <c r="C3968"/>
      <c r="H3968"/>
    </row>
    <row r="3969" spans="2:8" x14ac:dyDescent="0.35">
      <c r="B3969"/>
      <c r="C3969"/>
      <c r="H3969"/>
    </row>
    <row r="3970" spans="2:8" x14ac:dyDescent="0.35">
      <c r="B3970"/>
      <c r="C3970"/>
      <c r="H3970"/>
    </row>
    <row r="3971" spans="2:8" x14ac:dyDescent="0.35">
      <c r="B3971"/>
      <c r="C3971"/>
      <c r="H3971"/>
    </row>
    <row r="3972" spans="2:8" x14ac:dyDescent="0.35">
      <c r="B3972"/>
      <c r="C3972"/>
      <c r="H3972"/>
    </row>
    <row r="3973" spans="2:8" x14ac:dyDescent="0.35">
      <c r="B3973"/>
      <c r="C3973"/>
      <c r="H3973"/>
    </row>
    <row r="3974" spans="2:8" x14ac:dyDescent="0.35">
      <c r="B3974"/>
      <c r="C3974"/>
      <c r="H3974"/>
    </row>
    <row r="3975" spans="2:8" x14ac:dyDescent="0.35">
      <c r="B3975"/>
      <c r="C3975"/>
      <c r="H3975"/>
    </row>
    <row r="3976" spans="2:8" x14ac:dyDescent="0.35">
      <c r="B3976"/>
      <c r="C3976"/>
      <c r="H3976"/>
    </row>
    <row r="3977" spans="2:8" x14ac:dyDescent="0.35">
      <c r="B3977"/>
      <c r="C3977"/>
      <c r="H3977"/>
    </row>
    <row r="3978" spans="2:8" x14ac:dyDescent="0.35">
      <c r="B3978"/>
      <c r="C3978"/>
      <c r="H3978"/>
    </row>
    <row r="3979" spans="2:8" x14ac:dyDescent="0.35">
      <c r="B3979"/>
      <c r="C3979"/>
      <c r="H3979"/>
    </row>
    <row r="3980" spans="2:8" x14ac:dyDescent="0.35">
      <c r="B3980"/>
      <c r="C3980"/>
      <c r="H3980"/>
    </row>
    <row r="3981" spans="2:8" x14ac:dyDescent="0.35">
      <c r="B3981"/>
      <c r="C3981"/>
      <c r="H3981"/>
    </row>
    <row r="3982" spans="2:8" x14ac:dyDescent="0.35">
      <c r="B3982"/>
      <c r="C3982"/>
      <c r="H3982"/>
    </row>
    <row r="3983" spans="2:8" x14ac:dyDescent="0.35">
      <c r="B3983"/>
      <c r="C3983"/>
      <c r="H3983"/>
    </row>
    <row r="3984" spans="2:8" x14ac:dyDescent="0.35">
      <c r="B3984"/>
      <c r="C3984"/>
      <c r="H3984"/>
    </row>
    <row r="3985" spans="2:8" x14ac:dyDescent="0.35">
      <c r="B3985"/>
      <c r="C3985"/>
      <c r="H3985"/>
    </row>
    <row r="3986" spans="2:8" x14ac:dyDescent="0.35">
      <c r="B3986"/>
      <c r="C3986"/>
      <c r="H3986"/>
    </row>
    <row r="3987" spans="2:8" x14ac:dyDescent="0.35">
      <c r="B3987"/>
      <c r="C3987"/>
      <c r="H3987"/>
    </row>
    <row r="3988" spans="2:8" x14ac:dyDescent="0.35">
      <c r="B3988"/>
      <c r="C3988"/>
      <c r="H3988"/>
    </row>
    <row r="3989" spans="2:8" x14ac:dyDescent="0.35">
      <c r="B3989"/>
      <c r="C3989"/>
      <c r="H3989"/>
    </row>
    <row r="3990" spans="2:8" x14ac:dyDescent="0.35">
      <c r="B3990"/>
      <c r="C3990"/>
      <c r="H3990"/>
    </row>
    <row r="3991" spans="2:8" x14ac:dyDescent="0.35">
      <c r="B3991"/>
      <c r="C3991"/>
      <c r="H3991"/>
    </row>
    <row r="3992" spans="2:8" x14ac:dyDescent="0.35">
      <c r="B3992"/>
      <c r="C3992"/>
      <c r="H3992"/>
    </row>
    <row r="3993" spans="2:8" x14ac:dyDescent="0.35">
      <c r="B3993"/>
      <c r="C3993"/>
      <c r="H3993"/>
    </row>
    <row r="3994" spans="2:8" x14ac:dyDescent="0.35">
      <c r="B3994"/>
      <c r="C3994"/>
      <c r="H3994"/>
    </row>
    <row r="3995" spans="2:8" x14ac:dyDescent="0.35">
      <c r="B3995"/>
      <c r="C3995"/>
      <c r="H3995"/>
    </row>
    <row r="3996" spans="2:8" x14ac:dyDescent="0.35">
      <c r="B3996"/>
      <c r="C3996"/>
      <c r="H3996"/>
    </row>
    <row r="3997" spans="2:8" x14ac:dyDescent="0.35">
      <c r="B3997"/>
      <c r="C3997"/>
      <c r="H3997"/>
    </row>
    <row r="3998" spans="2:8" x14ac:dyDescent="0.35">
      <c r="B3998"/>
      <c r="C3998"/>
      <c r="H3998"/>
    </row>
    <row r="3999" spans="2:8" x14ac:dyDescent="0.35">
      <c r="B3999"/>
      <c r="C3999"/>
      <c r="H3999"/>
    </row>
    <row r="4000" spans="2:8" x14ac:dyDescent="0.35">
      <c r="B4000"/>
      <c r="C4000"/>
      <c r="H4000"/>
    </row>
    <row r="4001" spans="2:8" x14ac:dyDescent="0.35">
      <c r="B4001"/>
      <c r="C4001"/>
      <c r="H4001"/>
    </row>
    <row r="4002" spans="2:8" x14ac:dyDescent="0.35">
      <c r="B4002"/>
      <c r="C4002"/>
      <c r="H4002"/>
    </row>
    <row r="4003" spans="2:8" x14ac:dyDescent="0.35">
      <c r="B4003"/>
      <c r="C4003"/>
      <c r="H4003"/>
    </row>
    <row r="4004" spans="2:8" x14ac:dyDescent="0.35">
      <c r="B4004"/>
      <c r="C4004"/>
      <c r="H4004"/>
    </row>
    <row r="4005" spans="2:8" x14ac:dyDescent="0.35">
      <c r="B4005"/>
      <c r="C4005"/>
      <c r="H4005"/>
    </row>
    <row r="4006" spans="2:8" x14ac:dyDescent="0.35">
      <c r="B4006"/>
      <c r="C4006"/>
      <c r="H4006"/>
    </row>
    <row r="4007" spans="2:8" x14ac:dyDescent="0.35">
      <c r="B4007"/>
      <c r="C4007"/>
      <c r="H4007"/>
    </row>
    <row r="4008" spans="2:8" x14ac:dyDescent="0.35">
      <c r="B4008"/>
      <c r="C4008"/>
      <c r="H4008"/>
    </row>
    <row r="4009" spans="2:8" x14ac:dyDescent="0.35">
      <c r="B4009"/>
      <c r="C4009"/>
      <c r="H4009"/>
    </row>
    <row r="4010" spans="2:8" x14ac:dyDescent="0.35">
      <c r="B4010"/>
      <c r="C4010"/>
      <c r="H4010"/>
    </row>
    <row r="4011" spans="2:8" x14ac:dyDescent="0.35">
      <c r="B4011"/>
      <c r="C4011"/>
      <c r="H4011"/>
    </row>
    <row r="4012" spans="2:8" x14ac:dyDescent="0.35">
      <c r="B4012"/>
      <c r="C4012"/>
      <c r="H4012"/>
    </row>
    <row r="4013" spans="2:8" x14ac:dyDescent="0.35">
      <c r="B4013"/>
      <c r="C4013"/>
      <c r="H4013"/>
    </row>
    <row r="4014" spans="2:8" x14ac:dyDescent="0.35">
      <c r="B4014"/>
      <c r="C4014"/>
      <c r="H4014"/>
    </row>
    <row r="4015" spans="2:8" x14ac:dyDescent="0.35">
      <c r="B4015"/>
      <c r="C4015"/>
      <c r="H4015"/>
    </row>
    <row r="4016" spans="2:8" x14ac:dyDescent="0.35">
      <c r="B4016"/>
      <c r="C4016"/>
      <c r="H4016"/>
    </row>
    <row r="4017" spans="2:8" x14ac:dyDescent="0.35">
      <c r="B4017"/>
      <c r="C4017"/>
      <c r="H4017"/>
    </row>
    <row r="4018" spans="2:8" x14ac:dyDescent="0.35">
      <c r="B4018"/>
      <c r="C4018"/>
      <c r="H4018"/>
    </row>
    <row r="4019" spans="2:8" x14ac:dyDescent="0.35">
      <c r="B4019"/>
      <c r="C4019"/>
      <c r="H4019"/>
    </row>
    <row r="4020" spans="2:8" x14ac:dyDescent="0.35">
      <c r="B4020"/>
      <c r="C4020"/>
      <c r="H4020"/>
    </row>
    <row r="4021" spans="2:8" x14ac:dyDescent="0.35">
      <c r="B4021"/>
      <c r="C4021"/>
      <c r="H4021"/>
    </row>
    <row r="4022" spans="2:8" x14ac:dyDescent="0.35">
      <c r="B4022"/>
      <c r="C4022"/>
      <c r="H4022"/>
    </row>
    <row r="4023" spans="2:8" x14ac:dyDescent="0.35">
      <c r="B4023"/>
      <c r="C4023"/>
      <c r="H4023"/>
    </row>
    <row r="4024" spans="2:8" x14ac:dyDescent="0.35">
      <c r="B4024"/>
      <c r="C4024"/>
      <c r="H4024"/>
    </row>
    <row r="4025" spans="2:8" x14ac:dyDescent="0.35">
      <c r="B4025"/>
      <c r="C4025"/>
      <c r="H4025"/>
    </row>
    <row r="4026" spans="2:8" x14ac:dyDescent="0.35">
      <c r="B4026"/>
      <c r="C4026"/>
      <c r="H4026"/>
    </row>
    <row r="4027" spans="2:8" x14ac:dyDescent="0.35">
      <c r="B4027"/>
      <c r="C4027"/>
      <c r="H4027"/>
    </row>
    <row r="4028" spans="2:8" x14ac:dyDescent="0.35">
      <c r="B4028"/>
      <c r="C4028"/>
      <c r="H4028"/>
    </row>
    <row r="4029" spans="2:8" x14ac:dyDescent="0.35">
      <c r="B4029"/>
      <c r="C4029"/>
      <c r="H4029"/>
    </row>
    <row r="4030" spans="2:8" x14ac:dyDescent="0.35">
      <c r="B4030"/>
      <c r="C4030"/>
      <c r="H4030"/>
    </row>
    <row r="4031" spans="2:8" x14ac:dyDescent="0.35">
      <c r="B4031"/>
      <c r="C4031"/>
      <c r="H4031"/>
    </row>
    <row r="4032" spans="2:8" x14ac:dyDescent="0.35">
      <c r="B4032"/>
      <c r="C4032"/>
      <c r="H4032"/>
    </row>
    <row r="4033" spans="2:8" x14ac:dyDescent="0.35">
      <c r="B4033"/>
      <c r="C4033"/>
      <c r="H4033"/>
    </row>
    <row r="4034" spans="2:8" x14ac:dyDescent="0.35">
      <c r="B4034"/>
      <c r="C4034"/>
      <c r="H4034"/>
    </row>
    <row r="4035" spans="2:8" x14ac:dyDescent="0.35">
      <c r="B4035"/>
      <c r="C4035"/>
      <c r="H4035"/>
    </row>
    <row r="4036" spans="2:8" x14ac:dyDescent="0.35">
      <c r="B4036"/>
      <c r="C4036"/>
      <c r="H4036"/>
    </row>
    <row r="4037" spans="2:8" x14ac:dyDescent="0.35">
      <c r="B4037"/>
      <c r="C4037"/>
      <c r="H4037"/>
    </row>
    <row r="4038" spans="2:8" x14ac:dyDescent="0.35">
      <c r="B4038"/>
      <c r="C4038"/>
      <c r="H4038"/>
    </row>
    <row r="4039" spans="2:8" x14ac:dyDescent="0.35">
      <c r="B4039"/>
      <c r="C4039"/>
      <c r="H4039"/>
    </row>
    <row r="4040" spans="2:8" x14ac:dyDescent="0.35">
      <c r="B4040"/>
      <c r="C4040"/>
      <c r="H4040"/>
    </row>
    <row r="4041" spans="2:8" x14ac:dyDescent="0.35">
      <c r="B4041"/>
      <c r="C4041"/>
      <c r="H4041"/>
    </row>
    <row r="4042" spans="2:8" x14ac:dyDescent="0.35">
      <c r="B4042"/>
      <c r="C4042"/>
      <c r="H4042"/>
    </row>
    <row r="4043" spans="2:8" x14ac:dyDescent="0.35">
      <c r="B4043"/>
      <c r="C4043"/>
      <c r="H4043"/>
    </row>
    <row r="4044" spans="2:8" x14ac:dyDescent="0.35">
      <c r="B4044"/>
      <c r="C4044"/>
      <c r="H4044"/>
    </row>
    <row r="4045" spans="2:8" x14ac:dyDescent="0.35">
      <c r="B4045"/>
      <c r="C4045"/>
      <c r="H4045"/>
    </row>
    <row r="4046" spans="2:8" x14ac:dyDescent="0.35">
      <c r="B4046"/>
      <c r="C4046"/>
      <c r="H4046"/>
    </row>
    <row r="4047" spans="2:8" x14ac:dyDescent="0.35">
      <c r="B4047"/>
      <c r="C4047"/>
      <c r="H4047"/>
    </row>
    <row r="4048" spans="2:8" x14ac:dyDescent="0.35">
      <c r="B4048"/>
      <c r="C4048"/>
      <c r="H4048"/>
    </row>
    <row r="4049" spans="2:8" x14ac:dyDescent="0.35">
      <c r="B4049"/>
      <c r="C4049"/>
      <c r="H4049"/>
    </row>
    <row r="4050" spans="2:8" x14ac:dyDescent="0.35">
      <c r="B4050"/>
      <c r="C4050"/>
      <c r="H4050"/>
    </row>
    <row r="4051" spans="2:8" x14ac:dyDescent="0.35">
      <c r="B4051"/>
      <c r="C4051"/>
      <c r="H4051"/>
    </row>
    <row r="4052" spans="2:8" x14ac:dyDescent="0.35">
      <c r="B4052"/>
      <c r="C4052"/>
      <c r="H4052"/>
    </row>
    <row r="4053" spans="2:8" x14ac:dyDescent="0.35">
      <c r="B4053"/>
      <c r="C4053"/>
      <c r="H4053"/>
    </row>
    <row r="4054" spans="2:8" x14ac:dyDescent="0.35">
      <c r="B4054"/>
      <c r="C4054"/>
      <c r="H4054"/>
    </row>
    <row r="4055" spans="2:8" x14ac:dyDescent="0.35">
      <c r="B4055"/>
      <c r="C4055"/>
      <c r="H4055"/>
    </row>
    <row r="4056" spans="2:8" x14ac:dyDescent="0.35">
      <c r="B4056"/>
      <c r="C4056"/>
      <c r="H4056"/>
    </row>
    <row r="4057" spans="2:8" x14ac:dyDescent="0.35">
      <c r="B4057"/>
      <c r="C4057"/>
      <c r="H4057"/>
    </row>
    <row r="4058" spans="2:8" x14ac:dyDescent="0.35">
      <c r="B4058"/>
      <c r="C4058"/>
      <c r="H4058"/>
    </row>
    <row r="4059" spans="2:8" x14ac:dyDescent="0.35">
      <c r="B4059"/>
      <c r="C4059"/>
      <c r="H4059"/>
    </row>
    <row r="4060" spans="2:8" x14ac:dyDescent="0.35">
      <c r="B4060"/>
      <c r="C4060"/>
      <c r="H4060"/>
    </row>
    <row r="4061" spans="2:8" x14ac:dyDescent="0.35">
      <c r="B4061"/>
      <c r="C4061"/>
      <c r="H4061"/>
    </row>
    <row r="4062" spans="2:8" x14ac:dyDescent="0.35">
      <c r="B4062"/>
      <c r="C4062"/>
      <c r="H4062"/>
    </row>
    <row r="4063" spans="2:8" x14ac:dyDescent="0.35">
      <c r="B4063"/>
      <c r="C4063"/>
      <c r="H4063"/>
    </row>
    <row r="4064" spans="2:8" x14ac:dyDescent="0.35">
      <c r="B4064"/>
      <c r="C4064"/>
      <c r="H4064"/>
    </row>
    <row r="4065" spans="2:8" x14ac:dyDescent="0.35">
      <c r="B4065"/>
      <c r="C4065"/>
      <c r="H4065"/>
    </row>
    <row r="4066" spans="2:8" x14ac:dyDescent="0.35">
      <c r="B4066"/>
      <c r="C4066"/>
      <c r="H4066"/>
    </row>
    <row r="4067" spans="2:8" x14ac:dyDescent="0.35">
      <c r="B4067"/>
      <c r="C4067"/>
      <c r="H4067"/>
    </row>
    <row r="4068" spans="2:8" x14ac:dyDescent="0.35">
      <c r="B4068"/>
      <c r="C4068"/>
      <c r="H4068"/>
    </row>
    <row r="4069" spans="2:8" x14ac:dyDescent="0.35">
      <c r="B4069"/>
      <c r="C4069"/>
      <c r="H4069"/>
    </row>
    <row r="4070" spans="2:8" x14ac:dyDescent="0.35">
      <c r="B4070"/>
      <c r="C4070"/>
      <c r="H4070"/>
    </row>
    <row r="4071" spans="2:8" x14ac:dyDescent="0.35">
      <c r="B4071"/>
      <c r="C4071"/>
      <c r="H4071"/>
    </row>
    <row r="4072" spans="2:8" x14ac:dyDescent="0.35">
      <c r="B4072"/>
      <c r="C4072"/>
      <c r="H4072"/>
    </row>
    <row r="4073" spans="2:8" x14ac:dyDescent="0.35">
      <c r="B4073"/>
      <c r="C4073"/>
      <c r="H4073"/>
    </row>
    <row r="4074" spans="2:8" x14ac:dyDescent="0.35">
      <c r="B4074"/>
      <c r="C4074"/>
      <c r="H4074"/>
    </row>
    <row r="4075" spans="2:8" x14ac:dyDescent="0.35">
      <c r="B4075"/>
      <c r="C4075"/>
      <c r="H4075"/>
    </row>
    <row r="4076" spans="2:8" x14ac:dyDescent="0.35">
      <c r="B4076"/>
      <c r="C4076"/>
      <c r="H4076"/>
    </row>
    <row r="4077" spans="2:8" x14ac:dyDescent="0.35">
      <c r="B4077"/>
      <c r="C4077"/>
      <c r="H4077"/>
    </row>
    <row r="4078" spans="2:8" x14ac:dyDescent="0.35">
      <c r="B4078"/>
      <c r="C4078"/>
      <c r="H4078"/>
    </row>
    <row r="4079" spans="2:8" x14ac:dyDescent="0.35">
      <c r="B4079"/>
      <c r="C4079"/>
      <c r="H4079"/>
    </row>
    <row r="4080" spans="2:8" x14ac:dyDescent="0.35">
      <c r="B4080"/>
      <c r="C4080"/>
      <c r="H4080"/>
    </row>
    <row r="4081" spans="2:8" x14ac:dyDescent="0.35">
      <c r="B4081"/>
      <c r="C4081"/>
      <c r="H4081"/>
    </row>
    <row r="4082" spans="2:8" x14ac:dyDescent="0.35">
      <c r="B4082"/>
      <c r="C4082"/>
      <c r="H4082"/>
    </row>
    <row r="4083" spans="2:8" x14ac:dyDescent="0.35">
      <c r="B4083"/>
      <c r="C4083"/>
      <c r="H4083"/>
    </row>
    <row r="4084" spans="2:8" x14ac:dyDescent="0.35">
      <c r="B4084"/>
      <c r="C4084"/>
      <c r="H4084"/>
    </row>
    <row r="4085" spans="2:8" x14ac:dyDescent="0.35">
      <c r="B4085"/>
      <c r="C4085"/>
      <c r="H4085"/>
    </row>
    <row r="4086" spans="2:8" x14ac:dyDescent="0.35">
      <c r="B4086"/>
      <c r="C4086"/>
      <c r="H4086"/>
    </row>
    <row r="4087" spans="2:8" x14ac:dyDescent="0.35">
      <c r="B4087"/>
      <c r="C4087"/>
      <c r="H4087"/>
    </row>
    <row r="4088" spans="2:8" x14ac:dyDescent="0.35">
      <c r="B4088"/>
      <c r="C4088"/>
      <c r="H4088"/>
    </row>
    <row r="4089" spans="2:8" x14ac:dyDescent="0.35">
      <c r="B4089"/>
      <c r="C4089"/>
      <c r="H4089"/>
    </row>
    <row r="4090" spans="2:8" x14ac:dyDescent="0.35">
      <c r="B4090"/>
      <c r="C4090"/>
      <c r="H4090"/>
    </row>
    <row r="4091" spans="2:8" x14ac:dyDescent="0.35">
      <c r="B4091"/>
      <c r="C4091"/>
      <c r="H4091"/>
    </row>
    <row r="4092" spans="2:8" x14ac:dyDescent="0.35">
      <c r="B4092"/>
      <c r="C4092"/>
      <c r="H4092"/>
    </row>
    <row r="4093" spans="2:8" x14ac:dyDescent="0.35">
      <c r="B4093"/>
      <c r="C4093"/>
      <c r="H4093"/>
    </row>
    <row r="4094" spans="2:8" x14ac:dyDescent="0.35">
      <c r="B4094"/>
      <c r="C4094"/>
      <c r="H4094"/>
    </row>
    <row r="4095" spans="2:8" x14ac:dyDescent="0.35">
      <c r="B4095"/>
      <c r="C4095"/>
      <c r="H4095"/>
    </row>
    <row r="4096" spans="2:8" x14ac:dyDescent="0.35">
      <c r="B4096"/>
      <c r="C4096"/>
      <c r="H4096"/>
    </row>
    <row r="4097" spans="2:8" x14ac:dyDescent="0.35">
      <c r="B4097"/>
      <c r="C4097"/>
      <c r="H4097"/>
    </row>
    <row r="4098" spans="2:8" x14ac:dyDescent="0.35">
      <c r="B4098"/>
      <c r="C4098"/>
      <c r="H4098"/>
    </row>
    <row r="4099" spans="2:8" x14ac:dyDescent="0.35">
      <c r="B4099"/>
      <c r="C4099"/>
      <c r="H4099"/>
    </row>
    <row r="4100" spans="2:8" x14ac:dyDescent="0.35">
      <c r="B4100"/>
      <c r="C4100"/>
      <c r="H4100"/>
    </row>
    <row r="4101" spans="2:8" x14ac:dyDescent="0.35">
      <c r="B4101"/>
      <c r="C4101"/>
      <c r="H4101"/>
    </row>
    <row r="4102" spans="2:8" x14ac:dyDescent="0.35">
      <c r="B4102"/>
      <c r="C4102"/>
      <c r="H4102"/>
    </row>
    <row r="4103" spans="2:8" x14ac:dyDescent="0.35">
      <c r="B4103"/>
      <c r="C4103"/>
      <c r="H4103"/>
    </row>
    <row r="4104" spans="2:8" x14ac:dyDescent="0.35">
      <c r="B4104"/>
      <c r="C4104"/>
      <c r="H4104"/>
    </row>
    <row r="4105" spans="2:8" x14ac:dyDescent="0.35">
      <c r="B4105"/>
      <c r="C4105"/>
      <c r="H4105"/>
    </row>
    <row r="4106" spans="2:8" x14ac:dyDescent="0.35">
      <c r="B4106"/>
      <c r="C4106"/>
      <c r="H4106"/>
    </row>
    <row r="4107" spans="2:8" x14ac:dyDescent="0.35">
      <c r="B4107"/>
      <c r="C4107"/>
      <c r="H4107"/>
    </row>
    <row r="4108" spans="2:8" x14ac:dyDescent="0.35">
      <c r="B4108"/>
      <c r="C4108"/>
      <c r="H4108"/>
    </row>
    <row r="4109" spans="2:8" x14ac:dyDescent="0.35">
      <c r="B4109"/>
      <c r="C4109"/>
      <c r="H4109"/>
    </row>
    <row r="4110" spans="2:8" x14ac:dyDescent="0.35">
      <c r="B4110"/>
      <c r="C4110"/>
      <c r="H4110"/>
    </row>
    <row r="4111" spans="2:8" x14ac:dyDescent="0.35">
      <c r="B4111"/>
      <c r="C4111"/>
      <c r="H4111"/>
    </row>
    <row r="4112" spans="2:8" x14ac:dyDescent="0.35">
      <c r="B4112"/>
      <c r="C4112"/>
      <c r="H4112"/>
    </row>
    <row r="4113" spans="2:8" x14ac:dyDescent="0.35">
      <c r="B4113"/>
      <c r="C4113"/>
      <c r="H4113"/>
    </row>
    <row r="4114" spans="2:8" x14ac:dyDescent="0.35">
      <c r="B4114"/>
      <c r="C4114"/>
      <c r="H4114"/>
    </row>
    <row r="4115" spans="2:8" x14ac:dyDescent="0.35">
      <c r="B4115"/>
      <c r="C4115"/>
      <c r="H4115"/>
    </row>
    <row r="4116" spans="2:8" x14ac:dyDescent="0.35">
      <c r="B4116"/>
      <c r="C4116"/>
      <c r="H4116"/>
    </row>
    <row r="4117" spans="2:8" x14ac:dyDescent="0.35">
      <c r="B4117"/>
      <c r="C4117"/>
      <c r="H4117"/>
    </row>
    <row r="4118" spans="2:8" x14ac:dyDescent="0.35">
      <c r="B4118"/>
      <c r="C4118"/>
      <c r="H4118"/>
    </row>
    <row r="4119" spans="2:8" x14ac:dyDescent="0.35">
      <c r="B4119"/>
      <c r="C4119"/>
      <c r="H4119"/>
    </row>
    <row r="4120" spans="2:8" x14ac:dyDescent="0.35">
      <c r="B4120"/>
      <c r="C4120"/>
      <c r="H4120"/>
    </row>
    <row r="4121" spans="2:8" x14ac:dyDescent="0.35">
      <c r="B4121"/>
      <c r="C4121"/>
      <c r="H4121"/>
    </row>
    <row r="4122" spans="2:8" x14ac:dyDescent="0.35">
      <c r="B4122"/>
      <c r="C4122"/>
      <c r="H4122"/>
    </row>
    <row r="4123" spans="2:8" x14ac:dyDescent="0.35">
      <c r="B4123"/>
      <c r="C4123"/>
      <c r="H4123"/>
    </row>
    <row r="4124" spans="2:8" x14ac:dyDescent="0.35">
      <c r="B4124"/>
      <c r="C4124"/>
      <c r="H4124"/>
    </row>
    <row r="4125" spans="2:8" x14ac:dyDescent="0.35">
      <c r="B4125"/>
      <c r="C4125"/>
      <c r="H4125"/>
    </row>
    <row r="4126" spans="2:8" x14ac:dyDescent="0.35">
      <c r="B4126"/>
      <c r="C4126"/>
      <c r="H4126"/>
    </row>
    <row r="4127" spans="2:8" x14ac:dyDescent="0.35">
      <c r="B4127"/>
      <c r="C4127"/>
      <c r="H4127"/>
    </row>
    <row r="4128" spans="2:8" x14ac:dyDescent="0.35">
      <c r="B4128"/>
      <c r="C4128"/>
      <c r="H4128"/>
    </row>
    <row r="4129" spans="2:8" x14ac:dyDescent="0.35">
      <c r="B4129"/>
      <c r="C4129"/>
      <c r="H4129"/>
    </row>
    <row r="4130" spans="2:8" x14ac:dyDescent="0.35">
      <c r="B4130"/>
      <c r="C4130"/>
      <c r="H4130"/>
    </row>
    <row r="4131" spans="2:8" x14ac:dyDescent="0.35">
      <c r="B4131"/>
      <c r="C4131"/>
      <c r="H4131"/>
    </row>
    <row r="4132" spans="2:8" x14ac:dyDescent="0.35">
      <c r="B4132"/>
      <c r="C4132"/>
      <c r="H4132"/>
    </row>
    <row r="4133" spans="2:8" x14ac:dyDescent="0.35">
      <c r="B4133"/>
      <c r="C4133"/>
      <c r="H4133"/>
    </row>
    <row r="4134" spans="2:8" x14ac:dyDescent="0.35">
      <c r="B4134"/>
      <c r="C4134"/>
      <c r="H4134"/>
    </row>
    <row r="4135" spans="2:8" x14ac:dyDescent="0.35">
      <c r="B4135"/>
      <c r="C4135"/>
      <c r="H4135"/>
    </row>
    <row r="4136" spans="2:8" x14ac:dyDescent="0.35">
      <c r="B4136"/>
      <c r="C4136"/>
      <c r="H4136"/>
    </row>
    <row r="4137" spans="2:8" x14ac:dyDescent="0.35">
      <c r="B4137"/>
      <c r="C4137"/>
      <c r="H4137"/>
    </row>
    <row r="4138" spans="2:8" x14ac:dyDescent="0.35">
      <c r="B4138"/>
      <c r="C4138"/>
      <c r="H4138"/>
    </row>
    <row r="4139" spans="2:8" x14ac:dyDescent="0.35">
      <c r="B4139"/>
      <c r="C4139"/>
      <c r="H4139"/>
    </row>
    <row r="4140" spans="2:8" x14ac:dyDescent="0.35">
      <c r="B4140"/>
      <c r="C4140"/>
      <c r="H4140"/>
    </row>
    <row r="4141" spans="2:8" x14ac:dyDescent="0.35">
      <c r="B4141"/>
      <c r="C4141"/>
      <c r="H4141"/>
    </row>
    <row r="4142" spans="2:8" x14ac:dyDescent="0.35">
      <c r="B4142"/>
      <c r="C4142"/>
      <c r="H4142"/>
    </row>
    <row r="4143" spans="2:8" x14ac:dyDescent="0.35">
      <c r="B4143"/>
      <c r="C4143"/>
      <c r="H4143"/>
    </row>
    <row r="4144" spans="2:8" x14ac:dyDescent="0.35">
      <c r="B4144"/>
      <c r="C4144"/>
      <c r="H4144"/>
    </row>
    <row r="4145" spans="2:8" x14ac:dyDescent="0.35">
      <c r="B4145"/>
      <c r="C4145"/>
      <c r="H4145"/>
    </row>
    <row r="4146" spans="2:8" x14ac:dyDescent="0.35">
      <c r="B4146"/>
      <c r="C4146"/>
      <c r="H4146"/>
    </row>
    <row r="4147" spans="2:8" x14ac:dyDescent="0.35">
      <c r="B4147"/>
      <c r="C4147"/>
      <c r="H4147"/>
    </row>
    <row r="4148" spans="2:8" x14ac:dyDescent="0.35">
      <c r="B4148"/>
      <c r="C4148"/>
      <c r="H4148"/>
    </row>
    <row r="4149" spans="2:8" x14ac:dyDescent="0.35">
      <c r="B4149"/>
      <c r="C4149"/>
      <c r="H4149"/>
    </row>
    <row r="4150" spans="2:8" x14ac:dyDescent="0.35">
      <c r="B4150"/>
      <c r="C4150"/>
      <c r="H4150"/>
    </row>
    <row r="4151" spans="2:8" x14ac:dyDescent="0.35">
      <c r="B4151"/>
      <c r="C4151"/>
      <c r="H4151"/>
    </row>
    <row r="4152" spans="2:8" x14ac:dyDescent="0.35">
      <c r="B4152"/>
      <c r="C4152"/>
      <c r="H4152"/>
    </row>
    <row r="4153" spans="2:8" x14ac:dyDescent="0.35">
      <c r="B4153"/>
      <c r="C4153"/>
      <c r="H4153"/>
    </row>
    <row r="4154" spans="2:8" x14ac:dyDescent="0.35">
      <c r="B4154"/>
      <c r="C4154"/>
      <c r="H4154"/>
    </row>
    <row r="4155" spans="2:8" x14ac:dyDescent="0.35">
      <c r="B4155"/>
      <c r="C4155"/>
      <c r="H4155"/>
    </row>
    <row r="4156" spans="2:8" x14ac:dyDescent="0.35">
      <c r="B4156"/>
      <c r="C4156"/>
      <c r="H4156"/>
    </row>
    <row r="4157" spans="2:8" x14ac:dyDescent="0.35">
      <c r="B4157"/>
      <c r="C4157"/>
      <c r="H4157"/>
    </row>
    <row r="4158" spans="2:8" x14ac:dyDescent="0.35">
      <c r="B4158"/>
      <c r="C4158"/>
      <c r="H4158"/>
    </row>
    <row r="4159" spans="2:8" x14ac:dyDescent="0.35">
      <c r="B4159"/>
      <c r="C4159"/>
      <c r="H4159"/>
    </row>
    <row r="4160" spans="2:8" x14ac:dyDescent="0.35">
      <c r="B4160"/>
      <c r="C4160"/>
      <c r="H4160"/>
    </row>
    <row r="4161" spans="2:8" x14ac:dyDescent="0.35">
      <c r="B4161"/>
      <c r="C4161"/>
      <c r="H4161"/>
    </row>
    <row r="4162" spans="2:8" x14ac:dyDescent="0.35">
      <c r="B4162"/>
      <c r="C4162"/>
      <c r="H4162"/>
    </row>
    <row r="4163" spans="2:8" x14ac:dyDescent="0.35">
      <c r="B4163"/>
      <c r="C4163"/>
      <c r="H4163"/>
    </row>
    <row r="4164" spans="2:8" x14ac:dyDescent="0.35">
      <c r="B4164"/>
      <c r="C4164"/>
      <c r="H4164"/>
    </row>
    <row r="4165" spans="2:8" x14ac:dyDescent="0.35">
      <c r="B4165"/>
      <c r="C4165"/>
      <c r="H4165"/>
    </row>
    <row r="4166" spans="2:8" x14ac:dyDescent="0.35">
      <c r="B4166"/>
      <c r="C4166"/>
      <c r="H4166"/>
    </row>
    <row r="4167" spans="2:8" x14ac:dyDescent="0.35">
      <c r="B4167"/>
      <c r="C4167"/>
      <c r="H4167"/>
    </row>
    <row r="4168" spans="2:8" x14ac:dyDescent="0.35">
      <c r="B4168"/>
      <c r="C4168"/>
      <c r="H4168"/>
    </row>
    <row r="4169" spans="2:8" x14ac:dyDescent="0.35">
      <c r="B4169"/>
      <c r="C4169"/>
      <c r="H4169"/>
    </row>
    <row r="4170" spans="2:8" x14ac:dyDescent="0.35">
      <c r="B4170"/>
      <c r="C4170"/>
      <c r="H4170"/>
    </row>
    <row r="4171" spans="2:8" x14ac:dyDescent="0.35">
      <c r="B4171"/>
      <c r="C4171"/>
      <c r="H4171"/>
    </row>
    <row r="4172" spans="2:8" x14ac:dyDescent="0.35">
      <c r="B4172"/>
      <c r="C4172"/>
      <c r="H4172"/>
    </row>
    <row r="4173" spans="2:8" x14ac:dyDescent="0.35">
      <c r="B4173"/>
      <c r="C4173"/>
      <c r="H4173"/>
    </row>
    <row r="4174" spans="2:8" x14ac:dyDescent="0.35">
      <c r="B4174"/>
      <c r="C4174"/>
      <c r="H4174"/>
    </row>
    <row r="4175" spans="2:8" x14ac:dyDescent="0.35">
      <c r="B4175"/>
      <c r="C4175"/>
      <c r="H4175"/>
    </row>
    <row r="4176" spans="2:8" x14ac:dyDescent="0.35">
      <c r="B4176"/>
      <c r="C4176"/>
      <c r="H4176"/>
    </row>
    <row r="4177" spans="2:8" x14ac:dyDescent="0.35">
      <c r="B4177"/>
      <c r="C4177"/>
      <c r="H4177"/>
    </row>
    <row r="4178" spans="2:8" x14ac:dyDescent="0.35">
      <c r="B4178"/>
      <c r="C4178"/>
      <c r="H4178"/>
    </row>
    <row r="4179" spans="2:8" x14ac:dyDescent="0.35">
      <c r="B4179"/>
      <c r="C4179"/>
      <c r="H4179"/>
    </row>
    <row r="4180" spans="2:8" x14ac:dyDescent="0.35">
      <c r="B4180"/>
      <c r="C4180"/>
      <c r="H4180"/>
    </row>
    <row r="4181" spans="2:8" x14ac:dyDescent="0.35">
      <c r="B4181"/>
      <c r="C4181"/>
      <c r="H4181"/>
    </row>
    <row r="4182" spans="2:8" x14ac:dyDescent="0.35">
      <c r="B4182"/>
      <c r="C4182"/>
      <c r="H4182"/>
    </row>
    <row r="4183" spans="2:8" x14ac:dyDescent="0.35">
      <c r="B4183"/>
      <c r="C4183"/>
      <c r="H4183"/>
    </row>
    <row r="4184" spans="2:8" x14ac:dyDescent="0.35">
      <c r="B4184"/>
      <c r="C4184"/>
      <c r="H4184"/>
    </row>
    <row r="4185" spans="2:8" x14ac:dyDescent="0.35">
      <c r="B4185"/>
      <c r="C4185"/>
      <c r="H4185"/>
    </row>
    <row r="4186" spans="2:8" x14ac:dyDescent="0.35">
      <c r="B4186"/>
      <c r="C4186"/>
      <c r="H4186"/>
    </row>
    <row r="4187" spans="2:8" x14ac:dyDescent="0.35">
      <c r="B4187"/>
      <c r="C4187"/>
      <c r="H4187"/>
    </row>
    <row r="4188" spans="2:8" x14ac:dyDescent="0.35">
      <c r="B4188"/>
      <c r="C4188"/>
      <c r="H4188"/>
    </row>
    <row r="4189" spans="2:8" x14ac:dyDescent="0.35">
      <c r="B4189"/>
      <c r="C4189"/>
      <c r="H4189"/>
    </row>
    <row r="4190" spans="2:8" x14ac:dyDescent="0.35">
      <c r="B4190"/>
      <c r="C4190"/>
      <c r="H4190"/>
    </row>
    <row r="4191" spans="2:8" x14ac:dyDescent="0.35">
      <c r="B4191"/>
      <c r="C4191"/>
      <c r="H4191"/>
    </row>
    <row r="4192" spans="2:8" x14ac:dyDescent="0.35">
      <c r="B4192"/>
      <c r="C4192"/>
      <c r="H4192"/>
    </row>
    <row r="4193" spans="2:8" x14ac:dyDescent="0.35">
      <c r="B4193"/>
      <c r="C4193"/>
      <c r="H4193"/>
    </row>
    <row r="4194" spans="2:8" x14ac:dyDescent="0.35">
      <c r="B4194"/>
      <c r="C4194"/>
      <c r="H4194"/>
    </row>
    <row r="4195" spans="2:8" x14ac:dyDescent="0.35">
      <c r="B4195"/>
      <c r="C4195"/>
      <c r="H4195"/>
    </row>
    <row r="4196" spans="2:8" x14ac:dyDescent="0.35">
      <c r="B4196"/>
      <c r="C4196"/>
      <c r="H4196"/>
    </row>
    <row r="4197" spans="2:8" x14ac:dyDescent="0.35">
      <c r="B4197"/>
      <c r="C4197"/>
      <c r="H4197"/>
    </row>
    <row r="4198" spans="2:8" x14ac:dyDescent="0.35">
      <c r="B4198"/>
      <c r="C4198"/>
      <c r="H4198"/>
    </row>
    <row r="4199" spans="2:8" x14ac:dyDescent="0.35">
      <c r="B4199"/>
      <c r="C4199"/>
      <c r="H4199"/>
    </row>
    <row r="4200" spans="2:8" x14ac:dyDescent="0.35">
      <c r="B4200"/>
      <c r="C4200"/>
      <c r="H4200"/>
    </row>
    <row r="4201" spans="2:8" x14ac:dyDescent="0.35">
      <c r="B4201"/>
      <c r="C4201"/>
      <c r="H4201"/>
    </row>
    <row r="4202" spans="2:8" x14ac:dyDescent="0.35">
      <c r="B4202"/>
      <c r="C4202"/>
      <c r="H4202"/>
    </row>
    <row r="4203" spans="2:8" x14ac:dyDescent="0.35">
      <c r="B4203"/>
      <c r="C4203"/>
      <c r="H4203"/>
    </row>
    <row r="4204" spans="2:8" x14ac:dyDescent="0.35">
      <c r="B4204"/>
      <c r="C4204"/>
      <c r="H4204"/>
    </row>
    <row r="4205" spans="2:8" x14ac:dyDescent="0.35">
      <c r="B4205"/>
      <c r="C4205"/>
      <c r="H4205"/>
    </row>
    <row r="4206" spans="2:8" x14ac:dyDescent="0.35">
      <c r="B4206"/>
      <c r="C4206"/>
      <c r="H4206"/>
    </row>
    <row r="4207" spans="2:8" x14ac:dyDescent="0.35">
      <c r="B4207"/>
      <c r="C4207"/>
      <c r="H4207"/>
    </row>
    <row r="4208" spans="2:8" x14ac:dyDescent="0.35">
      <c r="B4208"/>
      <c r="C4208"/>
      <c r="H4208"/>
    </row>
    <row r="4209" spans="2:8" x14ac:dyDescent="0.35">
      <c r="B4209"/>
      <c r="C4209"/>
      <c r="H4209"/>
    </row>
    <row r="4210" spans="2:8" x14ac:dyDescent="0.35">
      <c r="B4210"/>
      <c r="C4210"/>
      <c r="H4210"/>
    </row>
    <row r="4211" spans="2:8" x14ac:dyDescent="0.35">
      <c r="B4211"/>
      <c r="C4211"/>
      <c r="H4211"/>
    </row>
    <row r="4212" spans="2:8" x14ac:dyDescent="0.35">
      <c r="B4212"/>
      <c r="C4212"/>
      <c r="H4212"/>
    </row>
    <row r="4213" spans="2:8" x14ac:dyDescent="0.35">
      <c r="B4213"/>
      <c r="C4213"/>
      <c r="H4213"/>
    </row>
    <row r="4214" spans="2:8" x14ac:dyDescent="0.35">
      <c r="B4214"/>
      <c r="C4214"/>
      <c r="H4214"/>
    </row>
    <row r="4215" spans="2:8" x14ac:dyDescent="0.35">
      <c r="B4215"/>
      <c r="C4215"/>
      <c r="H4215"/>
    </row>
    <row r="4216" spans="2:8" x14ac:dyDescent="0.35">
      <c r="B4216"/>
      <c r="C4216"/>
      <c r="H4216"/>
    </row>
    <row r="4217" spans="2:8" x14ac:dyDescent="0.35">
      <c r="B4217"/>
      <c r="C4217"/>
      <c r="H4217"/>
    </row>
    <row r="4218" spans="2:8" x14ac:dyDescent="0.35">
      <c r="B4218"/>
      <c r="C4218"/>
      <c r="H4218"/>
    </row>
    <row r="4219" spans="2:8" x14ac:dyDescent="0.35">
      <c r="B4219"/>
      <c r="C4219"/>
      <c r="H4219"/>
    </row>
    <row r="4220" spans="2:8" x14ac:dyDescent="0.35">
      <c r="B4220"/>
      <c r="C4220"/>
      <c r="H4220"/>
    </row>
    <row r="4221" spans="2:8" x14ac:dyDescent="0.35">
      <c r="B4221"/>
      <c r="C4221"/>
      <c r="H4221"/>
    </row>
    <row r="4222" spans="2:8" x14ac:dyDescent="0.35">
      <c r="B4222"/>
      <c r="C4222"/>
      <c r="H4222"/>
    </row>
    <row r="4223" spans="2:8" x14ac:dyDescent="0.35">
      <c r="B4223"/>
      <c r="C4223"/>
      <c r="H4223"/>
    </row>
    <row r="4224" spans="2:8" x14ac:dyDescent="0.35">
      <c r="B4224"/>
      <c r="C4224"/>
      <c r="H4224"/>
    </row>
    <row r="4225" spans="2:8" x14ac:dyDescent="0.35">
      <c r="B4225"/>
      <c r="C4225"/>
      <c r="H4225"/>
    </row>
    <row r="4226" spans="2:8" x14ac:dyDescent="0.35">
      <c r="B4226"/>
      <c r="C4226"/>
      <c r="H4226"/>
    </row>
    <row r="4227" spans="2:8" x14ac:dyDescent="0.35">
      <c r="B4227"/>
      <c r="C4227"/>
      <c r="H4227"/>
    </row>
    <row r="4228" spans="2:8" x14ac:dyDescent="0.35">
      <c r="B4228"/>
      <c r="C4228"/>
      <c r="H4228"/>
    </row>
    <row r="4229" spans="2:8" x14ac:dyDescent="0.35">
      <c r="B4229"/>
      <c r="C4229"/>
      <c r="H4229"/>
    </row>
    <row r="4230" spans="2:8" x14ac:dyDescent="0.35">
      <c r="B4230"/>
      <c r="C4230"/>
      <c r="H4230"/>
    </row>
    <row r="4231" spans="2:8" x14ac:dyDescent="0.35">
      <c r="B4231"/>
      <c r="C4231"/>
      <c r="H4231"/>
    </row>
    <row r="4232" spans="2:8" x14ac:dyDescent="0.35">
      <c r="B4232"/>
      <c r="C4232"/>
      <c r="H4232"/>
    </row>
    <row r="4233" spans="2:8" x14ac:dyDescent="0.35">
      <c r="B4233"/>
      <c r="C4233"/>
      <c r="H4233"/>
    </row>
    <row r="4234" spans="2:8" x14ac:dyDescent="0.35">
      <c r="B4234"/>
      <c r="C4234"/>
      <c r="H4234"/>
    </row>
    <row r="4235" spans="2:8" x14ac:dyDescent="0.35">
      <c r="B4235"/>
      <c r="C4235"/>
      <c r="H4235"/>
    </row>
    <row r="4236" spans="2:8" x14ac:dyDescent="0.35">
      <c r="B4236"/>
      <c r="C4236"/>
      <c r="H4236"/>
    </row>
    <row r="4237" spans="2:8" x14ac:dyDescent="0.35">
      <c r="B4237"/>
      <c r="C4237"/>
      <c r="H4237"/>
    </row>
    <row r="4238" spans="2:8" x14ac:dyDescent="0.35">
      <c r="B4238"/>
      <c r="C4238"/>
      <c r="H4238"/>
    </row>
    <row r="4239" spans="2:8" x14ac:dyDescent="0.35">
      <c r="B4239"/>
      <c r="C4239"/>
      <c r="H4239"/>
    </row>
    <row r="4240" spans="2:8" x14ac:dyDescent="0.35">
      <c r="B4240"/>
      <c r="C4240"/>
      <c r="H4240"/>
    </row>
    <row r="4241" spans="2:8" x14ac:dyDescent="0.35">
      <c r="B4241"/>
      <c r="C4241"/>
      <c r="H4241"/>
    </row>
    <row r="4242" spans="2:8" x14ac:dyDescent="0.35">
      <c r="B4242"/>
      <c r="C4242"/>
      <c r="H4242"/>
    </row>
    <row r="4243" spans="2:8" x14ac:dyDescent="0.35">
      <c r="B4243"/>
      <c r="C4243"/>
      <c r="H4243"/>
    </row>
    <row r="4244" spans="2:8" x14ac:dyDescent="0.35">
      <c r="B4244"/>
      <c r="C4244"/>
      <c r="H4244"/>
    </row>
    <row r="4245" spans="2:8" x14ac:dyDescent="0.35">
      <c r="B4245"/>
      <c r="C4245"/>
      <c r="H4245"/>
    </row>
    <row r="4246" spans="2:8" x14ac:dyDescent="0.35">
      <c r="B4246"/>
      <c r="C4246"/>
      <c r="H4246"/>
    </row>
    <row r="4247" spans="2:8" x14ac:dyDescent="0.35">
      <c r="B4247"/>
      <c r="C4247"/>
      <c r="H4247"/>
    </row>
    <row r="4248" spans="2:8" x14ac:dyDescent="0.35">
      <c r="B4248"/>
      <c r="C4248"/>
      <c r="H4248"/>
    </row>
    <row r="4249" spans="2:8" x14ac:dyDescent="0.35">
      <c r="B4249"/>
      <c r="C4249"/>
      <c r="H4249"/>
    </row>
    <row r="4250" spans="2:8" x14ac:dyDescent="0.35">
      <c r="B4250"/>
      <c r="C4250"/>
      <c r="H4250"/>
    </row>
    <row r="4251" spans="2:8" x14ac:dyDescent="0.35">
      <c r="B4251"/>
      <c r="C4251"/>
      <c r="H4251"/>
    </row>
    <row r="4252" spans="2:8" x14ac:dyDescent="0.35">
      <c r="B4252"/>
      <c r="C4252"/>
      <c r="H4252"/>
    </row>
    <row r="4253" spans="2:8" x14ac:dyDescent="0.35">
      <c r="B4253"/>
      <c r="C4253"/>
      <c r="H4253"/>
    </row>
    <row r="4254" spans="2:8" x14ac:dyDescent="0.35">
      <c r="B4254"/>
      <c r="C4254"/>
      <c r="H4254"/>
    </row>
    <row r="4255" spans="2:8" x14ac:dyDescent="0.35">
      <c r="B4255"/>
      <c r="C4255"/>
      <c r="H4255"/>
    </row>
    <row r="4256" spans="2:8" x14ac:dyDescent="0.35">
      <c r="B4256"/>
      <c r="C4256"/>
      <c r="H4256"/>
    </row>
    <row r="4257" spans="2:8" x14ac:dyDescent="0.35">
      <c r="B4257"/>
      <c r="C4257"/>
      <c r="H4257"/>
    </row>
    <row r="4258" spans="2:8" x14ac:dyDescent="0.35">
      <c r="B4258"/>
      <c r="C4258"/>
      <c r="H4258"/>
    </row>
    <row r="4259" spans="2:8" x14ac:dyDescent="0.35">
      <c r="B4259"/>
      <c r="C4259"/>
      <c r="H4259"/>
    </row>
    <row r="4260" spans="2:8" x14ac:dyDescent="0.35">
      <c r="B4260"/>
      <c r="C4260"/>
      <c r="H4260"/>
    </row>
    <row r="4261" spans="2:8" x14ac:dyDescent="0.35">
      <c r="B4261"/>
      <c r="C4261"/>
      <c r="H4261"/>
    </row>
    <row r="4262" spans="2:8" x14ac:dyDescent="0.35">
      <c r="B4262"/>
      <c r="C4262"/>
      <c r="H4262"/>
    </row>
    <row r="4263" spans="2:8" x14ac:dyDescent="0.35">
      <c r="B4263"/>
      <c r="C4263"/>
      <c r="H4263"/>
    </row>
    <row r="4264" spans="2:8" x14ac:dyDescent="0.35">
      <c r="B4264"/>
      <c r="C4264"/>
      <c r="H4264"/>
    </row>
    <row r="4265" spans="2:8" x14ac:dyDescent="0.35">
      <c r="B4265"/>
      <c r="C4265"/>
      <c r="H4265"/>
    </row>
    <row r="4266" spans="2:8" x14ac:dyDescent="0.35">
      <c r="B4266"/>
      <c r="C4266"/>
      <c r="H4266"/>
    </row>
    <row r="4267" spans="2:8" x14ac:dyDescent="0.35">
      <c r="B4267"/>
      <c r="C4267"/>
      <c r="H4267"/>
    </row>
    <row r="4268" spans="2:8" x14ac:dyDescent="0.35">
      <c r="B4268"/>
      <c r="C4268"/>
      <c r="H4268"/>
    </row>
    <row r="4269" spans="2:8" x14ac:dyDescent="0.35">
      <c r="B4269"/>
      <c r="C4269"/>
      <c r="H4269"/>
    </row>
    <row r="4270" spans="2:8" x14ac:dyDescent="0.35">
      <c r="B4270"/>
      <c r="C4270"/>
      <c r="H4270"/>
    </row>
    <row r="4271" spans="2:8" x14ac:dyDescent="0.35">
      <c r="B4271"/>
      <c r="C4271"/>
      <c r="H4271"/>
    </row>
    <row r="4272" spans="2:8" x14ac:dyDescent="0.35">
      <c r="B4272"/>
      <c r="C4272"/>
      <c r="H4272"/>
    </row>
    <row r="4273" spans="2:8" x14ac:dyDescent="0.35">
      <c r="B4273"/>
      <c r="C4273"/>
      <c r="H4273"/>
    </row>
    <row r="4274" spans="2:8" x14ac:dyDescent="0.35">
      <c r="B4274"/>
      <c r="C4274"/>
      <c r="H4274"/>
    </row>
    <row r="4275" spans="2:8" x14ac:dyDescent="0.35">
      <c r="B4275"/>
      <c r="C4275"/>
      <c r="H4275"/>
    </row>
    <row r="4276" spans="2:8" x14ac:dyDescent="0.35">
      <c r="B4276"/>
      <c r="C4276"/>
      <c r="H4276"/>
    </row>
    <row r="4277" spans="2:8" x14ac:dyDescent="0.35">
      <c r="B4277"/>
      <c r="C4277"/>
      <c r="H4277"/>
    </row>
    <row r="4278" spans="2:8" x14ac:dyDescent="0.35">
      <c r="B4278"/>
      <c r="C4278"/>
      <c r="H4278"/>
    </row>
    <row r="4279" spans="2:8" x14ac:dyDescent="0.35">
      <c r="B4279"/>
      <c r="C4279"/>
      <c r="H4279"/>
    </row>
    <row r="4280" spans="2:8" x14ac:dyDescent="0.35">
      <c r="B4280"/>
      <c r="C4280"/>
      <c r="H4280"/>
    </row>
    <row r="4281" spans="2:8" x14ac:dyDescent="0.35">
      <c r="B4281"/>
      <c r="C4281"/>
      <c r="H4281"/>
    </row>
    <row r="4282" spans="2:8" x14ac:dyDescent="0.35">
      <c r="B4282"/>
      <c r="C4282"/>
      <c r="H4282"/>
    </row>
    <row r="4283" spans="2:8" x14ac:dyDescent="0.35">
      <c r="B4283"/>
      <c r="C4283"/>
      <c r="H4283"/>
    </row>
    <row r="4284" spans="2:8" x14ac:dyDescent="0.35">
      <c r="B4284"/>
      <c r="C4284"/>
      <c r="H4284"/>
    </row>
    <row r="4285" spans="2:8" x14ac:dyDescent="0.35">
      <c r="B4285"/>
      <c r="C4285"/>
      <c r="H4285"/>
    </row>
    <row r="4286" spans="2:8" x14ac:dyDescent="0.35">
      <c r="B4286"/>
      <c r="C4286"/>
      <c r="H4286"/>
    </row>
    <row r="4287" spans="2:8" x14ac:dyDescent="0.35">
      <c r="B4287"/>
      <c r="C4287"/>
      <c r="H4287"/>
    </row>
    <row r="4288" spans="2:8" x14ac:dyDescent="0.35">
      <c r="B4288"/>
      <c r="C4288"/>
      <c r="H4288"/>
    </row>
    <row r="4289" spans="2:8" x14ac:dyDescent="0.35">
      <c r="B4289"/>
      <c r="C4289"/>
      <c r="H4289"/>
    </row>
    <row r="4290" spans="2:8" x14ac:dyDescent="0.35">
      <c r="B4290"/>
      <c r="C4290"/>
      <c r="H4290"/>
    </row>
    <row r="4291" spans="2:8" x14ac:dyDescent="0.35">
      <c r="B4291"/>
      <c r="C4291"/>
      <c r="H4291"/>
    </row>
    <row r="4292" spans="2:8" x14ac:dyDescent="0.35">
      <c r="B4292"/>
      <c r="C4292"/>
      <c r="H4292"/>
    </row>
    <row r="4293" spans="2:8" x14ac:dyDescent="0.35">
      <c r="B4293"/>
      <c r="C4293"/>
      <c r="H4293"/>
    </row>
    <row r="4294" spans="2:8" x14ac:dyDescent="0.35">
      <c r="B4294"/>
      <c r="C4294"/>
      <c r="H4294"/>
    </row>
    <row r="4295" spans="2:8" x14ac:dyDescent="0.35">
      <c r="B4295"/>
      <c r="C4295"/>
      <c r="H4295"/>
    </row>
    <row r="4296" spans="2:8" x14ac:dyDescent="0.35">
      <c r="B4296"/>
      <c r="C4296"/>
      <c r="H4296"/>
    </row>
    <row r="4297" spans="2:8" x14ac:dyDescent="0.35">
      <c r="B4297"/>
      <c r="C4297"/>
      <c r="H4297"/>
    </row>
    <row r="4298" spans="2:8" x14ac:dyDescent="0.35">
      <c r="B4298"/>
      <c r="C4298"/>
      <c r="H4298"/>
    </row>
    <row r="4299" spans="2:8" x14ac:dyDescent="0.35">
      <c r="B4299"/>
      <c r="C4299"/>
      <c r="H4299"/>
    </row>
    <row r="4300" spans="2:8" x14ac:dyDescent="0.35">
      <c r="B4300"/>
      <c r="C4300"/>
      <c r="H4300"/>
    </row>
    <row r="4301" spans="2:8" x14ac:dyDescent="0.35">
      <c r="B4301"/>
      <c r="C4301"/>
      <c r="H4301"/>
    </row>
    <row r="4302" spans="2:8" x14ac:dyDescent="0.35">
      <c r="B4302"/>
      <c r="C4302"/>
      <c r="H4302"/>
    </row>
    <row r="4303" spans="2:8" x14ac:dyDescent="0.35">
      <c r="B4303"/>
      <c r="C4303"/>
      <c r="H4303"/>
    </row>
    <row r="4304" spans="2:8" x14ac:dyDescent="0.35">
      <c r="B4304"/>
      <c r="C4304"/>
      <c r="H4304"/>
    </row>
    <row r="4305" spans="2:8" x14ac:dyDescent="0.35">
      <c r="B4305"/>
      <c r="C4305"/>
      <c r="H4305"/>
    </row>
    <row r="4306" spans="2:8" x14ac:dyDescent="0.35">
      <c r="B4306"/>
      <c r="C4306"/>
      <c r="H4306"/>
    </row>
    <row r="4307" spans="2:8" x14ac:dyDescent="0.35">
      <c r="B4307"/>
      <c r="C4307"/>
      <c r="H4307"/>
    </row>
    <row r="4308" spans="2:8" x14ac:dyDescent="0.35">
      <c r="B4308"/>
      <c r="C4308"/>
      <c r="H4308"/>
    </row>
    <row r="4309" spans="2:8" x14ac:dyDescent="0.35">
      <c r="B4309"/>
      <c r="C4309"/>
      <c r="H4309"/>
    </row>
    <row r="4310" spans="2:8" x14ac:dyDescent="0.35">
      <c r="B4310"/>
      <c r="C4310"/>
      <c r="H4310"/>
    </row>
    <row r="4311" spans="2:8" x14ac:dyDescent="0.35">
      <c r="B4311"/>
      <c r="C4311"/>
      <c r="H4311"/>
    </row>
    <row r="4312" spans="2:8" x14ac:dyDescent="0.35">
      <c r="B4312"/>
      <c r="C4312"/>
      <c r="H4312"/>
    </row>
    <row r="4313" spans="2:8" x14ac:dyDescent="0.35">
      <c r="B4313"/>
      <c r="C4313"/>
      <c r="H4313"/>
    </row>
    <row r="4314" spans="2:8" x14ac:dyDescent="0.35">
      <c r="B4314"/>
      <c r="C4314"/>
      <c r="H4314"/>
    </row>
    <row r="4315" spans="2:8" x14ac:dyDescent="0.35">
      <c r="B4315"/>
      <c r="C4315"/>
      <c r="H4315"/>
    </row>
    <row r="4316" spans="2:8" x14ac:dyDescent="0.35">
      <c r="B4316"/>
      <c r="C4316"/>
      <c r="H4316"/>
    </row>
    <row r="4317" spans="2:8" x14ac:dyDescent="0.35">
      <c r="B4317"/>
      <c r="C4317"/>
      <c r="H4317"/>
    </row>
    <row r="4318" spans="2:8" x14ac:dyDescent="0.35">
      <c r="B4318"/>
      <c r="C4318"/>
      <c r="H4318"/>
    </row>
    <row r="4319" spans="2:8" x14ac:dyDescent="0.35">
      <c r="B4319"/>
      <c r="C4319"/>
      <c r="H4319"/>
    </row>
    <row r="4320" spans="2:8" x14ac:dyDescent="0.35">
      <c r="B4320"/>
      <c r="C4320"/>
      <c r="H4320"/>
    </row>
    <row r="4321" spans="2:8" x14ac:dyDescent="0.35">
      <c r="B4321"/>
      <c r="C4321"/>
      <c r="H4321"/>
    </row>
    <row r="4322" spans="2:8" x14ac:dyDescent="0.35">
      <c r="B4322"/>
      <c r="C4322"/>
      <c r="H4322"/>
    </row>
    <row r="4323" spans="2:8" x14ac:dyDescent="0.35">
      <c r="B4323"/>
      <c r="C4323"/>
      <c r="H4323"/>
    </row>
    <row r="4324" spans="2:8" x14ac:dyDescent="0.35">
      <c r="B4324"/>
      <c r="C4324"/>
      <c r="H4324"/>
    </row>
    <row r="4325" spans="2:8" x14ac:dyDescent="0.35">
      <c r="B4325"/>
      <c r="C4325"/>
      <c r="H4325"/>
    </row>
    <row r="4326" spans="2:8" x14ac:dyDescent="0.35">
      <c r="B4326"/>
      <c r="C4326"/>
      <c r="H4326"/>
    </row>
    <row r="4327" spans="2:8" x14ac:dyDescent="0.35">
      <c r="B4327"/>
      <c r="C4327"/>
      <c r="H4327"/>
    </row>
    <row r="4328" spans="2:8" x14ac:dyDescent="0.35">
      <c r="B4328"/>
      <c r="C4328"/>
      <c r="H4328"/>
    </row>
    <row r="4329" spans="2:8" x14ac:dyDescent="0.35">
      <c r="B4329"/>
      <c r="C4329"/>
      <c r="H4329"/>
    </row>
    <row r="4330" spans="2:8" x14ac:dyDescent="0.35">
      <c r="B4330"/>
      <c r="C4330"/>
      <c r="H4330"/>
    </row>
    <row r="4331" spans="2:8" x14ac:dyDescent="0.35">
      <c r="B4331"/>
      <c r="C4331"/>
      <c r="H4331"/>
    </row>
    <row r="4332" spans="2:8" x14ac:dyDescent="0.35">
      <c r="B4332"/>
      <c r="C4332"/>
      <c r="H4332"/>
    </row>
    <row r="4333" spans="2:8" x14ac:dyDescent="0.35">
      <c r="B4333"/>
      <c r="C4333"/>
      <c r="H4333"/>
    </row>
    <row r="4334" spans="2:8" x14ac:dyDescent="0.35">
      <c r="B4334"/>
      <c r="C4334"/>
      <c r="H4334"/>
    </row>
    <row r="4335" spans="2:8" x14ac:dyDescent="0.35">
      <c r="B4335"/>
      <c r="C4335"/>
      <c r="H4335"/>
    </row>
    <row r="4336" spans="2:8" x14ac:dyDescent="0.35">
      <c r="B4336"/>
      <c r="C4336"/>
      <c r="H4336"/>
    </row>
    <row r="4337" spans="2:8" x14ac:dyDescent="0.35">
      <c r="B4337"/>
      <c r="C4337"/>
      <c r="H4337"/>
    </row>
    <row r="4338" spans="2:8" x14ac:dyDescent="0.35">
      <c r="B4338"/>
      <c r="C4338"/>
      <c r="H4338"/>
    </row>
    <row r="4339" spans="2:8" x14ac:dyDescent="0.35">
      <c r="B4339"/>
      <c r="C4339"/>
      <c r="H4339"/>
    </row>
    <row r="4340" spans="2:8" x14ac:dyDescent="0.35">
      <c r="B4340"/>
      <c r="C4340"/>
      <c r="H4340"/>
    </row>
    <row r="4341" spans="2:8" x14ac:dyDescent="0.35">
      <c r="B4341"/>
      <c r="C4341"/>
      <c r="H4341"/>
    </row>
    <row r="4342" spans="2:8" x14ac:dyDescent="0.35">
      <c r="B4342"/>
      <c r="C4342"/>
      <c r="H4342"/>
    </row>
    <row r="4343" spans="2:8" x14ac:dyDescent="0.35">
      <c r="B4343"/>
      <c r="C4343"/>
      <c r="H4343"/>
    </row>
    <row r="4344" spans="2:8" x14ac:dyDescent="0.35">
      <c r="B4344"/>
      <c r="C4344"/>
      <c r="H4344"/>
    </row>
    <row r="4345" spans="2:8" x14ac:dyDescent="0.35">
      <c r="B4345"/>
      <c r="C4345"/>
      <c r="H4345"/>
    </row>
    <row r="4346" spans="2:8" x14ac:dyDescent="0.35">
      <c r="B4346"/>
      <c r="C4346"/>
      <c r="H4346"/>
    </row>
    <row r="4347" spans="2:8" x14ac:dyDescent="0.35">
      <c r="B4347"/>
      <c r="C4347"/>
      <c r="H4347"/>
    </row>
    <row r="4348" spans="2:8" x14ac:dyDescent="0.35">
      <c r="B4348"/>
      <c r="C4348"/>
      <c r="H4348"/>
    </row>
    <row r="4349" spans="2:8" x14ac:dyDescent="0.35">
      <c r="B4349"/>
      <c r="C4349"/>
      <c r="H4349"/>
    </row>
    <row r="4350" spans="2:8" x14ac:dyDescent="0.35">
      <c r="B4350"/>
      <c r="C4350"/>
      <c r="H4350"/>
    </row>
    <row r="4351" spans="2:8" x14ac:dyDescent="0.35">
      <c r="B4351"/>
      <c r="C4351"/>
      <c r="H4351"/>
    </row>
    <row r="4352" spans="2:8" x14ac:dyDescent="0.35">
      <c r="B4352"/>
      <c r="C4352"/>
      <c r="H4352"/>
    </row>
    <row r="4353" spans="2:8" x14ac:dyDescent="0.35">
      <c r="B4353"/>
      <c r="C4353"/>
      <c r="H4353"/>
    </row>
    <row r="4354" spans="2:8" x14ac:dyDescent="0.35">
      <c r="B4354"/>
      <c r="C4354"/>
      <c r="H4354"/>
    </row>
    <row r="4355" spans="2:8" x14ac:dyDescent="0.35">
      <c r="B4355"/>
      <c r="C4355"/>
      <c r="H4355"/>
    </row>
    <row r="4356" spans="2:8" x14ac:dyDescent="0.35">
      <c r="B4356"/>
      <c r="C4356"/>
      <c r="H4356"/>
    </row>
    <row r="4357" spans="2:8" x14ac:dyDescent="0.35">
      <c r="B4357"/>
      <c r="C4357"/>
      <c r="H4357"/>
    </row>
    <row r="4358" spans="2:8" x14ac:dyDescent="0.35">
      <c r="B4358"/>
      <c r="C4358"/>
      <c r="H4358"/>
    </row>
    <row r="4359" spans="2:8" x14ac:dyDescent="0.35">
      <c r="B4359"/>
      <c r="C4359"/>
      <c r="H4359"/>
    </row>
    <row r="4360" spans="2:8" x14ac:dyDescent="0.35">
      <c r="B4360"/>
      <c r="C4360"/>
      <c r="H4360"/>
    </row>
    <row r="4361" spans="2:8" x14ac:dyDescent="0.35">
      <c r="B4361"/>
      <c r="C4361"/>
      <c r="H4361"/>
    </row>
    <row r="4362" spans="2:8" x14ac:dyDescent="0.35">
      <c r="B4362"/>
      <c r="C4362"/>
      <c r="H4362"/>
    </row>
    <row r="4363" spans="2:8" x14ac:dyDescent="0.35">
      <c r="B4363"/>
      <c r="C4363"/>
      <c r="H4363"/>
    </row>
    <row r="4364" spans="2:8" x14ac:dyDescent="0.35">
      <c r="B4364"/>
      <c r="C4364"/>
      <c r="H4364"/>
    </row>
    <row r="4365" spans="2:8" x14ac:dyDescent="0.35">
      <c r="B4365"/>
      <c r="C4365"/>
      <c r="H4365"/>
    </row>
    <row r="4366" spans="2:8" x14ac:dyDescent="0.35">
      <c r="B4366"/>
      <c r="C4366"/>
      <c r="H4366"/>
    </row>
    <row r="4367" spans="2:8" x14ac:dyDescent="0.35">
      <c r="B4367"/>
      <c r="C4367"/>
      <c r="H4367"/>
    </row>
    <row r="4368" spans="2:8" x14ac:dyDescent="0.35">
      <c r="B4368"/>
      <c r="C4368"/>
      <c r="H4368"/>
    </row>
    <row r="4369" spans="2:8" x14ac:dyDescent="0.35">
      <c r="B4369"/>
      <c r="C4369"/>
      <c r="H4369"/>
    </row>
    <row r="4370" spans="2:8" x14ac:dyDescent="0.35">
      <c r="B4370"/>
      <c r="C4370"/>
      <c r="H4370"/>
    </row>
    <row r="4371" spans="2:8" x14ac:dyDescent="0.35">
      <c r="B4371"/>
      <c r="C4371"/>
      <c r="H4371"/>
    </row>
    <row r="4372" spans="2:8" x14ac:dyDescent="0.35">
      <c r="B4372"/>
      <c r="C4372"/>
      <c r="H4372"/>
    </row>
    <row r="4373" spans="2:8" x14ac:dyDescent="0.35">
      <c r="B4373"/>
      <c r="C4373"/>
      <c r="H4373"/>
    </row>
    <row r="4374" spans="2:8" x14ac:dyDescent="0.35">
      <c r="B4374"/>
      <c r="C4374"/>
      <c r="H4374"/>
    </row>
    <row r="4375" spans="2:8" x14ac:dyDescent="0.35">
      <c r="B4375"/>
      <c r="C4375"/>
      <c r="H4375"/>
    </row>
    <row r="4376" spans="2:8" x14ac:dyDescent="0.35">
      <c r="B4376"/>
      <c r="C4376"/>
      <c r="H4376"/>
    </row>
    <row r="4377" spans="2:8" x14ac:dyDescent="0.35">
      <c r="B4377"/>
      <c r="C4377"/>
      <c r="H4377"/>
    </row>
    <row r="4378" spans="2:8" x14ac:dyDescent="0.35">
      <c r="B4378"/>
      <c r="C4378"/>
      <c r="H4378"/>
    </row>
    <row r="4379" spans="2:8" x14ac:dyDescent="0.35">
      <c r="B4379"/>
      <c r="C4379"/>
      <c r="H4379"/>
    </row>
    <row r="4380" spans="2:8" x14ac:dyDescent="0.35">
      <c r="B4380"/>
      <c r="C4380"/>
      <c r="H4380"/>
    </row>
    <row r="4381" spans="2:8" x14ac:dyDescent="0.35">
      <c r="B4381"/>
      <c r="C4381"/>
      <c r="H4381"/>
    </row>
    <row r="4382" spans="2:8" x14ac:dyDescent="0.35">
      <c r="B4382"/>
      <c r="C4382"/>
      <c r="H4382"/>
    </row>
    <row r="4383" spans="2:8" x14ac:dyDescent="0.35">
      <c r="B4383"/>
      <c r="C4383"/>
      <c r="H4383"/>
    </row>
    <row r="4384" spans="2:8" x14ac:dyDescent="0.35">
      <c r="B4384"/>
      <c r="C4384"/>
      <c r="H4384"/>
    </row>
    <row r="4385" spans="2:8" x14ac:dyDescent="0.35">
      <c r="B4385"/>
      <c r="C4385"/>
      <c r="H4385"/>
    </row>
    <row r="4386" spans="2:8" x14ac:dyDescent="0.35">
      <c r="B4386"/>
      <c r="C4386"/>
      <c r="H4386"/>
    </row>
    <row r="4387" spans="2:8" x14ac:dyDescent="0.35">
      <c r="B4387"/>
      <c r="C4387"/>
      <c r="H4387"/>
    </row>
    <row r="4388" spans="2:8" x14ac:dyDescent="0.35">
      <c r="B4388"/>
      <c r="C4388"/>
      <c r="H4388"/>
    </row>
    <row r="4389" spans="2:8" x14ac:dyDescent="0.35">
      <c r="B4389"/>
      <c r="C4389"/>
      <c r="H4389"/>
    </row>
    <row r="4390" spans="2:8" x14ac:dyDescent="0.35">
      <c r="B4390"/>
      <c r="C4390"/>
      <c r="H4390"/>
    </row>
    <row r="4391" spans="2:8" x14ac:dyDescent="0.35">
      <c r="B4391"/>
      <c r="C4391"/>
      <c r="H4391"/>
    </row>
    <row r="4392" spans="2:8" x14ac:dyDescent="0.35">
      <c r="B4392"/>
      <c r="C4392"/>
      <c r="H4392"/>
    </row>
    <row r="4393" spans="2:8" x14ac:dyDescent="0.35">
      <c r="B4393"/>
      <c r="C4393"/>
      <c r="H4393"/>
    </row>
    <row r="4394" spans="2:8" x14ac:dyDescent="0.35">
      <c r="B4394"/>
      <c r="C4394"/>
      <c r="H4394"/>
    </row>
    <row r="4395" spans="2:8" x14ac:dyDescent="0.35">
      <c r="B4395"/>
      <c r="C4395"/>
      <c r="H4395"/>
    </row>
    <row r="4396" spans="2:8" x14ac:dyDescent="0.35">
      <c r="B4396"/>
      <c r="C4396"/>
      <c r="H4396"/>
    </row>
    <row r="4397" spans="2:8" x14ac:dyDescent="0.35">
      <c r="B4397"/>
      <c r="C4397"/>
      <c r="H4397"/>
    </row>
    <row r="4398" spans="2:8" x14ac:dyDescent="0.35">
      <c r="B4398"/>
      <c r="C4398"/>
      <c r="H4398"/>
    </row>
    <row r="4399" spans="2:8" x14ac:dyDescent="0.35">
      <c r="B4399"/>
      <c r="C4399"/>
      <c r="H4399"/>
    </row>
    <row r="4400" spans="2:8" x14ac:dyDescent="0.35">
      <c r="B4400"/>
      <c r="C4400"/>
      <c r="H4400"/>
    </row>
    <row r="4401" spans="2:8" x14ac:dyDescent="0.35">
      <c r="B4401"/>
      <c r="C4401"/>
      <c r="H4401"/>
    </row>
    <row r="4402" spans="2:8" x14ac:dyDescent="0.35">
      <c r="B4402"/>
      <c r="C4402"/>
      <c r="H4402"/>
    </row>
    <row r="4403" spans="2:8" x14ac:dyDescent="0.35">
      <c r="B4403"/>
      <c r="C4403"/>
      <c r="H4403"/>
    </row>
    <row r="4404" spans="2:8" x14ac:dyDescent="0.35">
      <c r="B4404"/>
      <c r="C4404"/>
      <c r="H4404"/>
    </row>
    <row r="4405" spans="2:8" x14ac:dyDescent="0.35">
      <c r="B4405"/>
      <c r="C4405"/>
      <c r="H4405"/>
    </row>
    <row r="4406" spans="2:8" x14ac:dyDescent="0.35">
      <c r="B4406"/>
      <c r="C4406"/>
      <c r="H4406"/>
    </row>
    <row r="4407" spans="2:8" x14ac:dyDescent="0.35">
      <c r="B4407"/>
      <c r="C4407"/>
      <c r="H4407"/>
    </row>
    <row r="4408" spans="2:8" x14ac:dyDescent="0.35">
      <c r="B4408"/>
      <c r="C4408"/>
      <c r="H4408"/>
    </row>
    <row r="4409" spans="2:8" x14ac:dyDescent="0.35">
      <c r="B4409"/>
      <c r="C4409"/>
      <c r="H4409"/>
    </row>
    <row r="4410" spans="2:8" x14ac:dyDescent="0.35">
      <c r="B4410"/>
      <c r="C4410"/>
      <c r="H4410"/>
    </row>
    <row r="4411" spans="2:8" x14ac:dyDescent="0.35">
      <c r="B4411"/>
      <c r="C4411"/>
      <c r="H4411"/>
    </row>
    <row r="4412" spans="2:8" x14ac:dyDescent="0.35">
      <c r="B4412"/>
      <c r="C4412"/>
      <c r="H4412"/>
    </row>
    <row r="4413" spans="2:8" x14ac:dyDescent="0.35">
      <c r="B4413"/>
      <c r="C4413"/>
      <c r="H4413"/>
    </row>
    <row r="4414" spans="2:8" x14ac:dyDescent="0.35">
      <c r="B4414"/>
      <c r="C4414"/>
      <c r="H4414"/>
    </row>
    <row r="4415" spans="2:8" x14ac:dyDescent="0.35">
      <c r="B4415"/>
      <c r="C4415"/>
      <c r="H4415"/>
    </row>
    <row r="4416" spans="2:8" x14ac:dyDescent="0.35">
      <c r="B4416"/>
      <c r="C4416"/>
      <c r="H4416"/>
    </row>
    <row r="4417" spans="2:8" x14ac:dyDescent="0.35">
      <c r="B4417"/>
      <c r="C4417"/>
      <c r="H4417"/>
    </row>
    <row r="4418" spans="2:8" x14ac:dyDescent="0.35">
      <c r="B4418"/>
      <c r="C4418"/>
      <c r="H4418"/>
    </row>
    <row r="4419" spans="2:8" x14ac:dyDescent="0.35">
      <c r="B4419"/>
      <c r="C4419"/>
      <c r="H4419"/>
    </row>
    <row r="4420" spans="2:8" x14ac:dyDescent="0.35">
      <c r="B4420"/>
      <c r="C4420"/>
      <c r="H4420"/>
    </row>
    <row r="4421" spans="2:8" x14ac:dyDescent="0.35">
      <c r="B4421"/>
      <c r="C4421"/>
      <c r="H4421"/>
    </row>
    <row r="4422" spans="2:8" x14ac:dyDescent="0.35">
      <c r="B4422"/>
      <c r="C4422"/>
      <c r="H4422"/>
    </row>
    <row r="4423" spans="2:8" x14ac:dyDescent="0.35">
      <c r="B4423"/>
      <c r="C4423"/>
      <c r="H4423"/>
    </row>
    <row r="4424" spans="2:8" x14ac:dyDescent="0.35">
      <c r="B4424"/>
      <c r="C4424"/>
      <c r="H4424"/>
    </row>
    <row r="4425" spans="2:8" x14ac:dyDescent="0.35">
      <c r="B4425"/>
      <c r="C4425"/>
      <c r="H4425"/>
    </row>
    <row r="4426" spans="2:8" x14ac:dyDescent="0.35">
      <c r="B4426"/>
      <c r="C4426"/>
      <c r="H4426"/>
    </row>
    <row r="4427" spans="2:8" x14ac:dyDescent="0.35">
      <c r="B4427"/>
      <c r="C4427"/>
      <c r="H4427"/>
    </row>
    <row r="4428" spans="2:8" x14ac:dyDescent="0.35">
      <c r="B4428"/>
      <c r="C4428"/>
      <c r="H4428"/>
    </row>
    <row r="4429" spans="2:8" x14ac:dyDescent="0.35">
      <c r="B4429"/>
      <c r="C4429"/>
      <c r="H4429"/>
    </row>
    <row r="4430" spans="2:8" x14ac:dyDescent="0.35">
      <c r="B4430"/>
      <c r="C4430"/>
      <c r="H4430"/>
    </row>
    <row r="4431" spans="2:8" x14ac:dyDescent="0.35">
      <c r="B4431"/>
      <c r="C4431"/>
      <c r="H4431"/>
    </row>
    <row r="4432" spans="2:8" x14ac:dyDescent="0.35">
      <c r="B4432"/>
      <c r="C4432"/>
      <c r="H4432"/>
    </row>
    <row r="4433" spans="2:8" x14ac:dyDescent="0.35">
      <c r="B4433"/>
      <c r="C4433"/>
      <c r="H4433"/>
    </row>
    <row r="4434" spans="2:8" x14ac:dyDescent="0.35">
      <c r="B4434"/>
      <c r="C4434"/>
      <c r="H4434"/>
    </row>
    <row r="4435" spans="2:8" x14ac:dyDescent="0.35">
      <c r="B4435"/>
      <c r="C4435"/>
      <c r="H4435"/>
    </row>
    <row r="4436" spans="2:8" x14ac:dyDescent="0.35">
      <c r="B4436"/>
      <c r="C4436"/>
      <c r="H4436"/>
    </row>
    <row r="4437" spans="2:8" x14ac:dyDescent="0.35">
      <c r="B4437"/>
      <c r="C4437"/>
      <c r="H4437"/>
    </row>
    <row r="4438" spans="2:8" x14ac:dyDescent="0.35">
      <c r="B4438"/>
      <c r="C4438"/>
      <c r="H4438"/>
    </row>
    <row r="4439" spans="2:8" x14ac:dyDescent="0.35">
      <c r="B4439"/>
      <c r="C4439"/>
      <c r="H4439"/>
    </row>
    <row r="4440" spans="2:8" x14ac:dyDescent="0.35">
      <c r="B4440"/>
      <c r="C4440"/>
      <c r="H4440"/>
    </row>
    <row r="4441" spans="2:8" x14ac:dyDescent="0.35">
      <c r="B4441"/>
      <c r="C4441"/>
      <c r="H4441"/>
    </row>
    <row r="4442" spans="2:8" x14ac:dyDescent="0.35">
      <c r="B4442"/>
      <c r="C4442"/>
      <c r="H4442"/>
    </row>
    <row r="4443" spans="2:8" x14ac:dyDescent="0.35">
      <c r="B4443"/>
      <c r="C4443"/>
      <c r="H4443"/>
    </row>
    <row r="4444" spans="2:8" x14ac:dyDescent="0.35">
      <c r="B4444"/>
      <c r="C4444"/>
      <c r="H4444"/>
    </row>
    <row r="4445" spans="2:8" x14ac:dyDescent="0.35">
      <c r="B4445"/>
      <c r="C4445"/>
      <c r="H4445"/>
    </row>
    <row r="4446" spans="2:8" x14ac:dyDescent="0.35">
      <c r="B4446"/>
      <c r="C4446"/>
      <c r="H4446"/>
    </row>
    <row r="4447" spans="2:8" x14ac:dyDescent="0.35">
      <c r="B4447"/>
      <c r="C4447"/>
      <c r="H4447"/>
    </row>
    <row r="4448" spans="2:8" x14ac:dyDescent="0.35">
      <c r="B4448"/>
      <c r="C4448"/>
      <c r="H4448"/>
    </row>
    <row r="4449" spans="2:8" x14ac:dyDescent="0.35">
      <c r="B4449"/>
      <c r="C4449"/>
      <c r="H4449"/>
    </row>
    <row r="4450" spans="2:8" x14ac:dyDescent="0.35">
      <c r="B4450"/>
      <c r="C4450"/>
      <c r="H4450"/>
    </row>
    <row r="4451" spans="2:8" x14ac:dyDescent="0.35">
      <c r="B4451"/>
      <c r="C4451"/>
      <c r="H4451"/>
    </row>
    <row r="4452" spans="2:8" x14ac:dyDescent="0.35">
      <c r="B4452"/>
      <c r="C4452"/>
      <c r="H4452"/>
    </row>
    <row r="4453" spans="2:8" x14ac:dyDescent="0.35">
      <c r="B4453"/>
      <c r="C4453"/>
      <c r="H4453"/>
    </row>
    <row r="4454" spans="2:8" x14ac:dyDescent="0.35">
      <c r="B4454"/>
      <c r="C4454"/>
      <c r="H4454"/>
    </row>
    <row r="4455" spans="2:8" x14ac:dyDescent="0.35">
      <c r="B4455"/>
      <c r="C4455"/>
      <c r="H4455"/>
    </row>
    <row r="4456" spans="2:8" x14ac:dyDescent="0.35">
      <c r="B4456"/>
      <c r="C4456"/>
      <c r="H4456"/>
    </row>
    <row r="4457" spans="2:8" x14ac:dyDescent="0.35">
      <c r="B4457"/>
      <c r="C4457"/>
      <c r="H4457"/>
    </row>
    <row r="4458" spans="2:8" x14ac:dyDescent="0.35">
      <c r="B4458"/>
      <c r="C4458"/>
      <c r="H4458"/>
    </row>
    <row r="4459" spans="2:8" x14ac:dyDescent="0.35">
      <c r="B4459"/>
      <c r="C4459"/>
      <c r="H4459"/>
    </row>
    <row r="4460" spans="2:8" x14ac:dyDescent="0.35">
      <c r="B4460"/>
      <c r="C4460"/>
      <c r="H4460"/>
    </row>
    <row r="4461" spans="2:8" x14ac:dyDescent="0.35">
      <c r="B4461"/>
      <c r="C4461"/>
      <c r="H4461"/>
    </row>
    <row r="4462" spans="2:8" x14ac:dyDescent="0.35">
      <c r="B4462"/>
      <c r="C4462"/>
      <c r="H4462"/>
    </row>
    <row r="4463" spans="2:8" x14ac:dyDescent="0.35">
      <c r="B4463"/>
      <c r="C4463"/>
      <c r="H4463"/>
    </row>
    <row r="4464" spans="2:8" x14ac:dyDescent="0.35">
      <c r="B4464"/>
      <c r="C4464"/>
      <c r="H4464"/>
    </row>
    <row r="4465" spans="2:8" x14ac:dyDescent="0.35">
      <c r="B4465"/>
      <c r="C4465"/>
      <c r="H4465"/>
    </row>
    <row r="4466" spans="2:8" x14ac:dyDescent="0.35">
      <c r="B4466"/>
      <c r="C4466"/>
      <c r="H4466"/>
    </row>
    <row r="4467" spans="2:8" x14ac:dyDescent="0.35">
      <c r="B4467"/>
      <c r="C4467"/>
      <c r="H4467"/>
    </row>
    <row r="4468" spans="2:8" x14ac:dyDescent="0.35">
      <c r="B4468"/>
      <c r="C4468"/>
      <c r="H4468"/>
    </row>
    <row r="4469" spans="2:8" x14ac:dyDescent="0.35">
      <c r="B4469"/>
      <c r="C4469"/>
      <c r="H4469"/>
    </row>
    <row r="4470" spans="2:8" x14ac:dyDescent="0.35">
      <c r="B4470"/>
      <c r="C4470"/>
      <c r="H4470"/>
    </row>
    <row r="4471" spans="2:8" x14ac:dyDescent="0.35">
      <c r="B4471"/>
      <c r="C4471"/>
      <c r="H4471"/>
    </row>
    <row r="4472" spans="2:8" x14ac:dyDescent="0.35">
      <c r="B4472"/>
      <c r="C4472"/>
      <c r="H4472"/>
    </row>
    <row r="4473" spans="2:8" x14ac:dyDescent="0.35">
      <c r="B4473"/>
      <c r="C4473"/>
      <c r="H4473"/>
    </row>
    <row r="4474" spans="2:8" x14ac:dyDescent="0.35">
      <c r="B4474"/>
      <c r="C4474"/>
      <c r="H4474"/>
    </row>
    <row r="4475" spans="2:8" x14ac:dyDescent="0.35">
      <c r="B4475"/>
      <c r="C4475"/>
      <c r="H4475"/>
    </row>
    <row r="4476" spans="2:8" x14ac:dyDescent="0.35">
      <c r="B4476"/>
      <c r="C4476"/>
      <c r="H4476"/>
    </row>
    <row r="4477" spans="2:8" x14ac:dyDescent="0.35">
      <c r="B4477"/>
      <c r="C4477"/>
      <c r="H4477"/>
    </row>
    <row r="4478" spans="2:8" x14ac:dyDescent="0.35">
      <c r="B4478"/>
      <c r="C4478"/>
      <c r="H4478"/>
    </row>
    <row r="4479" spans="2:8" x14ac:dyDescent="0.35">
      <c r="B4479"/>
      <c r="C4479"/>
      <c r="H4479"/>
    </row>
    <row r="4480" spans="2:8" x14ac:dyDescent="0.35">
      <c r="B4480"/>
      <c r="C4480"/>
      <c r="H4480"/>
    </row>
    <row r="4481" spans="2:8" x14ac:dyDescent="0.35">
      <c r="B4481"/>
      <c r="C4481"/>
      <c r="H4481"/>
    </row>
    <row r="4482" spans="2:8" x14ac:dyDescent="0.35">
      <c r="B4482"/>
      <c r="C4482"/>
      <c r="H4482"/>
    </row>
    <row r="4483" spans="2:8" x14ac:dyDescent="0.35">
      <c r="B4483"/>
      <c r="C4483"/>
      <c r="H4483"/>
    </row>
    <row r="4484" spans="2:8" x14ac:dyDescent="0.35">
      <c r="B4484"/>
      <c r="C4484"/>
      <c r="H4484"/>
    </row>
    <row r="4485" spans="2:8" x14ac:dyDescent="0.35">
      <c r="B4485"/>
      <c r="C4485"/>
      <c r="H4485"/>
    </row>
    <row r="4486" spans="2:8" x14ac:dyDescent="0.35">
      <c r="B4486"/>
      <c r="C4486"/>
      <c r="H4486"/>
    </row>
    <row r="4487" spans="2:8" x14ac:dyDescent="0.35">
      <c r="B4487"/>
      <c r="C4487"/>
      <c r="H4487"/>
    </row>
    <row r="4488" spans="2:8" x14ac:dyDescent="0.35">
      <c r="B4488"/>
      <c r="C4488"/>
      <c r="H4488"/>
    </row>
    <row r="4489" spans="2:8" x14ac:dyDescent="0.35">
      <c r="B4489"/>
      <c r="C4489"/>
      <c r="H4489"/>
    </row>
    <row r="4490" spans="2:8" x14ac:dyDescent="0.35">
      <c r="B4490"/>
      <c r="C4490"/>
      <c r="H4490"/>
    </row>
    <row r="4491" spans="2:8" x14ac:dyDescent="0.35">
      <c r="B4491"/>
      <c r="C4491"/>
      <c r="H4491"/>
    </row>
    <row r="4492" spans="2:8" x14ac:dyDescent="0.35">
      <c r="B4492"/>
      <c r="C4492"/>
      <c r="H4492"/>
    </row>
    <row r="4493" spans="2:8" x14ac:dyDescent="0.35">
      <c r="B4493"/>
      <c r="C4493"/>
      <c r="H4493"/>
    </row>
    <row r="4494" spans="2:8" x14ac:dyDescent="0.35">
      <c r="B4494"/>
      <c r="C4494"/>
      <c r="H4494"/>
    </row>
    <row r="4495" spans="2:8" x14ac:dyDescent="0.35">
      <c r="B4495"/>
      <c r="C4495"/>
      <c r="H4495"/>
    </row>
    <row r="4496" spans="2:8" x14ac:dyDescent="0.35">
      <c r="B4496"/>
      <c r="C4496"/>
      <c r="H4496"/>
    </row>
    <row r="4497" spans="2:8" x14ac:dyDescent="0.35">
      <c r="B4497"/>
      <c r="C4497"/>
      <c r="H4497"/>
    </row>
    <row r="4498" spans="2:8" x14ac:dyDescent="0.35">
      <c r="B4498"/>
      <c r="C4498"/>
      <c r="H4498"/>
    </row>
    <row r="4499" spans="2:8" x14ac:dyDescent="0.35">
      <c r="B4499"/>
      <c r="C4499"/>
      <c r="H4499"/>
    </row>
    <row r="4500" spans="2:8" x14ac:dyDescent="0.35">
      <c r="B4500"/>
      <c r="C4500"/>
      <c r="H4500"/>
    </row>
    <row r="4501" spans="2:8" x14ac:dyDescent="0.35">
      <c r="B4501"/>
      <c r="C4501"/>
      <c r="H4501"/>
    </row>
    <row r="4502" spans="2:8" x14ac:dyDescent="0.35">
      <c r="B4502"/>
      <c r="C4502"/>
      <c r="H4502"/>
    </row>
    <row r="4503" spans="2:8" x14ac:dyDescent="0.35">
      <c r="B4503"/>
      <c r="C4503"/>
      <c r="H4503"/>
    </row>
    <row r="4504" spans="2:8" x14ac:dyDescent="0.35">
      <c r="B4504"/>
      <c r="C4504"/>
      <c r="H4504"/>
    </row>
    <row r="4505" spans="2:8" x14ac:dyDescent="0.35">
      <c r="B4505"/>
      <c r="C4505"/>
      <c r="H4505"/>
    </row>
    <row r="4506" spans="2:8" x14ac:dyDescent="0.35">
      <c r="B4506"/>
      <c r="C4506"/>
      <c r="H4506"/>
    </row>
    <row r="4507" spans="2:8" x14ac:dyDescent="0.35">
      <c r="B4507"/>
      <c r="C4507"/>
      <c r="H4507"/>
    </row>
    <row r="4508" spans="2:8" x14ac:dyDescent="0.35">
      <c r="B4508"/>
      <c r="C4508"/>
      <c r="H4508"/>
    </row>
    <row r="4509" spans="2:8" x14ac:dyDescent="0.35">
      <c r="B4509"/>
      <c r="C4509"/>
      <c r="H4509"/>
    </row>
    <row r="4510" spans="2:8" x14ac:dyDescent="0.35">
      <c r="B4510"/>
      <c r="C4510"/>
      <c r="H4510"/>
    </row>
    <row r="4511" spans="2:8" x14ac:dyDescent="0.35">
      <c r="B4511"/>
      <c r="C4511"/>
      <c r="H4511"/>
    </row>
    <row r="4512" spans="2:8" x14ac:dyDescent="0.35">
      <c r="B4512"/>
      <c r="C4512"/>
      <c r="H4512"/>
    </row>
    <row r="4513" spans="2:8" x14ac:dyDescent="0.35">
      <c r="B4513"/>
      <c r="C4513"/>
      <c r="H4513"/>
    </row>
    <row r="4514" spans="2:8" x14ac:dyDescent="0.35">
      <c r="B4514"/>
      <c r="C4514"/>
      <c r="H4514"/>
    </row>
    <row r="4515" spans="2:8" x14ac:dyDescent="0.35">
      <c r="B4515"/>
      <c r="C4515"/>
      <c r="H4515"/>
    </row>
    <row r="4516" spans="2:8" x14ac:dyDescent="0.35">
      <c r="B4516"/>
      <c r="C4516"/>
      <c r="H4516"/>
    </row>
    <row r="4517" spans="2:8" x14ac:dyDescent="0.35">
      <c r="B4517"/>
      <c r="C4517"/>
      <c r="H4517"/>
    </row>
    <row r="4518" spans="2:8" x14ac:dyDescent="0.35">
      <c r="B4518"/>
      <c r="C4518"/>
      <c r="H4518"/>
    </row>
    <row r="4519" spans="2:8" x14ac:dyDescent="0.35">
      <c r="B4519"/>
      <c r="C4519"/>
      <c r="H4519"/>
    </row>
    <row r="4520" spans="2:8" x14ac:dyDescent="0.35">
      <c r="B4520"/>
      <c r="C4520"/>
      <c r="H4520"/>
    </row>
    <row r="4521" spans="2:8" x14ac:dyDescent="0.35">
      <c r="B4521"/>
      <c r="C4521"/>
      <c r="H4521"/>
    </row>
    <row r="4522" spans="2:8" x14ac:dyDescent="0.35">
      <c r="B4522"/>
      <c r="C4522"/>
      <c r="H4522"/>
    </row>
    <row r="4523" spans="2:8" x14ac:dyDescent="0.35">
      <c r="B4523"/>
      <c r="C4523"/>
      <c r="H4523"/>
    </row>
    <row r="4524" spans="2:8" x14ac:dyDescent="0.35">
      <c r="B4524"/>
      <c r="C4524"/>
      <c r="H4524"/>
    </row>
    <row r="4525" spans="2:8" x14ac:dyDescent="0.35">
      <c r="B4525"/>
      <c r="C4525"/>
      <c r="H4525"/>
    </row>
    <row r="4526" spans="2:8" x14ac:dyDescent="0.35">
      <c r="B4526"/>
      <c r="C4526"/>
      <c r="H4526"/>
    </row>
    <row r="4527" spans="2:8" x14ac:dyDescent="0.35">
      <c r="B4527"/>
      <c r="C4527"/>
      <c r="H4527"/>
    </row>
    <row r="4528" spans="2:8" x14ac:dyDescent="0.35">
      <c r="B4528"/>
      <c r="C4528"/>
      <c r="H4528"/>
    </row>
    <row r="4529" spans="2:8" x14ac:dyDescent="0.35">
      <c r="B4529"/>
      <c r="C4529"/>
      <c r="H4529"/>
    </row>
    <row r="4530" spans="2:8" x14ac:dyDescent="0.35">
      <c r="B4530"/>
      <c r="C4530"/>
      <c r="H4530"/>
    </row>
    <row r="4531" spans="2:8" x14ac:dyDescent="0.35">
      <c r="B4531"/>
      <c r="C4531"/>
      <c r="H4531"/>
    </row>
    <row r="4532" spans="2:8" x14ac:dyDescent="0.35">
      <c r="B4532"/>
      <c r="C4532"/>
      <c r="H4532"/>
    </row>
    <row r="4533" spans="2:8" x14ac:dyDescent="0.35">
      <c r="B4533"/>
      <c r="C4533"/>
      <c r="H4533"/>
    </row>
    <row r="4534" spans="2:8" x14ac:dyDescent="0.35">
      <c r="B4534"/>
      <c r="C4534"/>
      <c r="H4534"/>
    </row>
    <row r="4535" spans="2:8" x14ac:dyDescent="0.35">
      <c r="B4535"/>
      <c r="C4535"/>
      <c r="H4535"/>
    </row>
    <row r="4536" spans="2:8" x14ac:dyDescent="0.35">
      <c r="B4536"/>
      <c r="C4536"/>
      <c r="H4536"/>
    </row>
    <row r="4537" spans="2:8" x14ac:dyDescent="0.35">
      <c r="B4537"/>
      <c r="C4537"/>
      <c r="H4537"/>
    </row>
    <row r="4538" spans="2:8" x14ac:dyDescent="0.35">
      <c r="B4538"/>
      <c r="C4538"/>
      <c r="H4538"/>
    </row>
    <row r="4539" spans="2:8" x14ac:dyDescent="0.35">
      <c r="B4539"/>
      <c r="C4539"/>
      <c r="H4539"/>
    </row>
    <row r="4540" spans="2:8" x14ac:dyDescent="0.35">
      <c r="B4540"/>
      <c r="C4540"/>
      <c r="H4540"/>
    </row>
    <row r="4541" spans="2:8" x14ac:dyDescent="0.35">
      <c r="B4541"/>
      <c r="C4541"/>
      <c r="H4541"/>
    </row>
    <row r="4542" spans="2:8" x14ac:dyDescent="0.35">
      <c r="B4542"/>
      <c r="C4542"/>
      <c r="H4542"/>
    </row>
    <row r="4543" spans="2:8" x14ac:dyDescent="0.35">
      <c r="B4543"/>
      <c r="C4543"/>
      <c r="H4543"/>
    </row>
    <row r="4544" spans="2:8" x14ac:dyDescent="0.35">
      <c r="B4544"/>
      <c r="C4544"/>
      <c r="H4544"/>
    </row>
    <row r="4545" spans="2:8" x14ac:dyDescent="0.35">
      <c r="B4545"/>
      <c r="C4545"/>
      <c r="H4545"/>
    </row>
    <row r="4546" spans="2:8" x14ac:dyDescent="0.35">
      <c r="B4546"/>
      <c r="C4546"/>
      <c r="H4546"/>
    </row>
    <row r="4547" spans="2:8" x14ac:dyDescent="0.35">
      <c r="B4547"/>
      <c r="C4547"/>
      <c r="H4547"/>
    </row>
    <row r="4548" spans="2:8" x14ac:dyDescent="0.35">
      <c r="B4548"/>
      <c r="C4548"/>
      <c r="H4548"/>
    </row>
    <row r="4549" spans="2:8" x14ac:dyDescent="0.35">
      <c r="B4549"/>
      <c r="C4549"/>
      <c r="H4549"/>
    </row>
    <row r="4550" spans="2:8" x14ac:dyDescent="0.35">
      <c r="B4550"/>
      <c r="C4550"/>
      <c r="H4550"/>
    </row>
    <row r="4551" spans="2:8" x14ac:dyDescent="0.35">
      <c r="B4551"/>
      <c r="C4551"/>
      <c r="H4551"/>
    </row>
    <row r="4552" spans="2:8" x14ac:dyDescent="0.35">
      <c r="B4552"/>
      <c r="C4552"/>
      <c r="H4552"/>
    </row>
    <row r="4553" spans="2:8" x14ac:dyDescent="0.35">
      <c r="B4553"/>
      <c r="C4553"/>
      <c r="H4553"/>
    </row>
    <row r="4554" spans="2:8" x14ac:dyDescent="0.35">
      <c r="B4554"/>
      <c r="C4554"/>
      <c r="H4554"/>
    </row>
    <row r="4555" spans="2:8" x14ac:dyDescent="0.35">
      <c r="B4555"/>
      <c r="C4555"/>
      <c r="H4555"/>
    </row>
    <row r="4556" spans="2:8" x14ac:dyDescent="0.35">
      <c r="B4556"/>
      <c r="C4556"/>
      <c r="H4556"/>
    </row>
    <row r="4557" spans="2:8" x14ac:dyDescent="0.35">
      <c r="B4557"/>
      <c r="C4557"/>
      <c r="H4557"/>
    </row>
    <row r="4558" spans="2:8" x14ac:dyDescent="0.35">
      <c r="B4558"/>
      <c r="C4558"/>
      <c r="H4558"/>
    </row>
    <row r="4559" spans="2:8" x14ac:dyDescent="0.35">
      <c r="B4559"/>
      <c r="C4559"/>
      <c r="H4559"/>
    </row>
    <row r="4560" spans="2:8" x14ac:dyDescent="0.35">
      <c r="B4560"/>
      <c r="C4560"/>
      <c r="H4560"/>
    </row>
    <row r="4561" spans="2:8" x14ac:dyDescent="0.35">
      <c r="B4561"/>
      <c r="C4561"/>
      <c r="H4561"/>
    </row>
    <row r="4562" spans="2:8" x14ac:dyDescent="0.35">
      <c r="B4562"/>
      <c r="C4562"/>
      <c r="H4562"/>
    </row>
    <row r="4563" spans="2:8" x14ac:dyDescent="0.35">
      <c r="B4563"/>
      <c r="C4563"/>
      <c r="H4563"/>
    </row>
    <row r="4564" spans="2:8" x14ac:dyDescent="0.35">
      <c r="B4564"/>
      <c r="C4564"/>
      <c r="H4564"/>
    </row>
    <row r="4565" spans="2:8" x14ac:dyDescent="0.35">
      <c r="B4565"/>
      <c r="C4565"/>
      <c r="H4565"/>
    </row>
    <row r="4566" spans="2:8" x14ac:dyDescent="0.35">
      <c r="B4566"/>
      <c r="C4566"/>
      <c r="H4566"/>
    </row>
    <row r="4567" spans="2:8" x14ac:dyDescent="0.35">
      <c r="B4567"/>
      <c r="C4567"/>
      <c r="H4567"/>
    </row>
    <row r="4568" spans="2:8" x14ac:dyDescent="0.35">
      <c r="B4568"/>
      <c r="C4568"/>
      <c r="H4568"/>
    </row>
    <row r="4569" spans="2:8" x14ac:dyDescent="0.35">
      <c r="B4569"/>
      <c r="C4569"/>
      <c r="H4569"/>
    </row>
    <row r="4570" spans="2:8" x14ac:dyDescent="0.35">
      <c r="B4570"/>
      <c r="C4570"/>
      <c r="H4570"/>
    </row>
    <row r="4571" spans="2:8" x14ac:dyDescent="0.35">
      <c r="B4571"/>
      <c r="C4571"/>
      <c r="H4571"/>
    </row>
    <row r="4572" spans="2:8" x14ac:dyDescent="0.35">
      <c r="B4572"/>
      <c r="C4572"/>
      <c r="H4572"/>
    </row>
    <row r="4573" spans="2:8" x14ac:dyDescent="0.35">
      <c r="B4573"/>
      <c r="C4573"/>
      <c r="H4573"/>
    </row>
    <row r="4574" spans="2:8" x14ac:dyDescent="0.35">
      <c r="B4574"/>
      <c r="C4574"/>
      <c r="H4574"/>
    </row>
    <row r="4575" spans="2:8" x14ac:dyDescent="0.35">
      <c r="B4575"/>
      <c r="C4575"/>
      <c r="H4575"/>
    </row>
    <row r="4576" spans="2:8" x14ac:dyDescent="0.35">
      <c r="B4576"/>
      <c r="C4576"/>
      <c r="H4576"/>
    </row>
    <row r="4577" spans="2:8" x14ac:dyDescent="0.35">
      <c r="B4577"/>
      <c r="C4577"/>
      <c r="H4577"/>
    </row>
    <row r="4578" spans="2:8" x14ac:dyDescent="0.35">
      <c r="B4578"/>
      <c r="C4578"/>
      <c r="H4578"/>
    </row>
    <row r="4579" spans="2:8" x14ac:dyDescent="0.35">
      <c r="B4579"/>
      <c r="C4579"/>
      <c r="H4579"/>
    </row>
    <row r="4580" spans="2:8" x14ac:dyDescent="0.35">
      <c r="B4580"/>
      <c r="C4580"/>
      <c r="H4580"/>
    </row>
    <row r="4581" spans="2:8" x14ac:dyDescent="0.35">
      <c r="B4581"/>
      <c r="C4581"/>
      <c r="H4581"/>
    </row>
    <row r="4582" spans="2:8" x14ac:dyDescent="0.35">
      <c r="B4582"/>
      <c r="C4582"/>
      <c r="H4582"/>
    </row>
    <row r="4583" spans="2:8" x14ac:dyDescent="0.35">
      <c r="B4583"/>
      <c r="C4583"/>
      <c r="H4583"/>
    </row>
    <row r="4584" spans="2:8" x14ac:dyDescent="0.35">
      <c r="B4584"/>
      <c r="C4584"/>
      <c r="H4584"/>
    </row>
    <row r="4585" spans="2:8" x14ac:dyDescent="0.35">
      <c r="B4585"/>
      <c r="C4585"/>
      <c r="H4585"/>
    </row>
    <row r="4586" spans="2:8" x14ac:dyDescent="0.35">
      <c r="B4586"/>
      <c r="C4586"/>
      <c r="H4586"/>
    </row>
    <row r="4587" spans="2:8" x14ac:dyDescent="0.35">
      <c r="B4587"/>
      <c r="C4587"/>
      <c r="H4587"/>
    </row>
    <row r="4588" spans="2:8" x14ac:dyDescent="0.35">
      <c r="B4588"/>
      <c r="C4588"/>
      <c r="H4588"/>
    </row>
    <row r="4589" spans="2:8" x14ac:dyDescent="0.35">
      <c r="B4589"/>
      <c r="C4589"/>
      <c r="H4589"/>
    </row>
    <row r="4590" spans="2:8" x14ac:dyDescent="0.35">
      <c r="B4590"/>
      <c r="C4590"/>
      <c r="H4590"/>
    </row>
    <row r="4591" spans="2:8" x14ac:dyDescent="0.35">
      <c r="B4591"/>
      <c r="C4591"/>
      <c r="H4591"/>
    </row>
    <row r="4592" spans="2:8" x14ac:dyDescent="0.35">
      <c r="B4592"/>
      <c r="C4592"/>
      <c r="H4592"/>
    </row>
    <row r="4593" spans="2:8" x14ac:dyDescent="0.35">
      <c r="B4593"/>
      <c r="C4593"/>
      <c r="H4593"/>
    </row>
    <row r="4594" spans="2:8" x14ac:dyDescent="0.35">
      <c r="B4594"/>
      <c r="C4594"/>
      <c r="H4594"/>
    </row>
    <row r="4595" spans="2:8" x14ac:dyDescent="0.35">
      <c r="B4595"/>
      <c r="C4595"/>
      <c r="H4595"/>
    </row>
    <row r="4596" spans="2:8" x14ac:dyDescent="0.35">
      <c r="B4596"/>
      <c r="C4596"/>
      <c r="H4596"/>
    </row>
    <row r="4597" spans="2:8" x14ac:dyDescent="0.35">
      <c r="B4597"/>
      <c r="C4597"/>
      <c r="H4597"/>
    </row>
    <row r="4598" spans="2:8" x14ac:dyDescent="0.35">
      <c r="B4598"/>
      <c r="C4598"/>
      <c r="H4598"/>
    </row>
    <row r="4599" spans="2:8" x14ac:dyDescent="0.35">
      <c r="B4599"/>
      <c r="C4599"/>
      <c r="H4599"/>
    </row>
    <row r="4600" spans="2:8" x14ac:dyDescent="0.35">
      <c r="B4600"/>
      <c r="C4600"/>
      <c r="H4600"/>
    </row>
    <row r="4601" spans="2:8" x14ac:dyDescent="0.35">
      <c r="B4601"/>
      <c r="C4601"/>
      <c r="H4601"/>
    </row>
    <row r="4602" spans="2:8" x14ac:dyDescent="0.35">
      <c r="B4602"/>
      <c r="C4602"/>
      <c r="H4602"/>
    </row>
    <row r="4603" spans="2:8" x14ac:dyDescent="0.35">
      <c r="B4603"/>
      <c r="C4603"/>
      <c r="H4603"/>
    </row>
    <row r="4604" spans="2:8" x14ac:dyDescent="0.35">
      <c r="B4604"/>
      <c r="C4604"/>
      <c r="H4604"/>
    </row>
    <row r="4605" spans="2:8" x14ac:dyDescent="0.35">
      <c r="B4605"/>
      <c r="C4605"/>
      <c r="H4605"/>
    </row>
    <row r="4606" spans="2:8" x14ac:dyDescent="0.35">
      <c r="B4606"/>
      <c r="C4606"/>
      <c r="H4606"/>
    </row>
    <row r="4607" spans="2:8" x14ac:dyDescent="0.35">
      <c r="B4607"/>
      <c r="C4607"/>
      <c r="H4607"/>
    </row>
    <row r="4608" spans="2:8" x14ac:dyDescent="0.35">
      <c r="B4608"/>
      <c r="C4608"/>
      <c r="H4608"/>
    </row>
    <row r="4609" spans="2:8" x14ac:dyDescent="0.35">
      <c r="B4609"/>
      <c r="C4609"/>
      <c r="H4609"/>
    </row>
    <row r="4610" spans="2:8" x14ac:dyDescent="0.35">
      <c r="B4610"/>
      <c r="C4610"/>
      <c r="H4610"/>
    </row>
    <row r="4611" spans="2:8" x14ac:dyDescent="0.35">
      <c r="B4611"/>
      <c r="C4611"/>
      <c r="H4611"/>
    </row>
    <row r="4612" spans="2:8" x14ac:dyDescent="0.35">
      <c r="B4612"/>
      <c r="C4612"/>
      <c r="H4612"/>
    </row>
    <row r="4613" spans="2:8" x14ac:dyDescent="0.35">
      <c r="B4613"/>
      <c r="C4613"/>
      <c r="H4613"/>
    </row>
    <row r="4614" spans="2:8" x14ac:dyDescent="0.35">
      <c r="B4614"/>
      <c r="C4614"/>
      <c r="H4614"/>
    </row>
    <row r="4615" spans="2:8" x14ac:dyDescent="0.35">
      <c r="B4615"/>
      <c r="C4615"/>
      <c r="H4615"/>
    </row>
    <row r="4616" spans="2:8" x14ac:dyDescent="0.35">
      <c r="B4616"/>
      <c r="C4616"/>
      <c r="H4616"/>
    </row>
    <row r="4617" spans="2:8" x14ac:dyDescent="0.35">
      <c r="B4617"/>
      <c r="C4617"/>
      <c r="H4617"/>
    </row>
    <row r="4618" spans="2:8" x14ac:dyDescent="0.35">
      <c r="B4618"/>
      <c r="C4618"/>
      <c r="H4618"/>
    </row>
    <row r="4619" spans="2:8" x14ac:dyDescent="0.35">
      <c r="B4619"/>
      <c r="C4619"/>
      <c r="H4619"/>
    </row>
    <row r="4620" spans="2:8" x14ac:dyDescent="0.35">
      <c r="B4620"/>
      <c r="C4620"/>
      <c r="H4620"/>
    </row>
    <row r="4621" spans="2:8" x14ac:dyDescent="0.35">
      <c r="B4621"/>
      <c r="C4621"/>
      <c r="H4621"/>
    </row>
    <row r="4622" spans="2:8" x14ac:dyDescent="0.35">
      <c r="B4622"/>
      <c r="C4622"/>
      <c r="H4622"/>
    </row>
    <row r="4623" spans="2:8" x14ac:dyDescent="0.35">
      <c r="B4623"/>
      <c r="C4623"/>
      <c r="H4623"/>
    </row>
    <row r="4624" spans="2:8" x14ac:dyDescent="0.35">
      <c r="B4624"/>
      <c r="C4624"/>
      <c r="H4624"/>
    </row>
    <row r="4625" spans="2:8" x14ac:dyDescent="0.35">
      <c r="B4625"/>
      <c r="C4625"/>
      <c r="H4625"/>
    </row>
    <row r="4626" spans="2:8" x14ac:dyDescent="0.35">
      <c r="B4626"/>
      <c r="C4626"/>
      <c r="H4626"/>
    </row>
    <row r="4627" spans="2:8" x14ac:dyDescent="0.35">
      <c r="B4627"/>
      <c r="C4627"/>
      <c r="H4627"/>
    </row>
    <row r="4628" spans="2:8" x14ac:dyDescent="0.35">
      <c r="B4628"/>
      <c r="C4628"/>
      <c r="H4628"/>
    </row>
    <row r="4629" spans="2:8" x14ac:dyDescent="0.35">
      <c r="B4629"/>
      <c r="C4629"/>
      <c r="H4629"/>
    </row>
    <row r="4630" spans="2:8" x14ac:dyDescent="0.35">
      <c r="B4630"/>
      <c r="C4630"/>
      <c r="H4630"/>
    </row>
    <row r="4631" spans="2:8" x14ac:dyDescent="0.35">
      <c r="B4631"/>
      <c r="C4631"/>
      <c r="H4631"/>
    </row>
    <row r="4632" spans="2:8" x14ac:dyDescent="0.35">
      <c r="B4632"/>
      <c r="C4632"/>
      <c r="H4632"/>
    </row>
    <row r="4633" spans="2:8" x14ac:dyDescent="0.35">
      <c r="B4633"/>
      <c r="C4633"/>
      <c r="H4633"/>
    </row>
    <row r="4634" spans="2:8" x14ac:dyDescent="0.35">
      <c r="B4634"/>
      <c r="C4634"/>
      <c r="H4634"/>
    </row>
    <row r="4635" spans="2:8" x14ac:dyDescent="0.35">
      <c r="B4635"/>
      <c r="C4635"/>
      <c r="H4635"/>
    </row>
    <row r="4636" spans="2:8" x14ac:dyDescent="0.35">
      <c r="B4636"/>
      <c r="C4636"/>
      <c r="H4636"/>
    </row>
    <row r="4637" spans="2:8" x14ac:dyDescent="0.35">
      <c r="B4637"/>
      <c r="C4637"/>
      <c r="H4637"/>
    </row>
    <row r="4638" spans="2:8" x14ac:dyDescent="0.35">
      <c r="B4638"/>
      <c r="C4638"/>
      <c r="H4638"/>
    </row>
    <row r="4639" spans="2:8" x14ac:dyDescent="0.35">
      <c r="B4639"/>
      <c r="C4639"/>
      <c r="H4639"/>
    </row>
    <row r="4640" spans="2:8" x14ac:dyDescent="0.35">
      <c r="B4640"/>
      <c r="C4640"/>
      <c r="H4640"/>
    </row>
    <row r="4641" spans="2:8" x14ac:dyDescent="0.35">
      <c r="B4641"/>
      <c r="C4641"/>
      <c r="H4641"/>
    </row>
    <row r="4642" spans="2:8" x14ac:dyDescent="0.35">
      <c r="B4642"/>
      <c r="C4642"/>
      <c r="H4642"/>
    </row>
    <row r="4643" spans="2:8" x14ac:dyDescent="0.35">
      <c r="B4643"/>
      <c r="C4643"/>
      <c r="H4643"/>
    </row>
    <row r="4644" spans="2:8" x14ac:dyDescent="0.35">
      <c r="B4644"/>
      <c r="C4644"/>
      <c r="H4644"/>
    </row>
    <row r="4645" spans="2:8" x14ac:dyDescent="0.35">
      <c r="B4645"/>
      <c r="C4645"/>
      <c r="H4645"/>
    </row>
    <row r="4646" spans="2:8" x14ac:dyDescent="0.35">
      <c r="B4646"/>
      <c r="C4646"/>
      <c r="H4646"/>
    </row>
    <row r="4647" spans="2:8" x14ac:dyDescent="0.35">
      <c r="B4647"/>
      <c r="C4647"/>
      <c r="H4647"/>
    </row>
    <row r="4648" spans="2:8" x14ac:dyDescent="0.35">
      <c r="B4648"/>
      <c r="C4648"/>
      <c r="H4648"/>
    </row>
    <row r="4649" spans="2:8" x14ac:dyDescent="0.35">
      <c r="B4649"/>
      <c r="C4649"/>
      <c r="H4649"/>
    </row>
    <row r="4650" spans="2:8" x14ac:dyDescent="0.35">
      <c r="B4650"/>
      <c r="C4650"/>
      <c r="H4650"/>
    </row>
    <row r="4651" spans="2:8" x14ac:dyDescent="0.35">
      <c r="B4651"/>
      <c r="C4651"/>
      <c r="H4651"/>
    </row>
    <row r="4652" spans="2:8" x14ac:dyDescent="0.35">
      <c r="B4652"/>
      <c r="C4652"/>
      <c r="H4652"/>
    </row>
    <row r="4653" spans="2:8" x14ac:dyDescent="0.35">
      <c r="B4653"/>
      <c r="C4653"/>
      <c r="H4653"/>
    </row>
    <row r="4654" spans="2:8" x14ac:dyDescent="0.35">
      <c r="B4654"/>
      <c r="C4654"/>
      <c r="H4654"/>
    </row>
    <row r="4655" spans="2:8" x14ac:dyDescent="0.35">
      <c r="B4655"/>
      <c r="C4655"/>
      <c r="H4655"/>
    </row>
    <row r="4656" spans="2:8" x14ac:dyDescent="0.35">
      <c r="B4656"/>
      <c r="C4656"/>
      <c r="H4656"/>
    </row>
    <row r="4657" spans="2:8" x14ac:dyDescent="0.35">
      <c r="B4657"/>
      <c r="C4657"/>
      <c r="H4657"/>
    </row>
    <row r="4658" spans="2:8" x14ac:dyDescent="0.35">
      <c r="B4658"/>
      <c r="C4658"/>
      <c r="H4658"/>
    </row>
    <row r="4659" spans="2:8" x14ac:dyDescent="0.35">
      <c r="B4659"/>
      <c r="C4659"/>
      <c r="H4659"/>
    </row>
    <row r="4660" spans="2:8" x14ac:dyDescent="0.35">
      <c r="B4660"/>
      <c r="C4660"/>
      <c r="H4660"/>
    </row>
    <row r="4661" spans="2:8" x14ac:dyDescent="0.35">
      <c r="B4661"/>
      <c r="C4661"/>
      <c r="H4661"/>
    </row>
    <row r="4662" spans="2:8" x14ac:dyDescent="0.35">
      <c r="B4662"/>
      <c r="C4662"/>
      <c r="H4662"/>
    </row>
    <row r="4663" spans="2:8" x14ac:dyDescent="0.35">
      <c r="B4663"/>
      <c r="C4663"/>
      <c r="H4663"/>
    </row>
    <row r="4664" spans="2:8" x14ac:dyDescent="0.35">
      <c r="B4664"/>
      <c r="C4664"/>
      <c r="H4664"/>
    </row>
    <row r="4665" spans="2:8" x14ac:dyDescent="0.35">
      <c r="B4665"/>
      <c r="C4665"/>
      <c r="H4665"/>
    </row>
    <row r="4666" spans="2:8" x14ac:dyDescent="0.35">
      <c r="B4666"/>
      <c r="C4666"/>
      <c r="H4666"/>
    </row>
    <row r="4667" spans="2:8" x14ac:dyDescent="0.35">
      <c r="B4667"/>
      <c r="C4667"/>
      <c r="H4667"/>
    </row>
    <row r="4668" spans="2:8" x14ac:dyDescent="0.35">
      <c r="B4668"/>
      <c r="C4668"/>
      <c r="H4668"/>
    </row>
    <row r="4669" spans="2:8" x14ac:dyDescent="0.35">
      <c r="B4669"/>
      <c r="C4669"/>
      <c r="H4669"/>
    </row>
    <row r="4670" spans="2:8" x14ac:dyDescent="0.35">
      <c r="B4670"/>
      <c r="C4670"/>
      <c r="H4670"/>
    </row>
    <row r="4671" spans="2:8" x14ac:dyDescent="0.35">
      <c r="B4671"/>
      <c r="C4671"/>
      <c r="H4671"/>
    </row>
    <row r="4672" spans="2:8" x14ac:dyDescent="0.35">
      <c r="B4672"/>
      <c r="C4672"/>
      <c r="H4672"/>
    </row>
    <row r="4673" spans="2:8" x14ac:dyDescent="0.35">
      <c r="B4673"/>
      <c r="C4673"/>
      <c r="H4673"/>
    </row>
    <row r="4674" spans="2:8" x14ac:dyDescent="0.35">
      <c r="B4674"/>
      <c r="C4674"/>
      <c r="H4674"/>
    </row>
    <row r="4675" spans="2:8" x14ac:dyDescent="0.35">
      <c r="B4675"/>
      <c r="C4675"/>
      <c r="H4675"/>
    </row>
    <row r="4676" spans="2:8" x14ac:dyDescent="0.35">
      <c r="B4676"/>
      <c r="C4676"/>
      <c r="H4676"/>
    </row>
    <row r="4677" spans="2:8" x14ac:dyDescent="0.35">
      <c r="B4677"/>
      <c r="C4677"/>
      <c r="H4677"/>
    </row>
    <row r="4678" spans="2:8" x14ac:dyDescent="0.35">
      <c r="B4678"/>
      <c r="C4678"/>
      <c r="H4678"/>
    </row>
    <row r="4679" spans="2:8" x14ac:dyDescent="0.35">
      <c r="B4679"/>
      <c r="C4679"/>
      <c r="H4679"/>
    </row>
    <row r="4680" spans="2:8" x14ac:dyDescent="0.35">
      <c r="B4680"/>
      <c r="C4680"/>
      <c r="H4680"/>
    </row>
    <row r="4681" spans="2:8" x14ac:dyDescent="0.35">
      <c r="B4681"/>
      <c r="C4681"/>
      <c r="H4681"/>
    </row>
    <row r="4682" spans="2:8" x14ac:dyDescent="0.35">
      <c r="B4682"/>
      <c r="C4682"/>
      <c r="H4682"/>
    </row>
    <row r="4683" spans="2:8" x14ac:dyDescent="0.35">
      <c r="B4683"/>
      <c r="C4683"/>
      <c r="H4683"/>
    </row>
    <row r="4684" spans="2:8" x14ac:dyDescent="0.35">
      <c r="B4684"/>
      <c r="C4684"/>
      <c r="H4684"/>
    </row>
    <row r="4685" spans="2:8" x14ac:dyDescent="0.35">
      <c r="B4685"/>
      <c r="C4685"/>
      <c r="H4685"/>
    </row>
    <row r="4686" spans="2:8" x14ac:dyDescent="0.35">
      <c r="B4686"/>
      <c r="C4686"/>
      <c r="H4686"/>
    </row>
    <row r="4687" spans="2:8" x14ac:dyDescent="0.35">
      <c r="B4687"/>
      <c r="C4687"/>
      <c r="H4687"/>
    </row>
    <row r="4688" spans="2:8" x14ac:dyDescent="0.35">
      <c r="B4688"/>
      <c r="C4688"/>
      <c r="H4688"/>
    </row>
    <row r="4689" spans="2:8" x14ac:dyDescent="0.35">
      <c r="B4689"/>
      <c r="C4689"/>
      <c r="H4689"/>
    </row>
    <row r="4690" spans="2:8" x14ac:dyDescent="0.35">
      <c r="B4690"/>
      <c r="C4690"/>
      <c r="H4690"/>
    </row>
    <row r="4691" spans="2:8" x14ac:dyDescent="0.35">
      <c r="B4691"/>
      <c r="C4691"/>
      <c r="H4691"/>
    </row>
    <row r="4692" spans="2:8" x14ac:dyDescent="0.35">
      <c r="B4692"/>
      <c r="C4692"/>
      <c r="H4692"/>
    </row>
    <row r="4693" spans="2:8" x14ac:dyDescent="0.35">
      <c r="B4693"/>
      <c r="C4693"/>
      <c r="H4693"/>
    </row>
    <row r="4694" spans="2:8" x14ac:dyDescent="0.35">
      <c r="B4694"/>
      <c r="C4694"/>
      <c r="H4694"/>
    </row>
    <row r="4695" spans="2:8" x14ac:dyDescent="0.35">
      <c r="B4695"/>
      <c r="C4695"/>
      <c r="H4695"/>
    </row>
    <row r="4696" spans="2:8" x14ac:dyDescent="0.35">
      <c r="B4696"/>
      <c r="C4696"/>
      <c r="H4696"/>
    </row>
    <row r="4697" spans="2:8" x14ac:dyDescent="0.35">
      <c r="B4697"/>
      <c r="C4697"/>
      <c r="H4697"/>
    </row>
    <row r="4698" spans="2:8" x14ac:dyDescent="0.35">
      <c r="B4698"/>
      <c r="C4698"/>
      <c r="H4698"/>
    </row>
    <row r="4699" spans="2:8" x14ac:dyDescent="0.35">
      <c r="B4699"/>
      <c r="C4699"/>
      <c r="H4699"/>
    </row>
    <row r="4700" spans="2:8" x14ac:dyDescent="0.35">
      <c r="B4700"/>
      <c r="C4700"/>
      <c r="H4700"/>
    </row>
    <row r="4701" spans="2:8" x14ac:dyDescent="0.35">
      <c r="B4701"/>
      <c r="C4701"/>
      <c r="H4701"/>
    </row>
    <row r="4702" spans="2:8" x14ac:dyDescent="0.35">
      <c r="B4702"/>
      <c r="C4702"/>
      <c r="H4702"/>
    </row>
    <row r="4703" spans="2:8" x14ac:dyDescent="0.35">
      <c r="B4703"/>
      <c r="C4703"/>
      <c r="H4703"/>
    </row>
    <row r="4704" spans="2:8" x14ac:dyDescent="0.35">
      <c r="B4704"/>
      <c r="C4704"/>
      <c r="H4704"/>
    </row>
    <row r="4705" spans="2:8" x14ac:dyDescent="0.35">
      <c r="B4705"/>
      <c r="C4705"/>
      <c r="H4705"/>
    </row>
    <row r="4706" spans="2:8" x14ac:dyDescent="0.35">
      <c r="B4706"/>
      <c r="C4706"/>
      <c r="H4706"/>
    </row>
    <row r="4707" spans="2:8" x14ac:dyDescent="0.35">
      <c r="B4707"/>
      <c r="C4707"/>
      <c r="H4707"/>
    </row>
    <row r="4708" spans="2:8" x14ac:dyDescent="0.35">
      <c r="B4708"/>
      <c r="C4708"/>
      <c r="H4708"/>
    </row>
    <row r="4709" spans="2:8" x14ac:dyDescent="0.35">
      <c r="B4709"/>
      <c r="C4709"/>
      <c r="H4709"/>
    </row>
    <row r="4710" spans="2:8" x14ac:dyDescent="0.35">
      <c r="B4710"/>
      <c r="C4710"/>
      <c r="H4710"/>
    </row>
    <row r="4711" spans="2:8" x14ac:dyDescent="0.35">
      <c r="B4711"/>
      <c r="C4711"/>
      <c r="H4711"/>
    </row>
    <row r="4712" spans="2:8" x14ac:dyDescent="0.35">
      <c r="B4712"/>
      <c r="C4712"/>
      <c r="H4712"/>
    </row>
    <row r="4713" spans="2:8" x14ac:dyDescent="0.35">
      <c r="B4713"/>
      <c r="C4713"/>
      <c r="H4713"/>
    </row>
    <row r="4714" spans="2:8" x14ac:dyDescent="0.35">
      <c r="B4714"/>
      <c r="C4714"/>
      <c r="H4714"/>
    </row>
    <row r="4715" spans="2:8" x14ac:dyDescent="0.35">
      <c r="B4715"/>
      <c r="C4715"/>
      <c r="H4715"/>
    </row>
    <row r="4716" spans="2:8" x14ac:dyDescent="0.35">
      <c r="B4716"/>
      <c r="C4716"/>
      <c r="H4716"/>
    </row>
    <row r="4717" spans="2:8" x14ac:dyDescent="0.35">
      <c r="B4717"/>
      <c r="C4717"/>
      <c r="H4717"/>
    </row>
    <row r="4718" spans="2:8" x14ac:dyDescent="0.35">
      <c r="B4718"/>
      <c r="C4718"/>
      <c r="H4718"/>
    </row>
    <row r="4719" spans="2:8" x14ac:dyDescent="0.35">
      <c r="B4719"/>
      <c r="C4719"/>
      <c r="H4719"/>
    </row>
    <row r="4720" spans="2:8" x14ac:dyDescent="0.35">
      <c r="B4720"/>
      <c r="C4720"/>
      <c r="H4720"/>
    </row>
    <row r="4721" spans="2:8" x14ac:dyDescent="0.35">
      <c r="B4721"/>
      <c r="C4721"/>
      <c r="H4721"/>
    </row>
    <row r="4722" spans="2:8" x14ac:dyDescent="0.35">
      <c r="B4722"/>
      <c r="C4722"/>
      <c r="H4722"/>
    </row>
    <row r="4723" spans="2:8" x14ac:dyDescent="0.35">
      <c r="B4723"/>
      <c r="C4723"/>
      <c r="H4723"/>
    </row>
    <row r="4724" spans="2:8" x14ac:dyDescent="0.35">
      <c r="B4724"/>
      <c r="C4724"/>
      <c r="H4724"/>
    </row>
    <row r="4725" spans="2:8" x14ac:dyDescent="0.35">
      <c r="B4725"/>
      <c r="C4725"/>
      <c r="H4725"/>
    </row>
    <row r="4726" spans="2:8" x14ac:dyDescent="0.35">
      <c r="B4726"/>
      <c r="C4726"/>
      <c r="H4726"/>
    </row>
    <row r="4727" spans="2:8" x14ac:dyDescent="0.35">
      <c r="B4727"/>
      <c r="C4727"/>
      <c r="H4727"/>
    </row>
    <row r="4728" spans="2:8" x14ac:dyDescent="0.35">
      <c r="B4728"/>
      <c r="C4728"/>
      <c r="H4728"/>
    </row>
    <row r="4729" spans="2:8" x14ac:dyDescent="0.35">
      <c r="B4729"/>
      <c r="C4729"/>
      <c r="H4729"/>
    </row>
    <row r="4730" spans="2:8" x14ac:dyDescent="0.35">
      <c r="B4730"/>
      <c r="C4730"/>
      <c r="H4730"/>
    </row>
    <row r="4731" spans="2:8" x14ac:dyDescent="0.35">
      <c r="B4731"/>
      <c r="C4731"/>
      <c r="H4731"/>
    </row>
    <row r="4732" spans="2:8" x14ac:dyDescent="0.35">
      <c r="B4732"/>
      <c r="C4732"/>
      <c r="H4732"/>
    </row>
    <row r="4733" spans="2:8" x14ac:dyDescent="0.35">
      <c r="B4733"/>
      <c r="C4733"/>
      <c r="H4733"/>
    </row>
    <row r="4734" spans="2:8" x14ac:dyDescent="0.35">
      <c r="B4734"/>
      <c r="C4734"/>
      <c r="H4734"/>
    </row>
    <row r="4735" spans="2:8" x14ac:dyDescent="0.35">
      <c r="B4735"/>
      <c r="C4735"/>
      <c r="H4735"/>
    </row>
    <row r="4736" spans="2:8" x14ac:dyDescent="0.35">
      <c r="B4736"/>
      <c r="C4736"/>
      <c r="H4736"/>
    </row>
    <row r="4737" spans="2:8" x14ac:dyDescent="0.35">
      <c r="B4737"/>
      <c r="C4737"/>
      <c r="H4737"/>
    </row>
    <row r="4738" spans="2:8" x14ac:dyDescent="0.35">
      <c r="B4738"/>
      <c r="C4738"/>
      <c r="H4738"/>
    </row>
    <row r="4739" spans="2:8" x14ac:dyDescent="0.35">
      <c r="B4739"/>
      <c r="C4739"/>
      <c r="H4739"/>
    </row>
    <row r="4740" spans="2:8" x14ac:dyDescent="0.35">
      <c r="B4740"/>
      <c r="C4740"/>
      <c r="H4740"/>
    </row>
    <row r="4741" spans="2:8" x14ac:dyDescent="0.35">
      <c r="B4741"/>
      <c r="C4741"/>
      <c r="H4741"/>
    </row>
    <row r="4742" spans="2:8" x14ac:dyDescent="0.35">
      <c r="B4742"/>
      <c r="C4742"/>
      <c r="H4742"/>
    </row>
    <row r="4743" spans="2:8" x14ac:dyDescent="0.35">
      <c r="B4743"/>
      <c r="C4743"/>
      <c r="H4743"/>
    </row>
    <row r="4744" spans="2:8" x14ac:dyDescent="0.35">
      <c r="B4744"/>
      <c r="C4744"/>
      <c r="H4744"/>
    </row>
    <row r="4745" spans="2:8" x14ac:dyDescent="0.35">
      <c r="B4745"/>
      <c r="C4745"/>
      <c r="H4745"/>
    </row>
    <row r="4746" spans="2:8" x14ac:dyDescent="0.35">
      <c r="B4746"/>
      <c r="C4746"/>
      <c r="H4746"/>
    </row>
    <row r="4747" spans="2:8" x14ac:dyDescent="0.35">
      <c r="B4747"/>
      <c r="C4747"/>
      <c r="H4747"/>
    </row>
    <row r="4748" spans="2:8" x14ac:dyDescent="0.35">
      <c r="B4748"/>
      <c r="C4748"/>
      <c r="H4748"/>
    </row>
    <row r="4749" spans="2:8" x14ac:dyDescent="0.35">
      <c r="B4749"/>
      <c r="C4749"/>
      <c r="H4749"/>
    </row>
    <row r="4750" spans="2:8" x14ac:dyDescent="0.35">
      <c r="B4750"/>
      <c r="C4750"/>
      <c r="H4750"/>
    </row>
    <row r="4751" spans="2:8" x14ac:dyDescent="0.35">
      <c r="B4751"/>
      <c r="C4751"/>
      <c r="H4751"/>
    </row>
    <row r="4752" spans="2:8" x14ac:dyDescent="0.35">
      <c r="B4752"/>
      <c r="C4752"/>
      <c r="H4752"/>
    </row>
    <row r="4753" spans="2:8" x14ac:dyDescent="0.35">
      <c r="B4753"/>
      <c r="C4753"/>
      <c r="H4753"/>
    </row>
    <row r="4754" spans="2:8" x14ac:dyDescent="0.35">
      <c r="B4754"/>
      <c r="C4754"/>
      <c r="H4754"/>
    </row>
    <row r="4755" spans="2:8" x14ac:dyDescent="0.35">
      <c r="B4755"/>
      <c r="C4755"/>
      <c r="H4755"/>
    </row>
    <row r="4756" spans="2:8" x14ac:dyDescent="0.35">
      <c r="B4756"/>
      <c r="C4756"/>
      <c r="H4756"/>
    </row>
    <row r="4757" spans="2:8" x14ac:dyDescent="0.35">
      <c r="B4757"/>
      <c r="C4757"/>
      <c r="H4757"/>
    </row>
    <row r="4758" spans="2:8" x14ac:dyDescent="0.35">
      <c r="B4758"/>
      <c r="C4758"/>
      <c r="H4758"/>
    </row>
    <row r="4759" spans="2:8" x14ac:dyDescent="0.35">
      <c r="B4759"/>
      <c r="C4759"/>
      <c r="H4759"/>
    </row>
    <row r="4760" spans="2:8" x14ac:dyDescent="0.35">
      <c r="B4760"/>
      <c r="C4760"/>
      <c r="H4760"/>
    </row>
    <row r="4761" spans="2:8" x14ac:dyDescent="0.35">
      <c r="B4761"/>
      <c r="C4761"/>
      <c r="H4761"/>
    </row>
    <row r="4762" spans="2:8" x14ac:dyDescent="0.35">
      <c r="B4762"/>
      <c r="C4762"/>
      <c r="H4762"/>
    </row>
    <row r="4763" spans="2:8" x14ac:dyDescent="0.35">
      <c r="B4763"/>
      <c r="C4763"/>
      <c r="H4763"/>
    </row>
    <row r="4764" spans="2:8" x14ac:dyDescent="0.35">
      <c r="B4764"/>
      <c r="C4764"/>
      <c r="H4764"/>
    </row>
    <row r="4765" spans="2:8" x14ac:dyDescent="0.35">
      <c r="B4765"/>
      <c r="C4765"/>
      <c r="H4765"/>
    </row>
    <row r="4766" spans="2:8" x14ac:dyDescent="0.35">
      <c r="B4766"/>
      <c r="C4766"/>
      <c r="H4766"/>
    </row>
    <row r="4767" spans="2:8" x14ac:dyDescent="0.35">
      <c r="B4767"/>
      <c r="C4767"/>
      <c r="H4767"/>
    </row>
    <row r="4768" spans="2:8" x14ac:dyDescent="0.35">
      <c r="B4768"/>
      <c r="C4768"/>
      <c r="H4768"/>
    </row>
    <row r="4769" spans="2:8" x14ac:dyDescent="0.35">
      <c r="B4769"/>
      <c r="C4769"/>
      <c r="H4769"/>
    </row>
    <row r="4770" spans="2:8" x14ac:dyDescent="0.35">
      <c r="B4770"/>
      <c r="C4770"/>
      <c r="H4770"/>
    </row>
    <row r="4771" spans="2:8" x14ac:dyDescent="0.35">
      <c r="B4771"/>
      <c r="C4771"/>
      <c r="H4771"/>
    </row>
    <row r="4772" spans="2:8" x14ac:dyDescent="0.35">
      <c r="B4772"/>
      <c r="C4772"/>
      <c r="H4772"/>
    </row>
    <row r="4773" spans="2:8" x14ac:dyDescent="0.35">
      <c r="B4773"/>
      <c r="C4773"/>
      <c r="H4773"/>
    </row>
    <row r="4774" spans="2:8" x14ac:dyDescent="0.35">
      <c r="B4774"/>
      <c r="C4774"/>
      <c r="H4774"/>
    </row>
    <row r="4775" spans="2:8" x14ac:dyDescent="0.35">
      <c r="B4775"/>
      <c r="C4775"/>
      <c r="H4775"/>
    </row>
    <row r="4776" spans="2:8" x14ac:dyDescent="0.35">
      <c r="B4776"/>
      <c r="C4776"/>
      <c r="H4776"/>
    </row>
    <row r="4777" spans="2:8" x14ac:dyDescent="0.35">
      <c r="B4777"/>
      <c r="C4777"/>
      <c r="H4777"/>
    </row>
    <row r="4778" spans="2:8" x14ac:dyDescent="0.35">
      <c r="B4778"/>
      <c r="C4778"/>
      <c r="H4778"/>
    </row>
    <row r="4779" spans="2:8" x14ac:dyDescent="0.35">
      <c r="B4779"/>
      <c r="C4779"/>
      <c r="H4779"/>
    </row>
    <row r="4780" spans="2:8" x14ac:dyDescent="0.35">
      <c r="B4780"/>
      <c r="C4780"/>
      <c r="H4780"/>
    </row>
    <row r="4781" spans="2:8" x14ac:dyDescent="0.35">
      <c r="B4781"/>
      <c r="C4781"/>
      <c r="H4781"/>
    </row>
    <row r="4782" spans="2:8" x14ac:dyDescent="0.35">
      <c r="B4782"/>
      <c r="C4782"/>
      <c r="H4782"/>
    </row>
    <row r="4783" spans="2:8" x14ac:dyDescent="0.35">
      <c r="B4783"/>
      <c r="C4783"/>
      <c r="H4783"/>
    </row>
    <row r="4784" spans="2:8" x14ac:dyDescent="0.35">
      <c r="B4784"/>
      <c r="C4784"/>
      <c r="H4784"/>
    </row>
    <row r="4785" spans="2:8" x14ac:dyDescent="0.35">
      <c r="B4785"/>
      <c r="C4785"/>
      <c r="H4785"/>
    </row>
    <row r="4786" spans="2:8" x14ac:dyDescent="0.35">
      <c r="B4786"/>
      <c r="C4786"/>
      <c r="H4786"/>
    </row>
    <row r="4787" spans="2:8" x14ac:dyDescent="0.35">
      <c r="B4787"/>
      <c r="C4787"/>
      <c r="H4787"/>
    </row>
    <row r="4788" spans="2:8" x14ac:dyDescent="0.35">
      <c r="B4788"/>
      <c r="C4788"/>
      <c r="H4788"/>
    </row>
    <row r="4789" spans="2:8" x14ac:dyDescent="0.35">
      <c r="B4789"/>
      <c r="C4789"/>
      <c r="H4789"/>
    </row>
    <row r="4790" spans="2:8" x14ac:dyDescent="0.35">
      <c r="B4790"/>
      <c r="C4790"/>
      <c r="H4790"/>
    </row>
    <row r="4791" spans="2:8" x14ac:dyDescent="0.35">
      <c r="B4791"/>
      <c r="C4791"/>
      <c r="H4791"/>
    </row>
    <row r="4792" spans="2:8" x14ac:dyDescent="0.35">
      <c r="B4792"/>
      <c r="C4792"/>
      <c r="H4792"/>
    </row>
    <row r="4793" spans="2:8" x14ac:dyDescent="0.35">
      <c r="B4793"/>
      <c r="C4793"/>
      <c r="H4793"/>
    </row>
    <row r="4794" spans="2:8" x14ac:dyDescent="0.35">
      <c r="B4794"/>
      <c r="C4794"/>
      <c r="H4794"/>
    </row>
    <row r="4795" spans="2:8" x14ac:dyDescent="0.35">
      <c r="B4795"/>
      <c r="C4795"/>
      <c r="H4795"/>
    </row>
    <row r="4796" spans="2:8" x14ac:dyDescent="0.35">
      <c r="B4796"/>
      <c r="C4796"/>
      <c r="H4796"/>
    </row>
    <row r="4797" spans="2:8" x14ac:dyDescent="0.35">
      <c r="B4797"/>
      <c r="C4797"/>
      <c r="H4797"/>
    </row>
    <row r="4798" spans="2:8" x14ac:dyDescent="0.35">
      <c r="B4798"/>
      <c r="C4798"/>
      <c r="H4798"/>
    </row>
    <row r="4799" spans="2:8" x14ac:dyDescent="0.35">
      <c r="B4799"/>
      <c r="C4799"/>
      <c r="H4799"/>
    </row>
    <row r="4800" spans="2:8" x14ac:dyDescent="0.35">
      <c r="B4800"/>
      <c r="C4800"/>
      <c r="H4800"/>
    </row>
    <row r="4801" spans="2:8" x14ac:dyDescent="0.35">
      <c r="B4801"/>
      <c r="C4801"/>
      <c r="H4801"/>
    </row>
    <row r="4802" spans="2:8" x14ac:dyDescent="0.35">
      <c r="B4802"/>
      <c r="C4802"/>
      <c r="H4802"/>
    </row>
    <row r="4803" spans="2:8" x14ac:dyDescent="0.35">
      <c r="B4803"/>
      <c r="C4803"/>
      <c r="H4803"/>
    </row>
    <row r="4804" spans="2:8" x14ac:dyDescent="0.35">
      <c r="B4804"/>
      <c r="C4804"/>
      <c r="H4804"/>
    </row>
    <row r="4805" spans="2:8" x14ac:dyDescent="0.35">
      <c r="B4805"/>
      <c r="C4805"/>
      <c r="H4805"/>
    </row>
    <row r="4806" spans="2:8" x14ac:dyDescent="0.35">
      <c r="B4806"/>
      <c r="C4806"/>
      <c r="H4806"/>
    </row>
    <row r="4807" spans="2:8" x14ac:dyDescent="0.35">
      <c r="B4807"/>
      <c r="C4807"/>
      <c r="H4807"/>
    </row>
    <row r="4808" spans="2:8" x14ac:dyDescent="0.35">
      <c r="B4808"/>
      <c r="C4808"/>
      <c r="H4808"/>
    </row>
    <row r="4809" spans="2:8" x14ac:dyDescent="0.35">
      <c r="B4809"/>
      <c r="C4809"/>
      <c r="H4809"/>
    </row>
    <row r="4810" spans="2:8" x14ac:dyDescent="0.35">
      <c r="B4810"/>
      <c r="C4810"/>
      <c r="H4810"/>
    </row>
    <row r="4811" spans="2:8" x14ac:dyDescent="0.35">
      <c r="B4811"/>
      <c r="C4811"/>
      <c r="H4811"/>
    </row>
    <row r="4812" spans="2:8" x14ac:dyDescent="0.35">
      <c r="B4812"/>
      <c r="C4812"/>
      <c r="H4812"/>
    </row>
    <row r="4813" spans="2:8" x14ac:dyDescent="0.35">
      <c r="B4813"/>
      <c r="C4813"/>
      <c r="H4813"/>
    </row>
    <row r="4814" spans="2:8" x14ac:dyDescent="0.35">
      <c r="B4814"/>
      <c r="C4814"/>
      <c r="H4814"/>
    </row>
    <row r="4815" spans="2:8" x14ac:dyDescent="0.35">
      <c r="B4815"/>
      <c r="C4815"/>
      <c r="H4815"/>
    </row>
    <row r="4816" spans="2:8" x14ac:dyDescent="0.35">
      <c r="B4816"/>
      <c r="C4816"/>
      <c r="H4816"/>
    </row>
    <row r="4817" spans="2:8" x14ac:dyDescent="0.35">
      <c r="B4817"/>
      <c r="C4817"/>
      <c r="H4817"/>
    </row>
    <row r="4818" spans="2:8" x14ac:dyDescent="0.35">
      <c r="B4818"/>
      <c r="C4818"/>
      <c r="H4818"/>
    </row>
    <row r="4819" spans="2:8" x14ac:dyDescent="0.35">
      <c r="B4819"/>
      <c r="C4819"/>
      <c r="H4819"/>
    </row>
    <row r="4820" spans="2:8" x14ac:dyDescent="0.35">
      <c r="B4820"/>
      <c r="C4820"/>
      <c r="H4820"/>
    </row>
    <row r="4821" spans="2:8" x14ac:dyDescent="0.35">
      <c r="B4821"/>
      <c r="C4821"/>
      <c r="H4821"/>
    </row>
    <row r="4822" spans="2:8" x14ac:dyDescent="0.35">
      <c r="B4822"/>
      <c r="C4822"/>
      <c r="H4822"/>
    </row>
    <row r="4823" spans="2:8" x14ac:dyDescent="0.35">
      <c r="B4823"/>
      <c r="C4823"/>
      <c r="H4823"/>
    </row>
    <row r="4824" spans="2:8" x14ac:dyDescent="0.35">
      <c r="B4824"/>
      <c r="C4824"/>
      <c r="H4824"/>
    </row>
    <row r="4825" spans="2:8" x14ac:dyDescent="0.35">
      <c r="B4825"/>
      <c r="C4825"/>
      <c r="H4825"/>
    </row>
    <row r="4826" spans="2:8" x14ac:dyDescent="0.35">
      <c r="B4826"/>
      <c r="C4826"/>
      <c r="H4826"/>
    </row>
    <row r="4827" spans="2:8" x14ac:dyDescent="0.35">
      <c r="B4827"/>
      <c r="C4827"/>
      <c r="H4827"/>
    </row>
    <row r="4828" spans="2:8" x14ac:dyDescent="0.35">
      <c r="B4828"/>
      <c r="C4828"/>
      <c r="H4828"/>
    </row>
    <row r="4829" spans="2:8" x14ac:dyDescent="0.35">
      <c r="B4829"/>
      <c r="C4829"/>
      <c r="H4829"/>
    </row>
    <row r="4830" spans="2:8" x14ac:dyDescent="0.35">
      <c r="B4830"/>
      <c r="C4830"/>
      <c r="H4830"/>
    </row>
    <row r="4831" spans="2:8" x14ac:dyDescent="0.35">
      <c r="B4831"/>
      <c r="C4831"/>
      <c r="H4831"/>
    </row>
    <row r="4832" spans="2:8" x14ac:dyDescent="0.35">
      <c r="B4832"/>
      <c r="C4832"/>
      <c r="H4832"/>
    </row>
    <row r="4833" spans="2:8" x14ac:dyDescent="0.35">
      <c r="B4833"/>
      <c r="C4833"/>
      <c r="H4833"/>
    </row>
    <row r="4834" spans="2:8" x14ac:dyDescent="0.35">
      <c r="B4834"/>
      <c r="C4834"/>
      <c r="H4834"/>
    </row>
    <row r="4835" spans="2:8" x14ac:dyDescent="0.35">
      <c r="B4835"/>
      <c r="C4835"/>
      <c r="H4835"/>
    </row>
    <row r="4836" spans="2:8" x14ac:dyDescent="0.35">
      <c r="B4836"/>
      <c r="C4836"/>
      <c r="H4836"/>
    </row>
    <row r="4837" spans="2:8" x14ac:dyDescent="0.35">
      <c r="B4837"/>
      <c r="C4837"/>
      <c r="H4837"/>
    </row>
    <row r="4838" spans="2:8" x14ac:dyDescent="0.35">
      <c r="B4838"/>
      <c r="C4838"/>
      <c r="H4838"/>
    </row>
    <row r="4839" spans="2:8" x14ac:dyDescent="0.35">
      <c r="B4839"/>
      <c r="C4839"/>
      <c r="H4839"/>
    </row>
    <row r="4840" spans="2:8" x14ac:dyDescent="0.35">
      <c r="B4840"/>
      <c r="C4840"/>
      <c r="H4840"/>
    </row>
    <row r="4841" spans="2:8" x14ac:dyDescent="0.35">
      <c r="B4841"/>
      <c r="C4841"/>
      <c r="H4841"/>
    </row>
    <row r="4842" spans="2:8" x14ac:dyDescent="0.35">
      <c r="B4842"/>
      <c r="C4842"/>
      <c r="H4842"/>
    </row>
    <row r="4843" spans="2:8" x14ac:dyDescent="0.35">
      <c r="B4843"/>
      <c r="C4843"/>
      <c r="H4843"/>
    </row>
    <row r="4844" spans="2:8" x14ac:dyDescent="0.35">
      <c r="B4844"/>
      <c r="C4844"/>
      <c r="H4844"/>
    </row>
    <row r="4845" spans="2:8" x14ac:dyDescent="0.35">
      <c r="B4845"/>
      <c r="C4845"/>
      <c r="H4845"/>
    </row>
    <row r="4846" spans="2:8" x14ac:dyDescent="0.35">
      <c r="B4846"/>
      <c r="C4846"/>
      <c r="H4846"/>
    </row>
    <row r="4847" spans="2:8" x14ac:dyDescent="0.35">
      <c r="B4847"/>
      <c r="C4847"/>
      <c r="H4847"/>
    </row>
    <row r="4848" spans="2:8" x14ac:dyDescent="0.35">
      <c r="B4848"/>
      <c r="C4848"/>
      <c r="H4848"/>
    </row>
    <row r="4849" spans="2:8" x14ac:dyDescent="0.35">
      <c r="B4849"/>
      <c r="C4849"/>
      <c r="H4849"/>
    </row>
    <row r="4850" spans="2:8" x14ac:dyDescent="0.35">
      <c r="B4850"/>
      <c r="C4850"/>
      <c r="H4850"/>
    </row>
    <row r="4851" spans="2:8" x14ac:dyDescent="0.35">
      <c r="B4851"/>
      <c r="C4851"/>
      <c r="H4851"/>
    </row>
    <row r="4852" spans="2:8" x14ac:dyDescent="0.35">
      <c r="B4852"/>
      <c r="C4852"/>
      <c r="H4852"/>
    </row>
    <row r="4853" spans="2:8" x14ac:dyDescent="0.35">
      <c r="B4853"/>
      <c r="C4853"/>
      <c r="H4853"/>
    </row>
    <row r="4854" spans="2:8" x14ac:dyDescent="0.35">
      <c r="B4854"/>
      <c r="C4854"/>
      <c r="H4854"/>
    </row>
    <row r="4855" spans="2:8" x14ac:dyDescent="0.35">
      <c r="B4855"/>
      <c r="C4855"/>
      <c r="H4855"/>
    </row>
    <row r="4856" spans="2:8" x14ac:dyDescent="0.35">
      <c r="B4856"/>
      <c r="C4856"/>
      <c r="H4856"/>
    </row>
    <row r="4857" spans="2:8" x14ac:dyDescent="0.35">
      <c r="B4857"/>
      <c r="C4857"/>
      <c r="H4857"/>
    </row>
    <row r="4858" spans="2:8" x14ac:dyDescent="0.35">
      <c r="B4858"/>
      <c r="C4858"/>
      <c r="H4858"/>
    </row>
    <row r="4859" spans="2:8" x14ac:dyDescent="0.35">
      <c r="B4859"/>
      <c r="C4859"/>
      <c r="H4859"/>
    </row>
    <row r="4860" spans="2:8" x14ac:dyDescent="0.35">
      <c r="B4860"/>
      <c r="C4860"/>
      <c r="H4860"/>
    </row>
    <row r="4861" spans="2:8" x14ac:dyDescent="0.35">
      <c r="B4861"/>
      <c r="C4861"/>
      <c r="H4861"/>
    </row>
    <row r="4862" spans="2:8" x14ac:dyDescent="0.35">
      <c r="B4862"/>
      <c r="C4862"/>
      <c r="H4862"/>
    </row>
    <row r="4863" spans="2:8" x14ac:dyDescent="0.35">
      <c r="B4863"/>
      <c r="C4863"/>
      <c r="H4863"/>
    </row>
    <row r="4864" spans="2:8" x14ac:dyDescent="0.35">
      <c r="B4864"/>
      <c r="C4864"/>
      <c r="H4864"/>
    </row>
    <row r="4865" spans="2:8" x14ac:dyDescent="0.35">
      <c r="B4865"/>
      <c r="C4865"/>
      <c r="H4865"/>
    </row>
    <row r="4866" spans="2:8" x14ac:dyDescent="0.35">
      <c r="B4866"/>
      <c r="C4866"/>
      <c r="H4866"/>
    </row>
    <row r="4867" spans="2:8" x14ac:dyDescent="0.35">
      <c r="B4867"/>
      <c r="C4867"/>
      <c r="H4867"/>
    </row>
    <row r="4868" spans="2:8" x14ac:dyDescent="0.35">
      <c r="B4868"/>
      <c r="C4868"/>
      <c r="H4868"/>
    </row>
    <row r="4869" spans="2:8" x14ac:dyDescent="0.35">
      <c r="B4869"/>
      <c r="C4869"/>
      <c r="H4869"/>
    </row>
    <row r="4870" spans="2:8" x14ac:dyDescent="0.35">
      <c r="B4870"/>
      <c r="C4870"/>
      <c r="H4870"/>
    </row>
    <row r="4871" spans="2:8" x14ac:dyDescent="0.35">
      <c r="B4871"/>
      <c r="C4871"/>
      <c r="H4871"/>
    </row>
    <row r="4872" spans="2:8" x14ac:dyDescent="0.35">
      <c r="B4872"/>
      <c r="C4872"/>
      <c r="H4872"/>
    </row>
    <row r="4873" spans="2:8" x14ac:dyDescent="0.35">
      <c r="B4873"/>
      <c r="C4873"/>
      <c r="H4873"/>
    </row>
    <row r="4874" spans="2:8" x14ac:dyDescent="0.35">
      <c r="B4874"/>
      <c r="C4874"/>
      <c r="H4874"/>
    </row>
    <row r="4875" spans="2:8" x14ac:dyDescent="0.35">
      <c r="B4875"/>
      <c r="C4875"/>
      <c r="H4875"/>
    </row>
    <row r="4876" spans="2:8" x14ac:dyDescent="0.35">
      <c r="B4876"/>
      <c r="C4876"/>
      <c r="H4876"/>
    </row>
    <row r="4877" spans="2:8" x14ac:dyDescent="0.35">
      <c r="B4877"/>
      <c r="C4877"/>
      <c r="H4877"/>
    </row>
    <row r="4878" spans="2:8" x14ac:dyDescent="0.35">
      <c r="B4878"/>
      <c r="C4878"/>
      <c r="H4878"/>
    </row>
    <row r="4879" spans="2:8" x14ac:dyDescent="0.35">
      <c r="B4879"/>
      <c r="C4879"/>
      <c r="H4879"/>
    </row>
    <row r="4880" spans="2:8" x14ac:dyDescent="0.35">
      <c r="B4880"/>
      <c r="C4880"/>
      <c r="H4880"/>
    </row>
    <row r="4881" spans="2:8" x14ac:dyDescent="0.35">
      <c r="B4881"/>
      <c r="C4881"/>
      <c r="H4881"/>
    </row>
    <row r="4882" spans="2:8" x14ac:dyDescent="0.35">
      <c r="B4882"/>
      <c r="C4882"/>
      <c r="H4882"/>
    </row>
    <row r="4883" spans="2:8" x14ac:dyDescent="0.35">
      <c r="B4883"/>
      <c r="C4883"/>
      <c r="H4883"/>
    </row>
    <row r="4884" spans="2:8" x14ac:dyDescent="0.35">
      <c r="B4884"/>
      <c r="C4884"/>
      <c r="H4884"/>
    </row>
    <row r="4885" spans="2:8" x14ac:dyDescent="0.35">
      <c r="B4885"/>
      <c r="C4885"/>
      <c r="H4885"/>
    </row>
    <row r="4886" spans="2:8" x14ac:dyDescent="0.35">
      <c r="B4886"/>
      <c r="C4886"/>
      <c r="H4886"/>
    </row>
    <row r="4887" spans="2:8" x14ac:dyDescent="0.35">
      <c r="B4887"/>
      <c r="C4887"/>
      <c r="H4887"/>
    </row>
    <row r="4888" spans="2:8" x14ac:dyDescent="0.35">
      <c r="B4888"/>
      <c r="C4888"/>
      <c r="H4888"/>
    </row>
    <row r="4889" spans="2:8" x14ac:dyDescent="0.35">
      <c r="B4889"/>
      <c r="C4889"/>
      <c r="H4889"/>
    </row>
    <row r="4890" spans="2:8" x14ac:dyDescent="0.35">
      <c r="B4890"/>
      <c r="C4890"/>
      <c r="H4890"/>
    </row>
    <row r="4891" spans="2:8" x14ac:dyDescent="0.35">
      <c r="B4891"/>
      <c r="C4891"/>
      <c r="H4891"/>
    </row>
    <row r="4892" spans="2:8" x14ac:dyDescent="0.35">
      <c r="B4892"/>
      <c r="C4892"/>
      <c r="H4892"/>
    </row>
    <row r="4893" spans="2:8" x14ac:dyDescent="0.35">
      <c r="B4893"/>
      <c r="C4893"/>
      <c r="H4893"/>
    </row>
    <row r="4894" spans="2:8" x14ac:dyDescent="0.35">
      <c r="B4894"/>
      <c r="C4894"/>
      <c r="H4894"/>
    </row>
    <row r="4895" spans="2:8" x14ac:dyDescent="0.35">
      <c r="B4895"/>
      <c r="C4895"/>
      <c r="H4895"/>
    </row>
    <row r="4896" spans="2:8" x14ac:dyDescent="0.35">
      <c r="B4896"/>
      <c r="C4896"/>
      <c r="H4896"/>
    </row>
    <row r="4897" spans="2:8" x14ac:dyDescent="0.35">
      <c r="B4897"/>
      <c r="C4897"/>
      <c r="H4897"/>
    </row>
    <row r="4898" spans="2:8" x14ac:dyDescent="0.35">
      <c r="B4898"/>
      <c r="C4898"/>
      <c r="H4898"/>
    </row>
    <row r="4899" spans="2:8" x14ac:dyDescent="0.35">
      <c r="B4899"/>
      <c r="C4899"/>
      <c r="H4899"/>
    </row>
    <row r="4900" spans="2:8" x14ac:dyDescent="0.35">
      <c r="B4900"/>
      <c r="C4900"/>
      <c r="H4900"/>
    </row>
    <row r="4901" spans="2:8" x14ac:dyDescent="0.35">
      <c r="B4901"/>
      <c r="C4901"/>
      <c r="H4901"/>
    </row>
    <row r="4902" spans="2:8" x14ac:dyDescent="0.35">
      <c r="B4902"/>
      <c r="C4902"/>
      <c r="H4902"/>
    </row>
    <row r="4903" spans="2:8" x14ac:dyDescent="0.35">
      <c r="B4903"/>
      <c r="C4903"/>
      <c r="H4903"/>
    </row>
    <row r="4904" spans="2:8" x14ac:dyDescent="0.35">
      <c r="B4904"/>
      <c r="C4904"/>
      <c r="H4904"/>
    </row>
    <row r="4905" spans="2:8" x14ac:dyDescent="0.35">
      <c r="B4905"/>
      <c r="C4905"/>
      <c r="H4905"/>
    </row>
    <row r="4906" spans="2:8" x14ac:dyDescent="0.35">
      <c r="B4906"/>
      <c r="C4906"/>
      <c r="H4906"/>
    </row>
    <row r="4907" spans="2:8" x14ac:dyDescent="0.35">
      <c r="B4907"/>
      <c r="C4907"/>
      <c r="H4907"/>
    </row>
    <row r="4908" spans="2:8" x14ac:dyDescent="0.35">
      <c r="B4908"/>
      <c r="C4908"/>
      <c r="H4908"/>
    </row>
    <row r="4909" spans="2:8" x14ac:dyDescent="0.35">
      <c r="B4909"/>
      <c r="C4909"/>
      <c r="H4909"/>
    </row>
    <row r="4910" spans="2:8" x14ac:dyDescent="0.35">
      <c r="B4910"/>
      <c r="C4910"/>
      <c r="H4910"/>
    </row>
    <row r="4911" spans="2:8" x14ac:dyDescent="0.35">
      <c r="B4911"/>
      <c r="C4911"/>
      <c r="H4911"/>
    </row>
    <row r="4912" spans="2:8" x14ac:dyDescent="0.35">
      <c r="B4912"/>
      <c r="C4912"/>
      <c r="H4912"/>
    </row>
    <row r="4913" spans="2:8" x14ac:dyDescent="0.35">
      <c r="B4913"/>
      <c r="C4913"/>
      <c r="H4913"/>
    </row>
    <row r="4914" spans="2:8" x14ac:dyDescent="0.35">
      <c r="B4914"/>
      <c r="C4914"/>
      <c r="H4914"/>
    </row>
    <row r="4915" spans="2:8" x14ac:dyDescent="0.35">
      <c r="B4915"/>
      <c r="C4915"/>
      <c r="H4915"/>
    </row>
    <row r="4916" spans="2:8" x14ac:dyDescent="0.35">
      <c r="B4916"/>
      <c r="C4916"/>
      <c r="H4916"/>
    </row>
    <row r="4917" spans="2:8" x14ac:dyDescent="0.35">
      <c r="B4917"/>
      <c r="C4917"/>
      <c r="H4917"/>
    </row>
    <row r="4918" spans="2:8" x14ac:dyDescent="0.35">
      <c r="B4918"/>
      <c r="C4918"/>
      <c r="H4918"/>
    </row>
    <row r="4919" spans="2:8" x14ac:dyDescent="0.35">
      <c r="B4919"/>
      <c r="C4919"/>
      <c r="H4919"/>
    </row>
    <row r="4920" spans="2:8" x14ac:dyDescent="0.35">
      <c r="B4920"/>
      <c r="C4920"/>
      <c r="H4920"/>
    </row>
    <row r="4921" spans="2:8" x14ac:dyDescent="0.35">
      <c r="B4921"/>
      <c r="C4921"/>
      <c r="H4921"/>
    </row>
    <row r="4922" spans="2:8" x14ac:dyDescent="0.35">
      <c r="B4922"/>
      <c r="C4922"/>
      <c r="H4922"/>
    </row>
    <row r="4923" spans="2:8" x14ac:dyDescent="0.35">
      <c r="B4923"/>
      <c r="C4923"/>
      <c r="H4923"/>
    </row>
    <row r="4924" spans="2:8" x14ac:dyDescent="0.35">
      <c r="B4924"/>
      <c r="C4924"/>
      <c r="H4924"/>
    </row>
    <row r="4925" spans="2:8" x14ac:dyDescent="0.35">
      <c r="B4925"/>
      <c r="C4925"/>
      <c r="H4925"/>
    </row>
    <row r="4926" spans="2:8" x14ac:dyDescent="0.35">
      <c r="B4926"/>
      <c r="C4926"/>
      <c r="H4926"/>
    </row>
    <row r="4927" spans="2:8" x14ac:dyDescent="0.35">
      <c r="B4927"/>
      <c r="C4927"/>
      <c r="H4927"/>
    </row>
    <row r="4928" spans="2:8" x14ac:dyDescent="0.35">
      <c r="B4928"/>
      <c r="C4928"/>
      <c r="H4928"/>
    </row>
    <row r="4929" spans="2:8" x14ac:dyDescent="0.35">
      <c r="B4929"/>
      <c r="C4929"/>
      <c r="H4929"/>
    </row>
    <row r="4930" spans="2:8" x14ac:dyDescent="0.35">
      <c r="B4930"/>
      <c r="C4930"/>
      <c r="H4930"/>
    </row>
    <row r="4931" spans="2:8" x14ac:dyDescent="0.35">
      <c r="B4931"/>
      <c r="C4931"/>
      <c r="H4931"/>
    </row>
    <row r="4932" spans="2:8" x14ac:dyDescent="0.35">
      <c r="B4932"/>
      <c r="C4932"/>
      <c r="H4932"/>
    </row>
    <row r="4933" spans="2:8" x14ac:dyDescent="0.35">
      <c r="B4933"/>
      <c r="C4933"/>
      <c r="H4933"/>
    </row>
    <row r="4934" spans="2:8" x14ac:dyDescent="0.35">
      <c r="B4934"/>
      <c r="C4934"/>
      <c r="H4934"/>
    </row>
    <row r="4935" spans="2:8" x14ac:dyDescent="0.35">
      <c r="B4935"/>
      <c r="C4935"/>
      <c r="H4935"/>
    </row>
    <row r="4936" spans="2:8" x14ac:dyDescent="0.35">
      <c r="B4936"/>
      <c r="C4936"/>
      <c r="H4936"/>
    </row>
    <row r="4937" spans="2:8" x14ac:dyDescent="0.35">
      <c r="B4937"/>
      <c r="C4937"/>
      <c r="H4937"/>
    </row>
    <row r="4938" spans="2:8" x14ac:dyDescent="0.35">
      <c r="B4938"/>
      <c r="C4938"/>
      <c r="H4938"/>
    </row>
    <row r="4939" spans="2:8" x14ac:dyDescent="0.35">
      <c r="B4939"/>
      <c r="C4939"/>
      <c r="H4939"/>
    </row>
    <row r="4940" spans="2:8" x14ac:dyDescent="0.35">
      <c r="B4940"/>
      <c r="C4940"/>
      <c r="H4940"/>
    </row>
    <row r="4941" spans="2:8" x14ac:dyDescent="0.35">
      <c r="B4941"/>
      <c r="C4941"/>
      <c r="H4941"/>
    </row>
    <row r="4942" spans="2:8" x14ac:dyDescent="0.35">
      <c r="B4942"/>
      <c r="C4942"/>
      <c r="H4942"/>
    </row>
    <row r="4943" spans="2:8" x14ac:dyDescent="0.35">
      <c r="B4943"/>
      <c r="C4943"/>
      <c r="H4943"/>
    </row>
    <row r="4944" spans="2:8" x14ac:dyDescent="0.35">
      <c r="B4944"/>
      <c r="C4944"/>
      <c r="H4944"/>
    </row>
    <row r="4945" spans="2:8" x14ac:dyDescent="0.35">
      <c r="B4945"/>
      <c r="C4945"/>
      <c r="H4945"/>
    </row>
    <row r="4946" spans="2:8" x14ac:dyDescent="0.35">
      <c r="B4946"/>
      <c r="C4946"/>
      <c r="H4946"/>
    </row>
    <row r="4947" spans="2:8" x14ac:dyDescent="0.35">
      <c r="B4947"/>
      <c r="C4947"/>
      <c r="H4947"/>
    </row>
    <row r="4948" spans="2:8" x14ac:dyDescent="0.35">
      <c r="B4948"/>
      <c r="C4948"/>
      <c r="H4948"/>
    </row>
    <row r="4949" spans="2:8" x14ac:dyDescent="0.35">
      <c r="B4949"/>
      <c r="C4949"/>
      <c r="H4949"/>
    </row>
    <row r="4950" spans="2:8" x14ac:dyDescent="0.35">
      <c r="B4950"/>
      <c r="C4950"/>
      <c r="H4950"/>
    </row>
    <row r="4951" spans="2:8" x14ac:dyDescent="0.35">
      <c r="B4951"/>
      <c r="C4951"/>
      <c r="H4951"/>
    </row>
    <row r="4952" spans="2:8" x14ac:dyDescent="0.35">
      <c r="B4952"/>
      <c r="C4952"/>
      <c r="H4952"/>
    </row>
    <row r="4953" spans="2:8" x14ac:dyDescent="0.35">
      <c r="B4953"/>
      <c r="C4953"/>
      <c r="H4953"/>
    </row>
    <row r="4954" spans="2:8" x14ac:dyDescent="0.35">
      <c r="B4954"/>
      <c r="C4954"/>
      <c r="H4954"/>
    </row>
    <row r="4955" spans="2:8" x14ac:dyDescent="0.35">
      <c r="B4955"/>
      <c r="C4955"/>
      <c r="H4955"/>
    </row>
    <row r="4956" spans="2:8" x14ac:dyDescent="0.35">
      <c r="B4956"/>
      <c r="C4956"/>
      <c r="H4956"/>
    </row>
    <row r="4957" spans="2:8" x14ac:dyDescent="0.35">
      <c r="B4957"/>
      <c r="C4957"/>
      <c r="H4957"/>
    </row>
    <row r="4958" spans="2:8" x14ac:dyDescent="0.35">
      <c r="B4958"/>
      <c r="C4958"/>
      <c r="H4958"/>
    </row>
    <row r="4959" spans="2:8" x14ac:dyDescent="0.35">
      <c r="B4959"/>
      <c r="C4959"/>
      <c r="H4959"/>
    </row>
    <row r="4960" spans="2:8" x14ac:dyDescent="0.35">
      <c r="B4960"/>
      <c r="C4960"/>
      <c r="H4960"/>
    </row>
    <row r="4961" spans="2:8" x14ac:dyDescent="0.35">
      <c r="B4961"/>
      <c r="C4961"/>
      <c r="H4961"/>
    </row>
    <row r="4962" spans="2:8" x14ac:dyDescent="0.35">
      <c r="B4962"/>
      <c r="C4962"/>
      <c r="H4962"/>
    </row>
    <row r="4963" spans="2:8" x14ac:dyDescent="0.35">
      <c r="B4963"/>
      <c r="C4963"/>
      <c r="H4963"/>
    </row>
    <row r="4964" spans="2:8" x14ac:dyDescent="0.35">
      <c r="B4964"/>
      <c r="C4964"/>
      <c r="H4964"/>
    </row>
    <row r="4965" spans="2:8" x14ac:dyDescent="0.35">
      <c r="B4965"/>
      <c r="C4965"/>
      <c r="H4965"/>
    </row>
    <row r="4966" spans="2:8" x14ac:dyDescent="0.35">
      <c r="B4966"/>
      <c r="C4966"/>
      <c r="H4966"/>
    </row>
    <row r="4967" spans="2:8" x14ac:dyDescent="0.35">
      <c r="B4967"/>
      <c r="C4967"/>
      <c r="H4967"/>
    </row>
    <row r="4968" spans="2:8" x14ac:dyDescent="0.35">
      <c r="B4968"/>
      <c r="C4968"/>
      <c r="H4968"/>
    </row>
    <row r="4969" spans="2:8" x14ac:dyDescent="0.35">
      <c r="B4969"/>
      <c r="C4969"/>
      <c r="H4969"/>
    </row>
    <row r="4970" spans="2:8" x14ac:dyDescent="0.35">
      <c r="B4970"/>
      <c r="C4970"/>
      <c r="H4970"/>
    </row>
    <row r="4971" spans="2:8" x14ac:dyDescent="0.35">
      <c r="B4971"/>
      <c r="C4971"/>
      <c r="H4971"/>
    </row>
    <row r="4972" spans="2:8" x14ac:dyDescent="0.35">
      <c r="B4972"/>
      <c r="C4972"/>
      <c r="H4972"/>
    </row>
    <row r="4973" spans="2:8" x14ac:dyDescent="0.35">
      <c r="B4973"/>
      <c r="C4973"/>
      <c r="H4973"/>
    </row>
    <row r="4974" spans="2:8" x14ac:dyDescent="0.35">
      <c r="B4974"/>
      <c r="C4974"/>
      <c r="H4974"/>
    </row>
    <row r="4975" spans="2:8" x14ac:dyDescent="0.35">
      <c r="B4975"/>
      <c r="C4975"/>
      <c r="H4975"/>
    </row>
    <row r="4976" spans="2:8" x14ac:dyDescent="0.35">
      <c r="B4976"/>
      <c r="C4976"/>
      <c r="H4976"/>
    </row>
    <row r="4977" spans="2:8" x14ac:dyDescent="0.35">
      <c r="B4977"/>
      <c r="C4977"/>
      <c r="H4977"/>
    </row>
    <row r="4978" spans="2:8" x14ac:dyDescent="0.35">
      <c r="B4978"/>
      <c r="C4978"/>
      <c r="H4978"/>
    </row>
    <row r="4979" spans="2:8" x14ac:dyDescent="0.35">
      <c r="B4979"/>
      <c r="C4979"/>
      <c r="H4979"/>
    </row>
    <row r="4980" spans="2:8" x14ac:dyDescent="0.35">
      <c r="B4980"/>
      <c r="C4980"/>
      <c r="H4980"/>
    </row>
    <row r="4981" spans="2:8" x14ac:dyDescent="0.35">
      <c r="B4981"/>
      <c r="C4981"/>
      <c r="H4981"/>
    </row>
    <row r="4982" spans="2:8" x14ac:dyDescent="0.35">
      <c r="B4982"/>
      <c r="C4982"/>
      <c r="H4982"/>
    </row>
    <row r="4983" spans="2:8" x14ac:dyDescent="0.35">
      <c r="B4983"/>
      <c r="C4983"/>
      <c r="H4983"/>
    </row>
    <row r="4984" spans="2:8" x14ac:dyDescent="0.35">
      <c r="B4984"/>
      <c r="C4984"/>
      <c r="H4984"/>
    </row>
    <row r="4985" spans="2:8" x14ac:dyDescent="0.35">
      <c r="B4985"/>
      <c r="C4985"/>
      <c r="H4985"/>
    </row>
    <row r="4986" spans="2:8" x14ac:dyDescent="0.35">
      <c r="B4986"/>
      <c r="C4986"/>
      <c r="H4986"/>
    </row>
    <row r="4987" spans="2:8" x14ac:dyDescent="0.35">
      <c r="B4987"/>
      <c r="C4987"/>
      <c r="H4987"/>
    </row>
    <row r="4988" spans="2:8" x14ac:dyDescent="0.35">
      <c r="B4988"/>
      <c r="C4988"/>
      <c r="H4988"/>
    </row>
    <row r="4989" spans="2:8" x14ac:dyDescent="0.35">
      <c r="B4989"/>
      <c r="C4989"/>
      <c r="H4989"/>
    </row>
    <row r="4990" spans="2:8" x14ac:dyDescent="0.35">
      <c r="B4990"/>
      <c r="C4990"/>
      <c r="H4990"/>
    </row>
    <row r="4991" spans="2:8" x14ac:dyDescent="0.35">
      <c r="B4991"/>
      <c r="C4991"/>
      <c r="H4991"/>
    </row>
    <row r="4992" spans="2:8" x14ac:dyDescent="0.35">
      <c r="B4992"/>
      <c r="C4992"/>
      <c r="H4992"/>
    </row>
    <row r="4993" spans="2:8" x14ac:dyDescent="0.35">
      <c r="B4993"/>
      <c r="C4993"/>
      <c r="H4993"/>
    </row>
    <row r="4994" spans="2:8" x14ac:dyDescent="0.35">
      <c r="B4994"/>
      <c r="C4994"/>
      <c r="H4994"/>
    </row>
    <row r="4995" spans="2:8" x14ac:dyDescent="0.35">
      <c r="B4995"/>
      <c r="C4995"/>
      <c r="H4995"/>
    </row>
    <row r="4996" spans="2:8" x14ac:dyDescent="0.35">
      <c r="B4996"/>
      <c r="C4996"/>
      <c r="H4996"/>
    </row>
    <row r="4997" spans="2:8" x14ac:dyDescent="0.35">
      <c r="B4997"/>
      <c r="C4997"/>
      <c r="H4997"/>
    </row>
    <row r="4998" spans="2:8" x14ac:dyDescent="0.35">
      <c r="B4998"/>
      <c r="C4998"/>
      <c r="H4998"/>
    </row>
    <row r="4999" spans="2:8" x14ac:dyDescent="0.35">
      <c r="B4999"/>
      <c r="C4999"/>
      <c r="H4999"/>
    </row>
    <row r="5000" spans="2:8" x14ac:dyDescent="0.35">
      <c r="B5000"/>
      <c r="C5000"/>
      <c r="H5000"/>
    </row>
    <row r="5001" spans="2:8" x14ac:dyDescent="0.35">
      <c r="B5001"/>
      <c r="C5001"/>
      <c r="H5001"/>
    </row>
    <row r="5002" spans="2:8" x14ac:dyDescent="0.35">
      <c r="B5002"/>
      <c r="C5002"/>
      <c r="H5002"/>
    </row>
    <row r="5003" spans="2:8" x14ac:dyDescent="0.35">
      <c r="B5003"/>
      <c r="C5003"/>
      <c r="H5003"/>
    </row>
    <row r="5004" spans="2:8" x14ac:dyDescent="0.35">
      <c r="B5004"/>
      <c r="C5004"/>
      <c r="H5004"/>
    </row>
    <row r="5005" spans="2:8" x14ac:dyDescent="0.35">
      <c r="B5005"/>
      <c r="C5005"/>
      <c r="H5005"/>
    </row>
    <row r="5006" spans="2:8" x14ac:dyDescent="0.35">
      <c r="B5006"/>
      <c r="C5006"/>
      <c r="H5006"/>
    </row>
    <row r="5007" spans="2:8" x14ac:dyDescent="0.35">
      <c r="B5007"/>
      <c r="C5007"/>
      <c r="H5007"/>
    </row>
    <row r="5008" spans="2:8" x14ac:dyDescent="0.35">
      <c r="B5008"/>
      <c r="C5008"/>
      <c r="H5008"/>
    </row>
    <row r="5009" spans="2:8" x14ac:dyDescent="0.35">
      <c r="B5009"/>
      <c r="C5009"/>
      <c r="H5009"/>
    </row>
    <row r="5010" spans="2:8" x14ac:dyDescent="0.35">
      <c r="B5010"/>
      <c r="C5010"/>
      <c r="H5010"/>
    </row>
    <row r="5011" spans="2:8" x14ac:dyDescent="0.35">
      <c r="B5011"/>
      <c r="C5011"/>
      <c r="H5011"/>
    </row>
    <row r="5012" spans="2:8" x14ac:dyDescent="0.35">
      <c r="B5012"/>
      <c r="C5012"/>
      <c r="H5012"/>
    </row>
    <row r="5013" spans="2:8" x14ac:dyDescent="0.35">
      <c r="B5013"/>
      <c r="C5013"/>
      <c r="H5013"/>
    </row>
    <row r="5014" spans="2:8" x14ac:dyDescent="0.35">
      <c r="B5014"/>
      <c r="C5014"/>
      <c r="H5014"/>
    </row>
    <row r="5015" spans="2:8" x14ac:dyDescent="0.35">
      <c r="B5015"/>
      <c r="C5015"/>
      <c r="H5015"/>
    </row>
    <row r="5016" spans="2:8" x14ac:dyDescent="0.35">
      <c r="B5016"/>
      <c r="C5016"/>
      <c r="H5016"/>
    </row>
    <row r="5017" spans="2:8" x14ac:dyDescent="0.35">
      <c r="B5017"/>
      <c r="C5017"/>
      <c r="H5017"/>
    </row>
    <row r="5018" spans="2:8" x14ac:dyDescent="0.35">
      <c r="B5018"/>
      <c r="C5018"/>
      <c r="H5018"/>
    </row>
    <row r="5019" spans="2:8" x14ac:dyDescent="0.35">
      <c r="B5019"/>
      <c r="C5019"/>
      <c r="H5019"/>
    </row>
    <row r="5020" spans="2:8" x14ac:dyDescent="0.35">
      <c r="B5020"/>
      <c r="C5020"/>
      <c r="H5020"/>
    </row>
    <row r="5021" spans="2:8" x14ac:dyDescent="0.35">
      <c r="B5021"/>
      <c r="C5021"/>
      <c r="H5021"/>
    </row>
    <row r="5022" spans="2:8" x14ac:dyDescent="0.35">
      <c r="B5022"/>
      <c r="C5022"/>
      <c r="H5022"/>
    </row>
    <row r="5023" spans="2:8" x14ac:dyDescent="0.35">
      <c r="B5023"/>
      <c r="C5023"/>
      <c r="H5023"/>
    </row>
    <row r="5024" spans="2:8" x14ac:dyDescent="0.35">
      <c r="B5024"/>
      <c r="C5024"/>
      <c r="H5024"/>
    </row>
    <row r="5025" spans="2:8" x14ac:dyDescent="0.35">
      <c r="B5025"/>
      <c r="C5025"/>
      <c r="H5025"/>
    </row>
    <row r="5026" spans="2:8" x14ac:dyDescent="0.35">
      <c r="B5026"/>
      <c r="C5026"/>
      <c r="H5026"/>
    </row>
    <row r="5027" spans="2:8" x14ac:dyDescent="0.35">
      <c r="B5027"/>
      <c r="C5027"/>
      <c r="H5027"/>
    </row>
    <row r="5028" spans="2:8" x14ac:dyDescent="0.35">
      <c r="B5028"/>
      <c r="C5028"/>
      <c r="H5028"/>
    </row>
    <row r="5029" spans="2:8" x14ac:dyDescent="0.35">
      <c r="B5029"/>
      <c r="C5029"/>
      <c r="H5029"/>
    </row>
    <row r="5030" spans="2:8" x14ac:dyDescent="0.35">
      <c r="B5030"/>
      <c r="C5030"/>
      <c r="H5030"/>
    </row>
    <row r="5031" spans="2:8" x14ac:dyDescent="0.35">
      <c r="B5031"/>
      <c r="C5031"/>
      <c r="H5031"/>
    </row>
    <row r="5032" spans="2:8" x14ac:dyDescent="0.35">
      <c r="B5032"/>
      <c r="C5032"/>
      <c r="H5032"/>
    </row>
    <row r="5033" spans="2:8" x14ac:dyDescent="0.35">
      <c r="B5033"/>
      <c r="C5033"/>
      <c r="H5033"/>
    </row>
    <row r="5034" spans="2:8" x14ac:dyDescent="0.35">
      <c r="B5034"/>
      <c r="C5034"/>
      <c r="H5034"/>
    </row>
    <row r="5035" spans="2:8" x14ac:dyDescent="0.35">
      <c r="B5035"/>
      <c r="C5035"/>
      <c r="H5035"/>
    </row>
    <row r="5036" spans="2:8" x14ac:dyDescent="0.35">
      <c r="B5036"/>
      <c r="C5036"/>
      <c r="H5036"/>
    </row>
    <row r="5037" spans="2:8" x14ac:dyDescent="0.35">
      <c r="B5037"/>
      <c r="C5037"/>
      <c r="H5037"/>
    </row>
    <row r="5038" spans="2:8" x14ac:dyDescent="0.35">
      <c r="B5038"/>
      <c r="C5038"/>
      <c r="H5038"/>
    </row>
    <row r="5039" spans="2:8" x14ac:dyDescent="0.35">
      <c r="B5039"/>
      <c r="C5039"/>
      <c r="H5039"/>
    </row>
    <row r="5040" spans="2:8" x14ac:dyDescent="0.35">
      <c r="B5040"/>
      <c r="C5040"/>
      <c r="H5040"/>
    </row>
    <row r="5041" spans="2:8" x14ac:dyDescent="0.35">
      <c r="B5041"/>
      <c r="C5041"/>
      <c r="H5041"/>
    </row>
    <row r="5042" spans="2:8" x14ac:dyDescent="0.35">
      <c r="B5042"/>
      <c r="C5042"/>
      <c r="H5042"/>
    </row>
    <row r="5043" spans="2:8" x14ac:dyDescent="0.35">
      <c r="B5043"/>
      <c r="C5043"/>
      <c r="H5043"/>
    </row>
    <row r="5044" spans="2:8" x14ac:dyDescent="0.35">
      <c r="B5044"/>
      <c r="C5044"/>
      <c r="H5044"/>
    </row>
    <row r="5045" spans="2:8" x14ac:dyDescent="0.35">
      <c r="B5045"/>
      <c r="C5045"/>
      <c r="H5045"/>
    </row>
    <row r="5046" spans="2:8" x14ac:dyDescent="0.35">
      <c r="B5046"/>
      <c r="C5046"/>
      <c r="H5046"/>
    </row>
    <row r="5047" spans="2:8" x14ac:dyDescent="0.35">
      <c r="B5047"/>
      <c r="C5047"/>
      <c r="H5047"/>
    </row>
    <row r="5048" spans="2:8" x14ac:dyDescent="0.35">
      <c r="B5048"/>
      <c r="C5048"/>
      <c r="H5048"/>
    </row>
    <row r="5049" spans="2:8" x14ac:dyDescent="0.35">
      <c r="B5049"/>
      <c r="C5049"/>
      <c r="H5049"/>
    </row>
    <row r="5050" spans="2:8" x14ac:dyDescent="0.35">
      <c r="B5050"/>
      <c r="C5050"/>
      <c r="H5050"/>
    </row>
    <row r="5051" spans="2:8" x14ac:dyDescent="0.35">
      <c r="B5051"/>
      <c r="C5051"/>
      <c r="H5051"/>
    </row>
    <row r="5052" spans="2:8" x14ac:dyDescent="0.35">
      <c r="B5052"/>
      <c r="C5052"/>
      <c r="H5052"/>
    </row>
    <row r="5053" spans="2:8" x14ac:dyDescent="0.35">
      <c r="B5053"/>
      <c r="C5053"/>
      <c r="H5053"/>
    </row>
    <row r="5054" spans="2:8" x14ac:dyDescent="0.35">
      <c r="B5054"/>
      <c r="C5054"/>
      <c r="H5054"/>
    </row>
    <row r="5055" spans="2:8" x14ac:dyDescent="0.35">
      <c r="B5055"/>
      <c r="C5055"/>
      <c r="H5055"/>
    </row>
    <row r="5056" spans="2:8" x14ac:dyDescent="0.35">
      <c r="B5056"/>
      <c r="C5056"/>
      <c r="H5056"/>
    </row>
    <row r="5057" spans="2:8" x14ac:dyDescent="0.35">
      <c r="B5057"/>
      <c r="C5057"/>
      <c r="H5057"/>
    </row>
    <row r="5058" spans="2:8" x14ac:dyDescent="0.35">
      <c r="B5058"/>
      <c r="C5058"/>
      <c r="H5058"/>
    </row>
    <row r="5059" spans="2:8" x14ac:dyDescent="0.35">
      <c r="B5059"/>
      <c r="C5059"/>
      <c r="H5059"/>
    </row>
    <row r="5060" spans="2:8" x14ac:dyDescent="0.35">
      <c r="B5060"/>
      <c r="C5060"/>
      <c r="H5060"/>
    </row>
    <row r="5061" spans="2:8" x14ac:dyDescent="0.35">
      <c r="B5061"/>
      <c r="C5061"/>
      <c r="H5061"/>
    </row>
    <row r="5062" spans="2:8" x14ac:dyDescent="0.35">
      <c r="B5062"/>
      <c r="C5062"/>
      <c r="H5062"/>
    </row>
    <row r="5063" spans="2:8" x14ac:dyDescent="0.35">
      <c r="B5063"/>
      <c r="C5063"/>
      <c r="H5063"/>
    </row>
    <row r="5064" spans="2:8" x14ac:dyDescent="0.35">
      <c r="B5064"/>
      <c r="C5064"/>
      <c r="H5064"/>
    </row>
    <row r="5065" spans="2:8" x14ac:dyDescent="0.35">
      <c r="B5065"/>
      <c r="C5065"/>
      <c r="H5065"/>
    </row>
    <row r="5066" spans="2:8" x14ac:dyDescent="0.35">
      <c r="B5066"/>
      <c r="C5066"/>
      <c r="H5066"/>
    </row>
    <row r="5067" spans="2:8" x14ac:dyDescent="0.35">
      <c r="B5067"/>
      <c r="C5067"/>
      <c r="H5067"/>
    </row>
    <row r="5068" spans="2:8" x14ac:dyDescent="0.35">
      <c r="B5068"/>
      <c r="C5068"/>
      <c r="H5068"/>
    </row>
    <row r="5069" spans="2:8" x14ac:dyDescent="0.35">
      <c r="B5069"/>
      <c r="C5069"/>
      <c r="H5069"/>
    </row>
    <row r="5070" spans="2:8" x14ac:dyDescent="0.35">
      <c r="B5070"/>
      <c r="C5070"/>
      <c r="H5070"/>
    </row>
    <row r="5071" spans="2:8" x14ac:dyDescent="0.35">
      <c r="B5071"/>
      <c r="C5071"/>
      <c r="H5071"/>
    </row>
    <row r="5072" spans="2:8" x14ac:dyDescent="0.35">
      <c r="B5072"/>
      <c r="C5072"/>
      <c r="H5072"/>
    </row>
    <row r="5073" spans="2:8" x14ac:dyDescent="0.35">
      <c r="B5073"/>
      <c r="C5073"/>
      <c r="H5073"/>
    </row>
    <row r="5074" spans="2:8" x14ac:dyDescent="0.35">
      <c r="B5074"/>
      <c r="C5074"/>
      <c r="H5074"/>
    </row>
    <row r="5075" spans="2:8" x14ac:dyDescent="0.35">
      <c r="B5075"/>
      <c r="C5075"/>
      <c r="H5075"/>
    </row>
    <row r="5076" spans="2:8" x14ac:dyDescent="0.35">
      <c r="B5076"/>
      <c r="C5076"/>
      <c r="H5076"/>
    </row>
    <row r="5077" spans="2:8" x14ac:dyDescent="0.35">
      <c r="B5077"/>
      <c r="C5077"/>
      <c r="H5077"/>
    </row>
    <row r="5078" spans="2:8" x14ac:dyDescent="0.35">
      <c r="B5078"/>
      <c r="C5078"/>
      <c r="H5078"/>
    </row>
    <row r="5079" spans="2:8" x14ac:dyDescent="0.35">
      <c r="B5079"/>
      <c r="C5079"/>
      <c r="H5079"/>
    </row>
    <row r="5080" spans="2:8" x14ac:dyDescent="0.35">
      <c r="B5080"/>
      <c r="C5080"/>
      <c r="H5080"/>
    </row>
    <row r="5081" spans="2:8" x14ac:dyDescent="0.35">
      <c r="B5081"/>
      <c r="C5081"/>
      <c r="H5081"/>
    </row>
    <row r="5082" spans="2:8" x14ac:dyDescent="0.35">
      <c r="B5082"/>
      <c r="C5082"/>
      <c r="H5082"/>
    </row>
    <row r="5083" spans="2:8" x14ac:dyDescent="0.35">
      <c r="B5083"/>
      <c r="C5083"/>
      <c r="H5083"/>
    </row>
    <row r="5084" spans="2:8" x14ac:dyDescent="0.35">
      <c r="B5084"/>
      <c r="C5084"/>
      <c r="H5084"/>
    </row>
    <row r="5085" spans="2:8" x14ac:dyDescent="0.35">
      <c r="B5085"/>
      <c r="C5085"/>
      <c r="H5085"/>
    </row>
    <row r="5086" spans="2:8" x14ac:dyDescent="0.35">
      <c r="B5086"/>
      <c r="C5086"/>
      <c r="H5086"/>
    </row>
    <row r="5087" spans="2:8" x14ac:dyDescent="0.35">
      <c r="B5087"/>
      <c r="C5087"/>
      <c r="H5087"/>
    </row>
    <row r="5088" spans="2:8" x14ac:dyDescent="0.35">
      <c r="B5088"/>
      <c r="C5088"/>
      <c r="H5088"/>
    </row>
    <row r="5089" spans="2:8" x14ac:dyDescent="0.35">
      <c r="B5089"/>
      <c r="C5089"/>
      <c r="H5089"/>
    </row>
    <row r="5090" spans="2:8" x14ac:dyDescent="0.35">
      <c r="B5090"/>
      <c r="C5090"/>
      <c r="H5090"/>
    </row>
    <row r="5091" spans="2:8" x14ac:dyDescent="0.35">
      <c r="B5091"/>
      <c r="C5091"/>
      <c r="H5091"/>
    </row>
    <row r="5092" spans="2:8" x14ac:dyDescent="0.35">
      <c r="B5092"/>
      <c r="C5092"/>
      <c r="H5092"/>
    </row>
    <row r="5093" spans="2:8" x14ac:dyDescent="0.35">
      <c r="B5093"/>
      <c r="C5093"/>
      <c r="H5093"/>
    </row>
    <row r="5094" spans="2:8" x14ac:dyDescent="0.35">
      <c r="B5094"/>
      <c r="C5094"/>
      <c r="H5094"/>
    </row>
    <row r="5095" spans="2:8" x14ac:dyDescent="0.35">
      <c r="B5095"/>
      <c r="C5095"/>
      <c r="H5095"/>
    </row>
    <row r="5096" spans="2:8" x14ac:dyDescent="0.35">
      <c r="B5096"/>
      <c r="C5096"/>
      <c r="H5096"/>
    </row>
    <row r="5097" spans="2:8" x14ac:dyDescent="0.35">
      <c r="B5097"/>
      <c r="C5097"/>
      <c r="H5097"/>
    </row>
    <row r="5098" spans="2:8" x14ac:dyDescent="0.35">
      <c r="B5098"/>
      <c r="C5098"/>
      <c r="H5098"/>
    </row>
    <row r="5099" spans="2:8" x14ac:dyDescent="0.35">
      <c r="B5099"/>
      <c r="C5099"/>
      <c r="H5099"/>
    </row>
    <row r="5100" spans="2:8" x14ac:dyDescent="0.35">
      <c r="B5100"/>
      <c r="C5100"/>
      <c r="H5100"/>
    </row>
    <row r="5101" spans="2:8" x14ac:dyDescent="0.35">
      <c r="B5101"/>
      <c r="C5101"/>
      <c r="H5101"/>
    </row>
    <row r="5102" spans="2:8" x14ac:dyDescent="0.35">
      <c r="B5102"/>
      <c r="C5102"/>
      <c r="H5102"/>
    </row>
    <row r="5103" spans="2:8" x14ac:dyDescent="0.35">
      <c r="B5103"/>
      <c r="C5103"/>
      <c r="H5103"/>
    </row>
    <row r="5104" spans="2:8" x14ac:dyDescent="0.35">
      <c r="B5104"/>
      <c r="C5104"/>
      <c r="H5104"/>
    </row>
    <row r="5105" spans="2:8" x14ac:dyDescent="0.35">
      <c r="B5105"/>
      <c r="C5105"/>
      <c r="H5105"/>
    </row>
    <row r="5106" spans="2:8" x14ac:dyDescent="0.35">
      <c r="B5106"/>
      <c r="C5106"/>
      <c r="H5106"/>
    </row>
    <row r="5107" spans="2:8" x14ac:dyDescent="0.35">
      <c r="B5107"/>
      <c r="C5107"/>
      <c r="H5107"/>
    </row>
    <row r="5108" spans="2:8" x14ac:dyDescent="0.35">
      <c r="B5108"/>
      <c r="C5108"/>
      <c r="H5108"/>
    </row>
    <row r="5109" spans="2:8" x14ac:dyDescent="0.35">
      <c r="B5109"/>
      <c r="C5109"/>
      <c r="H5109"/>
    </row>
    <row r="5110" spans="2:8" x14ac:dyDescent="0.35">
      <c r="B5110"/>
      <c r="C5110"/>
      <c r="H5110"/>
    </row>
    <row r="5111" spans="2:8" x14ac:dyDescent="0.35">
      <c r="B5111"/>
      <c r="C5111"/>
      <c r="H5111"/>
    </row>
    <row r="5112" spans="2:8" x14ac:dyDescent="0.35">
      <c r="B5112"/>
      <c r="C5112"/>
      <c r="H5112"/>
    </row>
    <row r="5113" spans="2:8" x14ac:dyDescent="0.35">
      <c r="B5113"/>
      <c r="C5113"/>
      <c r="H5113"/>
    </row>
    <row r="5114" spans="2:8" x14ac:dyDescent="0.35">
      <c r="B5114"/>
      <c r="C5114"/>
      <c r="H5114"/>
    </row>
    <row r="5115" spans="2:8" x14ac:dyDescent="0.35">
      <c r="B5115"/>
      <c r="C5115"/>
      <c r="H5115"/>
    </row>
    <row r="5116" spans="2:8" x14ac:dyDescent="0.35">
      <c r="B5116"/>
      <c r="C5116"/>
      <c r="H5116"/>
    </row>
    <row r="5117" spans="2:8" x14ac:dyDescent="0.35">
      <c r="B5117"/>
      <c r="C5117"/>
      <c r="H5117"/>
    </row>
    <row r="5118" spans="2:8" x14ac:dyDescent="0.35">
      <c r="B5118"/>
      <c r="C5118"/>
      <c r="H5118"/>
    </row>
    <row r="5119" spans="2:8" x14ac:dyDescent="0.35">
      <c r="B5119"/>
      <c r="C5119"/>
      <c r="H5119"/>
    </row>
    <row r="5120" spans="2:8" x14ac:dyDescent="0.35">
      <c r="B5120"/>
      <c r="C5120"/>
      <c r="H5120"/>
    </row>
    <row r="5121" spans="2:8" x14ac:dyDescent="0.35">
      <c r="B5121"/>
      <c r="C5121"/>
      <c r="H5121"/>
    </row>
    <row r="5122" spans="2:8" x14ac:dyDescent="0.35">
      <c r="B5122"/>
      <c r="C5122"/>
      <c r="H5122"/>
    </row>
    <row r="5123" spans="2:8" x14ac:dyDescent="0.35">
      <c r="B5123"/>
      <c r="C5123"/>
      <c r="H5123"/>
    </row>
    <row r="5124" spans="2:8" x14ac:dyDescent="0.35">
      <c r="B5124"/>
      <c r="C5124"/>
      <c r="H5124"/>
    </row>
    <row r="5125" spans="2:8" x14ac:dyDescent="0.35">
      <c r="B5125"/>
      <c r="C5125"/>
      <c r="H5125"/>
    </row>
    <row r="5126" spans="2:8" x14ac:dyDescent="0.35">
      <c r="B5126"/>
      <c r="C5126"/>
      <c r="H5126"/>
    </row>
    <row r="5127" spans="2:8" x14ac:dyDescent="0.35">
      <c r="B5127"/>
      <c r="C5127"/>
      <c r="H5127"/>
    </row>
    <row r="5128" spans="2:8" x14ac:dyDescent="0.35">
      <c r="B5128"/>
      <c r="C5128"/>
      <c r="H5128"/>
    </row>
    <row r="5129" spans="2:8" x14ac:dyDescent="0.35">
      <c r="B5129"/>
      <c r="C5129"/>
      <c r="H5129"/>
    </row>
    <row r="5130" spans="2:8" x14ac:dyDescent="0.35">
      <c r="B5130"/>
      <c r="C5130"/>
      <c r="H5130"/>
    </row>
    <row r="5131" spans="2:8" x14ac:dyDescent="0.35">
      <c r="B5131"/>
      <c r="C5131"/>
      <c r="H5131"/>
    </row>
    <row r="5132" spans="2:8" x14ac:dyDescent="0.35">
      <c r="B5132"/>
      <c r="C5132"/>
      <c r="H5132"/>
    </row>
    <row r="5133" spans="2:8" x14ac:dyDescent="0.35">
      <c r="B5133"/>
      <c r="C5133"/>
      <c r="H5133"/>
    </row>
    <row r="5134" spans="2:8" x14ac:dyDescent="0.35">
      <c r="B5134"/>
      <c r="C5134"/>
      <c r="H5134"/>
    </row>
    <row r="5135" spans="2:8" x14ac:dyDescent="0.35">
      <c r="B5135"/>
      <c r="C5135"/>
      <c r="H5135"/>
    </row>
    <row r="5136" spans="2:8" x14ac:dyDescent="0.35">
      <c r="B5136"/>
      <c r="C5136"/>
      <c r="H5136"/>
    </row>
    <row r="5137" spans="2:8" x14ac:dyDescent="0.35">
      <c r="B5137"/>
      <c r="C5137"/>
      <c r="H5137"/>
    </row>
    <row r="5138" spans="2:8" x14ac:dyDescent="0.35">
      <c r="B5138"/>
      <c r="C5138"/>
      <c r="H5138"/>
    </row>
    <row r="5139" spans="2:8" x14ac:dyDescent="0.35">
      <c r="B5139"/>
      <c r="C5139"/>
      <c r="H5139"/>
    </row>
    <row r="5140" spans="2:8" x14ac:dyDescent="0.35">
      <c r="B5140"/>
      <c r="C5140"/>
      <c r="H5140"/>
    </row>
    <row r="5141" spans="2:8" x14ac:dyDescent="0.35">
      <c r="B5141"/>
      <c r="C5141"/>
      <c r="H5141"/>
    </row>
    <row r="5142" spans="2:8" x14ac:dyDescent="0.35">
      <c r="B5142"/>
      <c r="C5142"/>
      <c r="H5142"/>
    </row>
    <row r="5143" spans="2:8" x14ac:dyDescent="0.35">
      <c r="B5143"/>
      <c r="C5143"/>
      <c r="H5143"/>
    </row>
    <row r="5144" spans="2:8" x14ac:dyDescent="0.35">
      <c r="B5144"/>
      <c r="C5144"/>
      <c r="H5144"/>
    </row>
    <row r="5145" spans="2:8" x14ac:dyDescent="0.35">
      <c r="B5145"/>
      <c r="C5145"/>
      <c r="H5145"/>
    </row>
    <row r="5146" spans="2:8" x14ac:dyDescent="0.35">
      <c r="B5146"/>
      <c r="C5146"/>
      <c r="H5146"/>
    </row>
    <row r="5147" spans="2:8" x14ac:dyDescent="0.35">
      <c r="B5147"/>
      <c r="C5147"/>
      <c r="H5147"/>
    </row>
    <row r="5148" spans="2:8" x14ac:dyDescent="0.35">
      <c r="B5148"/>
      <c r="C5148"/>
      <c r="H5148"/>
    </row>
    <row r="5149" spans="2:8" x14ac:dyDescent="0.35">
      <c r="B5149"/>
      <c r="C5149"/>
      <c r="H5149"/>
    </row>
    <row r="5150" spans="2:8" x14ac:dyDescent="0.35">
      <c r="B5150"/>
      <c r="C5150"/>
      <c r="H5150"/>
    </row>
    <row r="5151" spans="2:8" x14ac:dyDescent="0.35">
      <c r="B5151"/>
      <c r="C5151"/>
      <c r="H5151"/>
    </row>
    <row r="5152" spans="2:8" x14ac:dyDescent="0.35">
      <c r="B5152"/>
      <c r="C5152"/>
      <c r="H5152"/>
    </row>
    <row r="5153" spans="2:8" x14ac:dyDescent="0.35">
      <c r="B5153"/>
      <c r="C5153"/>
      <c r="H5153"/>
    </row>
    <row r="5154" spans="2:8" x14ac:dyDescent="0.35">
      <c r="B5154"/>
      <c r="C5154"/>
      <c r="H5154"/>
    </row>
    <row r="5155" spans="2:8" x14ac:dyDescent="0.35">
      <c r="B5155"/>
      <c r="C5155"/>
      <c r="H5155"/>
    </row>
    <row r="5156" spans="2:8" x14ac:dyDescent="0.35">
      <c r="B5156"/>
      <c r="C5156"/>
      <c r="H5156"/>
    </row>
    <row r="5157" spans="2:8" x14ac:dyDescent="0.35">
      <c r="B5157"/>
      <c r="C5157"/>
      <c r="H5157"/>
    </row>
    <row r="5158" spans="2:8" x14ac:dyDescent="0.35">
      <c r="B5158"/>
      <c r="C5158"/>
      <c r="H5158"/>
    </row>
    <row r="5159" spans="2:8" x14ac:dyDescent="0.35">
      <c r="B5159"/>
      <c r="C5159"/>
      <c r="H5159"/>
    </row>
    <row r="5160" spans="2:8" x14ac:dyDescent="0.35">
      <c r="B5160"/>
      <c r="C5160"/>
      <c r="H5160"/>
    </row>
    <row r="5161" spans="2:8" x14ac:dyDescent="0.35">
      <c r="B5161"/>
      <c r="C5161"/>
      <c r="H5161"/>
    </row>
    <row r="5162" spans="2:8" x14ac:dyDescent="0.35">
      <c r="B5162"/>
      <c r="C5162"/>
      <c r="H5162"/>
    </row>
    <row r="5163" spans="2:8" x14ac:dyDescent="0.35">
      <c r="B5163"/>
      <c r="C5163"/>
      <c r="H5163"/>
    </row>
    <row r="5164" spans="2:8" x14ac:dyDescent="0.35">
      <c r="B5164"/>
      <c r="C5164"/>
      <c r="H5164"/>
    </row>
    <row r="5165" spans="2:8" x14ac:dyDescent="0.35">
      <c r="B5165"/>
      <c r="C5165"/>
      <c r="H5165"/>
    </row>
    <row r="5166" spans="2:8" x14ac:dyDescent="0.35">
      <c r="B5166"/>
      <c r="C5166"/>
      <c r="H5166"/>
    </row>
    <row r="5167" spans="2:8" x14ac:dyDescent="0.35">
      <c r="B5167"/>
      <c r="C5167"/>
      <c r="H5167"/>
    </row>
    <row r="5168" spans="2:8" x14ac:dyDescent="0.35">
      <c r="B5168"/>
      <c r="C5168"/>
      <c r="H5168"/>
    </row>
    <row r="5169" spans="2:8" x14ac:dyDescent="0.35">
      <c r="B5169"/>
      <c r="C5169"/>
      <c r="H5169"/>
    </row>
    <row r="5170" spans="2:8" x14ac:dyDescent="0.35">
      <c r="B5170"/>
      <c r="C5170"/>
      <c r="H5170"/>
    </row>
    <row r="5171" spans="2:8" x14ac:dyDescent="0.35">
      <c r="B5171"/>
      <c r="C5171"/>
      <c r="H5171"/>
    </row>
    <row r="5172" spans="2:8" x14ac:dyDescent="0.35">
      <c r="B5172"/>
      <c r="C5172"/>
      <c r="H5172"/>
    </row>
    <row r="5173" spans="2:8" x14ac:dyDescent="0.35">
      <c r="B5173"/>
      <c r="C5173"/>
      <c r="H5173"/>
    </row>
    <row r="5174" spans="2:8" x14ac:dyDescent="0.35">
      <c r="B5174"/>
      <c r="C5174"/>
      <c r="H5174"/>
    </row>
    <row r="5175" spans="2:8" x14ac:dyDescent="0.35">
      <c r="B5175"/>
      <c r="C5175"/>
      <c r="H5175"/>
    </row>
    <row r="5176" spans="2:8" x14ac:dyDescent="0.35">
      <c r="B5176"/>
      <c r="C5176"/>
      <c r="H5176"/>
    </row>
    <row r="5177" spans="2:8" x14ac:dyDescent="0.35">
      <c r="B5177"/>
      <c r="C5177"/>
      <c r="H5177"/>
    </row>
    <row r="5178" spans="2:8" x14ac:dyDescent="0.35">
      <c r="B5178"/>
      <c r="C5178"/>
      <c r="H5178"/>
    </row>
    <row r="5179" spans="2:8" x14ac:dyDescent="0.35">
      <c r="B5179"/>
      <c r="C5179"/>
      <c r="H5179"/>
    </row>
    <row r="5180" spans="2:8" x14ac:dyDescent="0.35">
      <c r="B5180"/>
      <c r="C5180"/>
      <c r="H5180"/>
    </row>
    <row r="5181" spans="2:8" x14ac:dyDescent="0.35">
      <c r="B5181"/>
      <c r="C5181"/>
      <c r="H5181"/>
    </row>
    <row r="5182" spans="2:8" x14ac:dyDescent="0.35">
      <c r="B5182"/>
      <c r="C5182"/>
      <c r="H5182"/>
    </row>
    <row r="5183" spans="2:8" x14ac:dyDescent="0.35">
      <c r="B5183"/>
      <c r="C5183"/>
      <c r="H5183"/>
    </row>
    <row r="5184" spans="2:8" x14ac:dyDescent="0.35">
      <c r="B5184"/>
      <c r="C5184"/>
      <c r="H5184"/>
    </row>
    <row r="5185" spans="2:8" x14ac:dyDescent="0.35">
      <c r="B5185"/>
      <c r="C5185"/>
      <c r="H5185"/>
    </row>
    <row r="5186" spans="2:8" x14ac:dyDescent="0.35">
      <c r="B5186"/>
      <c r="C5186"/>
      <c r="H5186"/>
    </row>
    <row r="5187" spans="2:8" x14ac:dyDescent="0.35">
      <c r="B5187"/>
      <c r="C5187"/>
      <c r="H5187"/>
    </row>
    <row r="5188" spans="2:8" x14ac:dyDescent="0.35">
      <c r="B5188"/>
      <c r="C5188"/>
      <c r="H5188"/>
    </row>
    <row r="5189" spans="2:8" x14ac:dyDescent="0.35">
      <c r="B5189"/>
      <c r="C5189"/>
      <c r="H5189"/>
    </row>
    <row r="5190" spans="2:8" x14ac:dyDescent="0.35">
      <c r="B5190"/>
      <c r="C5190"/>
      <c r="H5190"/>
    </row>
    <row r="5191" spans="2:8" x14ac:dyDescent="0.35">
      <c r="B5191"/>
      <c r="C5191"/>
      <c r="H5191"/>
    </row>
    <row r="5192" spans="2:8" x14ac:dyDescent="0.35">
      <c r="B5192"/>
      <c r="C5192"/>
      <c r="H5192"/>
    </row>
    <row r="5193" spans="2:8" x14ac:dyDescent="0.35">
      <c r="B5193"/>
      <c r="C5193"/>
      <c r="H5193"/>
    </row>
    <row r="5194" spans="2:8" x14ac:dyDescent="0.35">
      <c r="B5194"/>
      <c r="C5194"/>
      <c r="H5194"/>
    </row>
    <row r="5195" spans="2:8" x14ac:dyDescent="0.35">
      <c r="B5195"/>
      <c r="C5195"/>
      <c r="H5195"/>
    </row>
    <row r="5196" spans="2:8" x14ac:dyDescent="0.35">
      <c r="B5196"/>
      <c r="C5196"/>
      <c r="H5196"/>
    </row>
    <row r="5197" spans="2:8" x14ac:dyDescent="0.35">
      <c r="B5197"/>
      <c r="C5197"/>
      <c r="H5197"/>
    </row>
    <row r="5198" spans="2:8" x14ac:dyDescent="0.35">
      <c r="B5198"/>
      <c r="C5198"/>
      <c r="H5198"/>
    </row>
    <row r="5199" spans="2:8" x14ac:dyDescent="0.35">
      <c r="B5199"/>
      <c r="C5199"/>
      <c r="H5199"/>
    </row>
    <row r="5200" spans="2:8" x14ac:dyDescent="0.35">
      <c r="B5200"/>
      <c r="C5200"/>
      <c r="H5200"/>
    </row>
    <row r="5201" spans="2:8" x14ac:dyDescent="0.35">
      <c r="B5201"/>
      <c r="C5201"/>
      <c r="H5201"/>
    </row>
    <row r="5202" spans="2:8" x14ac:dyDescent="0.35">
      <c r="B5202"/>
      <c r="C5202"/>
      <c r="H5202"/>
    </row>
    <row r="5203" spans="2:8" x14ac:dyDescent="0.35">
      <c r="B5203"/>
      <c r="C5203"/>
      <c r="H5203"/>
    </row>
    <row r="5204" spans="2:8" x14ac:dyDescent="0.35">
      <c r="B5204"/>
      <c r="C5204"/>
      <c r="H5204"/>
    </row>
    <row r="5205" spans="2:8" x14ac:dyDescent="0.35">
      <c r="B5205"/>
      <c r="C5205"/>
      <c r="H5205"/>
    </row>
    <row r="5206" spans="2:8" x14ac:dyDescent="0.35">
      <c r="B5206"/>
      <c r="C5206"/>
      <c r="H5206"/>
    </row>
    <row r="5207" spans="2:8" x14ac:dyDescent="0.35">
      <c r="B5207"/>
      <c r="C5207"/>
      <c r="H5207"/>
    </row>
    <row r="5208" spans="2:8" x14ac:dyDescent="0.35">
      <c r="B5208"/>
      <c r="C5208"/>
      <c r="H5208"/>
    </row>
    <row r="5209" spans="2:8" x14ac:dyDescent="0.35">
      <c r="B5209"/>
      <c r="C5209"/>
      <c r="H5209"/>
    </row>
    <row r="5210" spans="2:8" x14ac:dyDescent="0.35">
      <c r="B5210"/>
      <c r="C5210"/>
      <c r="H5210"/>
    </row>
    <row r="5211" spans="2:8" x14ac:dyDescent="0.35">
      <c r="B5211"/>
      <c r="C5211"/>
      <c r="H5211"/>
    </row>
    <row r="5212" spans="2:8" x14ac:dyDescent="0.35">
      <c r="B5212"/>
      <c r="C5212"/>
      <c r="H5212"/>
    </row>
    <row r="5213" spans="2:8" x14ac:dyDescent="0.35">
      <c r="B5213"/>
      <c r="C5213"/>
      <c r="H5213"/>
    </row>
    <row r="5214" spans="2:8" x14ac:dyDescent="0.35">
      <c r="B5214"/>
      <c r="C5214"/>
      <c r="H5214"/>
    </row>
    <row r="5215" spans="2:8" x14ac:dyDescent="0.35">
      <c r="B5215"/>
      <c r="C5215"/>
      <c r="H5215"/>
    </row>
    <row r="5216" spans="2:8" x14ac:dyDescent="0.35">
      <c r="B5216"/>
      <c r="C5216"/>
      <c r="H5216"/>
    </row>
    <row r="5217" spans="2:8" x14ac:dyDescent="0.35">
      <c r="B5217"/>
      <c r="C5217"/>
      <c r="H5217"/>
    </row>
    <row r="5218" spans="2:8" x14ac:dyDescent="0.35">
      <c r="B5218"/>
      <c r="C5218"/>
      <c r="H5218"/>
    </row>
    <row r="5219" spans="2:8" x14ac:dyDescent="0.35">
      <c r="B5219"/>
      <c r="C5219"/>
      <c r="H5219"/>
    </row>
    <row r="5220" spans="2:8" x14ac:dyDescent="0.35">
      <c r="B5220"/>
      <c r="C5220"/>
      <c r="H5220"/>
    </row>
    <row r="5221" spans="2:8" x14ac:dyDescent="0.35">
      <c r="B5221"/>
      <c r="C5221"/>
      <c r="H5221"/>
    </row>
    <row r="5222" spans="2:8" x14ac:dyDescent="0.35">
      <c r="B5222"/>
      <c r="C5222"/>
      <c r="H5222"/>
    </row>
    <row r="5223" spans="2:8" x14ac:dyDescent="0.35">
      <c r="B5223"/>
      <c r="C5223"/>
      <c r="H5223"/>
    </row>
    <row r="5224" spans="2:8" x14ac:dyDescent="0.35">
      <c r="B5224"/>
      <c r="C5224"/>
      <c r="H5224"/>
    </row>
    <row r="5225" spans="2:8" x14ac:dyDescent="0.35">
      <c r="B5225"/>
      <c r="C5225"/>
      <c r="H5225"/>
    </row>
    <row r="5226" spans="2:8" x14ac:dyDescent="0.35">
      <c r="B5226"/>
      <c r="C5226"/>
      <c r="H5226"/>
    </row>
    <row r="5227" spans="2:8" x14ac:dyDescent="0.35">
      <c r="B5227"/>
      <c r="C5227"/>
      <c r="H5227"/>
    </row>
    <row r="5228" spans="2:8" x14ac:dyDescent="0.35">
      <c r="B5228"/>
      <c r="C5228"/>
      <c r="H5228"/>
    </row>
    <row r="5229" spans="2:8" x14ac:dyDescent="0.35">
      <c r="B5229"/>
      <c r="C5229"/>
      <c r="H5229"/>
    </row>
    <row r="5230" spans="2:8" x14ac:dyDescent="0.35">
      <c r="B5230"/>
      <c r="C5230"/>
      <c r="H5230"/>
    </row>
    <row r="5231" spans="2:8" x14ac:dyDescent="0.35">
      <c r="B5231"/>
      <c r="C5231"/>
      <c r="H5231"/>
    </row>
    <row r="5232" spans="2:8" x14ac:dyDescent="0.35">
      <c r="B5232"/>
      <c r="C5232"/>
      <c r="H5232"/>
    </row>
    <row r="5233" spans="2:8" x14ac:dyDescent="0.35">
      <c r="B5233"/>
      <c r="C5233"/>
      <c r="H5233"/>
    </row>
    <row r="5234" spans="2:8" x14ac:dyDescent="0.35">
      <c r="B5234"/>
      <c r="C5234"/>
      <c r="H5234"/>
    </row>
    <row r="5235" spans="2:8" x14ac:dyDescent="0.35">
      <c r="B5235"/>
      <c r="C5235"/>
      <c r="H5235"/>
    </row>
    <row r="5236" spans="2:8" x14ac:dyDescent="0.35">
      <c r="B5236"/>
      <c r="C5236"/>
      <c r="H5236"/>
    </row>
    <row r="5237" spans="2:8" x14ac:dyDescent="0.35">
      <c r="B5237"/>
      <c r="C5237"/>
      <c r="H5237"/>
    </row>
    <row r="5238" spans="2:8" x14ac:dyDescent="0.35">
      <c r="B5238"/>
      <c r="C5238"/>
      <c r="H5238"/>
    </row>
    <row r="5239" spans="2:8" x14ac:dyDescent="0.35">
      <c r="B5239"/>
      <c r="C5239"/>
      <c r="H5239"/>
    </row>
    <row r="5240" spans="2:8" x14ac:dyDescent="0.35">
      <c r="B5240"/>
      <c r="C5240"/>
      <c r="H5240"/>
    </row>
    <row r="5241" spans="2:8" x14ac:dyDescent="0.35">
      <c r="B5241"/>
      <c r="C5241"/>
      <c r="H5241"/>
    </row>
    <row r="5242" spans="2:8" x14ac:dyDescent="0.35">
      <c r="B5242"/>
      <c r="C5242"/>
      <c r="H5242"/>
    </row>
    <row r="5243" spans="2:8" x14ac:dyDescent="0.35">
      <c r="B5243"/>
      <c r="C5243"/>
      <c r="H5243"/>
    </row>
    <row r="5244" spans="2:8" x14ac:dyDescent="0.35">
      <c r="B5244"/>
      <c r="C5244"/>
      <c r="H5244"/>
    </row>
    <row r="5245" spans="2:8" x14ac:dyDescent="0.35">
      <c r="B5245"/>
      <c r="C5245"/>
      <c r="H5245"/>
    </row>
    <row r="5246" spans="2:8" x14ac:dyDescent="0.35">
      <c r="B5246"/>
      <c r="C5246"/>
      <c r="H5246"/>
    </row>
    <row r="5247" spans="2:8" x14ac:dyDescent="0.35">
      <c r="B5247"/>
      <c r="C5247"/>
      <c r="H5247"/>
    </row>
    <row r="5248" spans="2:8" x14ac:dyDescent="0.35">
      <c r="B5248"/>
      <c r="C5248"/>
      <c r="H5248"/>
    </row>
    <row r="5249" spans="2:8" x14ac:dyDescent="0.35">
      <c r="B5249"/>
      <c r="C5249"/>
      <c r="H5249"/>
    </row>
    <row r="5250" spans="2:8" x14ac:dyDescent="0.35">
      <c r="B5250"/>
      <c r="C5250"/>
      <c r="H5250"/>
    </row>
    <row r="5251" spans="2:8" x14ac:dyDescent="0.35">
      <c r="B5251"/>
      <c r="C5251"/>
      <c r="H5251"/>
    </row>
    <row r="5252" spans="2:8" x14ac:dyDescent="0.35">
      <c r="B5252"/>
      <c r="C5252"/>
      <c r="H5252"/>
    </row>
    <row r="5253" spans="2:8" x14ac:dyDescent="0.35">
      <c r="B5253"/>
      <c r="C5253"/>
      <c r="H5253"/>
    </row>
    <row r="5254" spans="2:8" x14ac:dyDescent="0.35">
      <c r="B5254"/>
      <c r="C5254"/>
      <c r="H5254"/>
    </row>
    <row r="5255" spans="2:8" x14ac:dyDescent="0.35">
      <c r="B5255"/>
      <c r="C5255"/>
      <c r="H5255"/>
    </row>
    <row r="5256" spans="2:8" x14ac:dyDescent="0.35">
      <c r="B5256"/>
      <c r="C5256"/>
      <c r="H5256"/>
    </row>
    <row r="5257" spans="2:8" x14ac:dyDescent="0.35">
      <c r="B5257"/>
      <c r="C5257"/>
      <c r="H5257"/>
    </row>
    <row r="5258" spans="2:8" x14ac:dyDescent="0.35">
      <c r="B5258"/>
      <c r="C5258"/>
      <c r="H5258"/>
    </row>
    <row r="5259" spans="2:8" x14ac:dyDescent="0.35">
      <c r="B5259"/>
      <c r="C5259"/>
      <c r="H5259"/>
    </row>
    <row r="5260" spans="2:8" x14ac:dyDescent="0.35">
      <c r="B5260"/>
      <c r="C5260"/>
      <c r="H5260"/>
    </row>
    <row r="5261" spans="2:8" x14ac:dyDescent="0.35">
      <c r="B5261"/>
      <c r="C5261"/>
      <c r="H5261"/>
    </row>
    <row r="5262" spans="2:8" x14ac:dyDescent="0.35">
      <c r="B5262"/>
      <c r="C5262"/>
      <c r="H5262"/>
    </row>
    <row r="5263" spans="2:8" x14ac:dyDescent="0.35">
      <c r="B5263"/>
      <c r="C5263"/>
      <c r="H5263"/>
    </row>
    <row r="5264" spans="2:8" x14ac:dyDescent="0.35">
      <c r="B5264"/>
      <c r="C5264"/>
      <c r="H5264"/>
    </row>
    <row r="5265" spans="2:8" x14ac:dyDescent="0.35">
      <c r="B5265"/>
      <c r="C5265"/>
      <c r="H5265"/>
    </row>
    <row r="5266" spans="2:8" x14ac:dyDescent="0.35">
      <c r="B5266"/>
      <c r="C5266"/>
      <c r="H5266"/>
    </row>
    <row r="5267" spans="2:8" x14ac:dyDescent="0.35">
      <c r="B5267"/>
      <c r="C5267"/>
      <c r="H5267"/>
    </row>
    <row r="5268" spans="2:8" x14ac:dyDescent="0.35">
      <c r="B5268"/>
      <c r="C5268"/>
      <c r="H5268"/>
    </row>
    <row r="5269" spans="2:8" x14ac:dyDescent="0.35">
      <c r="B5269"/>
      <c r="C5269"/>
      <c r="H5269"/>
    </row>
    <row r="5270" spans="2:8" x14ac:dyDescent="0.35">
      <c r="B5270"/>
      <c r="C5270"/>
      <c r="H5270"/>
    </row>
    <row r="5271" spans="2:8" x14ac:dyDescent="0.35">
      <c r="B5271"/>
      <c r="C5271"/>
      <c r="H5271"/>
    </row>
    <row r="5272" spans="2:8" x14ac:dyDescent="0.35">
      <c r="B5272"/>
      <c r="C5272"/>
      <c r="H5272"/>
    </row>
    <row r="5273" spans="2:8" x14ac:dyDescent="0.35">
      <c r="B5273"/>
      <c r="C5273"/>
      <c r="H5273"/>
    </row>
    <row r="5274" spans="2:8" x14ac:dyDescent="0.35">
      <c r="B5274"/>
      <c r="C5274"/>
      <c r="H5274"/>
    </row>
    <row r="5275" spans="2:8" x14ac:dyDescent="0.35">
      <c r="B5275"/>
      <c r="C5275"/>
      <c r="H5275"/>
    </row>
    <row r="5276" spans="2:8" x14ac:dyDescent="0.35">
      <c r="B5276"/>
      <c r="C5276"/>
      <c r="H5276"/>
    </row>
    <row r="5277" spans="2:8" x14ac:dyDescent="0.35">
      <c r="B5277"/>
      <c r="C5277"/>
      <c r="H5277"/>
    </row>
    <row r="5278" spans="2:8" x14ac:dyDescent="0.35">
      <c r="B5278"/>
      <c r="C5278"/>
      <c r="H5278"/>
    </row>
    <row r="5279" spans="2:8" x14ac:dyDescent="0.35">
      <c r="B5279"/>
      <c r="C5279"/>
      <c r="H5279"/>
    </row>
    <row r="5280" spans="2:8" x14ac:dyDescent="0.35">
      <c r="B5280"/>
      <c r="C5280"/>
      <c r="H5280"/>
    </row>
    <row r="5281" spans="2:8" x14ac:dyDescent="0.35">
      <c r="B5281"/>
      <c r="C5281"/>
      <c r="H5281"/>
    </row>
    <row r="5282" spans="2:8" x14ac:dyDescent="0.35">
      <c r="B5282"/>
      <c r="C5282"/>
      <c r="H5282"/>
    </row>
    <row r="5283" spans="2:8" x14ac:dyDescent="0.35">
      <c r="B5283"/>
      <c r="C5283"/>
      <c r="H5283"/>
    </row>
    <row r="5284" spans="2:8" x14ac:dyDescent="0.35">
      <c r="B5284"/>
      <c r="C5284"/>
      <c r="H5284"/>
    </row>
    <row r="5285" spans="2:8" x14ac:dyDescent="0.35">
      <c r="B5285"/>
      <c r="C5285"/>
      <c r="H5285"/>
    </row>
    <row r="5286" spans="2:8" x14ac:dyDescent="0.35">
      <c r="B5286"/>
      <c r="C5286"/>
      <c r="H5286"/>
    </row>
    <row r="5287" spans="2:8" x14ac:dyDescent="0.35">
      <c r="B5287"/>
      <c r="C5287"/>
      <c r="H5287"/>
    </row>
    <row r="5288" spans="2:8" x14ac:dyDescent="0.35">
      <c r="B5288"/>
      <c r="C5288"/>
      <c r="H5288"/>
    </row>
    <row r="5289" spans="2:8" x14ac:dyDescent="0.35">
      <c r="B5289"/>
      <c r="C5289"/>
      <c r="H5289"/>
    </row>
    <row r="5290" spans="2:8" x14ac:dyDescent="0.35">
      <c r="B5290"/>
      <c r="C5290"/>
      <c r="H5290"/>
    </row>
    <row r="5291" spans="2:8" x14ac:dyDescent="0.35">
      <c r="B5291"/>
      <c r="C5291"/>
      <c r="H5291"/>
    </row>
    <row r="5292" spans="2:8" x14ac:dyDescent="0.35">
      <c r="B5292"/>
      <c r="C5292"/>
      <c r="H5292"/>
    </row>
    <row r="5293" spans="2:8" x14ac:dyDescent="0.35">
      <c r="B5293"/>
      <c r="C5293"/>
      <c r="H5293"/>
    </row>
    <row r="5294" spans="2:8" x14ac:dyDescent="0.35">
      <c r="B5294"/>
      <c r="C5294"/>
      <c r="H5294"/>
    </row>
    <row r="5295" spans="2:8" x14ac:dyDescent="0.35">
      <c r="B5295"/>
      <c r="C5295"/>
      <c r="H5295"/>
    </row>
    <row r="5296" spans="2:8" x14ac:dyDescent="0.35">
      <c r="B5296"/>
      <c r="C5296"/>
      <c r="H5296"/>
    </row>
    <row r="5297" spans="2:8" x14ac:dyDescent="0.35">
      <c r="B5297"/>
      <c r="C5297"/>
      <c r="H5297"/>
    </row>
    <row r="5298" spans="2:8" x14ac:dyDescent="0.35">
      <c r="B5298"/>
      <c r="C5298"/>
      <c r="H5298"/>
    </row>
    <row r="5299" spans="2:8" x14ac:dyDescent="0.35">
      <c r="B5299"/>
      <c r="C5299"/>
      <c r="H5299"/>
    </row>
    <row r="5300" spans="2:8" x14ac:dyDescent="0.35">
      <c r="B5300"/>
      <c r="C5300"/>
      <c r="H5300"/>
    </row>
    <row r="5301" spans="2:8" x14ac:dyDescent="0.35">
      <c r="B5301"/>
      <c r="C5301"/>
      <c r="H5301"/>
    </row>
    <row r="5302" spans="2:8" x14ac:dyDescent="0.35">
      <c r="B5302"/>
      <c r="C5302"/>
      <c r="H5302"/>
    </row>
    <row r="5303" spans="2:8" x14ac:dyDescent="0.35">
      <c r="B5303"/>
      <c r="C5303"/>
      <c r="H5303"/>
    </row>
    <row r="5304" spans="2:8" x14ac:dyDescent="0.35">
      <c r="B5304"/>
      <c r="C5304"/>
      <c r="H5304"/>
    </row>
    <row r="5305" spans="2:8" x14ac:dyDescent="0.35">
      <c r="B5305"/>
      <c r="C5305"/>
      <c r="H5305"/>
    </row>
    <row r="5306" spans="2:8" x14ac:dyDescent="0.35">
      <c r="B5306"/>
      <c r="C5306"/>
      <c r="H5306"/>
    </row>
    <row r="5307" spans="2:8" x14ac:dyDescent="0.35">
      <c r="B5307"/>
      <c r="C5307"/>
      <c r="H5307"/>
    </row>
    <row r="5308" spans="2:8" x14ac:dyDescent="0.35">
      <c r="B5308"/>
      <c r="C5308"/>
      <c r="H5308"/>
    </row>
    <row r="5309" spans="2:8" x14ac:dyDescent="0.35">
      <c r="B5309"/>
      <c r="C5309"/>
      <c r="H5309"/>
    </row>
    <row r="5310" spans="2:8" x14ac:dyDescent="0.35">
      <c r="B5310"/>
      <c r="C5310"/>
      <c r="H5310"/>
    </row>
    <row r="5311" spans="2:8" x14ac:dyDescent="0.35">
      <c r="B5311"/>
      <c r="C5311"/>
      <c r="H5311"/>
    </row>
    <row r="5312" spans="2:8" x14ac:dyDescent="0.35">
      <c r="B5312"/>
      <c r="C5312"/>
      <c r="H5312"/>
    </row>
    <row r="5313" spans="2:8" x14ac:dyDescent="0.35">
      <c r="B5313"/>
      <c r="C5313"/>
      <c r="H5313"/>
    </row>
    <row r="5314" spans="2:8" x14ac:dyDescent="0.35">
      <c r="B5314"/>
      <c r="C5314"/>
      <c r="H5314"/>
    </row>
    <row r="5315" spans="2:8" x14ac:dyDescent="0.35">
      <c r="B5315"/>
      <c r="C5315"/>
      <c r="H5315"/>
    </row>
    <row r="5316" spans="2:8" x14ac:dyDescent="0.35">
      <c r="B5316"/>
      <c r="C5316"/>
      <c r="H5316"/>
    </row>
    <row r="5317" spans="2:8" x14ac:dyDescent="0.35">
      <c r="B5317"/>
      <c r="C5317"/>
      <c r="H5317"/>
    </row>
    <row r="5318" spans="2:8" x14ac:dyDescent="0.35">
      <c r="B5318"/>
      <c r="C5318"/>
      <c r="H5318"/>
    </row>
    <row r="5319" spans="2:8" x14ac:dyDescent="0.35">
      <c r="B5319"/>
      <c r="C5319"/>
      <c r="H5319"/>
    </row>
    <row r="5320" spans="2:8" x14ac:dyDescent="0.35">
      <c r="B5320"/>
      <c r="C5320"/>
      <c r="H5320"/>
    </row>
    <row r="5321" spans="2:8" x14ac:dyDescent="0.35">
      <c r="B5321"/>
      <c r="C5321"/>
      <c r="H5321"/>
    </row>
    <row r="5322" spans="2:8" x14ac:dyDescent="0.35">
      <c r="B5322"/>
      <c r="C5322"/>
      <c r="H5322"/>
    </row>
    <row r="5323" spans="2:8" x14ac:dyDescent="0.35">
      <c r="B5323"/>
      <c r="C5323"/>
      <c r="H5323"/>
    </row>
    <row r="5324" spans="2:8" x14ac:dyDescent="0.35">
      <c r="B5324"/>
      <c r="C5324"/>
      <c r="H5324"/>
    </row>
    <row r="5325" spans="2:8" x14ac:dyDescent="0.35">
      <c r="B5325"/>
      <c r="C5325"/>
      <c r="H5325"/>
    </row>
    <row r="5326" spans="2:8" x14ac:dyDescent="0.35">
      <c r="B5326"/>
      <c r="C5326"/>
      <c r="H5326"/>
    </row>
    <row r="5327" spans="2:8" x14ac:dyDescent="0.35">
      <c r="B5327"/>
      <c r="C5327"/>
      <c r="H5327"/>
    </row>
    <row r="5328" spans="2:8" x14ac:dyDescent="0.35">
      <c r="B5328"/>
      <c r="C5328"/>
      <c r="H5328"/>
    </row>
    <row r="5329" spans="2:8" x14ac:dyDescent="0.35">
      <c r="B5329"/>
      <c r="C5329"/>
      <c r="H5329"/>
    </row>
    <row r="5330" spans="2:8" x14ac:dyDescent="0.35">
      <c r="B5330"/>
      <c r="C5330"/>
      <c r="H5330"/>
    </row>
    <row r="5331" spans="2:8" x14ac:dyDescent="0.35">
      <c r="B5331"/>
      <c r="C5331"/>
      <c r="H5331"/>
    </row>
    <row r="5332" spans="2:8" x14ac:dyDescent="0.35">
      <c r="B5332"/>
      <c r="C5332"/>
      <c r="H5332"/>
    </row>
    <row r="5333" spans="2:8" x14ac:dyDescent="0.35">
      <c r="B5333"/>
      <c r="C5333"/>
      <c r="H5333"/>
    </row>
    <row r="5334" spans="2:8" x14ac:dyDescent="0.35">
      <c r="B5334"/>
      <c r="C5334"/>
      <c r="H5334"/>
    </row>
    <row r="5335" spans="2:8" x14ac:dyDescent="0.35">
      <c r="B5335"/>
      <c r="C5335"/>
      <c r="H5335"/>
    </row>
    <row r="5336" spans="2:8" x14ac:dyDescent="0.35">
      <c r="B5336"/>
      <c r="C5336"/>
      <c r="H5336"/>
    </row>
    <row r="5337" spans="2:8" x14ac:dyDescent="0.35">
      <c r="B5337"/>
      <c r="C5337"/>
      <c r="H5337"/>
    </row>
    <row r="5338" spans="2:8" x14ac:dyDescent="0.35">
      <c r="B5338"/>
      <c r="C5338"/>
      <c r="H5338"/>
    </row>
    <row r="5339" spans="2:8" x14ac:dyDescent="0.35">
      <c r="B5339"/>
      <c r="C5339"/>
      <c r="H5339"/>
    </row>
    <row r="5340" spans="2:8" x14ac:dyDescent="0.35">
      <c r="B5340"/>
      <c r="C5340"/>
      <c r="H5340"/>
    </row>
    <row r="5341" spans="2:8" x14ac:dyDescent="0.35">
      <c r="B5341"/>
      <c r="C5341"/>
      <c r="H5341"/>
    </row>
    <row r="5342" spans="2:8" x14ac:dyDescent="0.35">
      <c r="B5342"/>
      <c r="C5342"/>
      <c r="H5342"/>
    </row>
    <row r="5343" spans="2:8" x14ac:dyDescent="0.35">
      <c r="B5343"/>
      <c r="C5343"/>
      <c r="H5343"/>
    </row>
    <row r="5344" spans="2:8" x14ac:dyDescent="0.35">
      <c r="B5344"/>
      <c r="C5344"/>
      <c r="H5344"/>
    </row>
    <row r="5345" spans="2:8" x14ac:dyDescent="0.35">
      <c r="B5345"/>
      <c r="C5345"/>
      <c r="H5345"/>
    </row>
    <row r="5346" spans="2:8" x14ac:dyDescent="0.35">
      <c r="B5346"/>
      <c r="C5346"/>
      <c r="H5346"/>
    </row>
    <row r="5347" spans="2:8" x14ac:dyDescent="0.35">
      <c r="B5347"/>
      <c r="C5347"/>
      <c r="H5347"/>
    </row>
    <row r="5348" spans="2:8" x14ac:dyDescent="0.35">
      <c r="B5348"/>
      <c r="C5348"/>
      <c r="H5348"/>
    </row>
    <row r="5349" spans="2:8" x14ac:dyDescent="0.35">
      <c r="B5349"/>
      <c r="C5349"/>
      <c r="H5349"/>
    </row>
    <row r="5350" spans="2:8" x14ac:dyDescent="0.35">
      <c r="B5350"/>
      <c r="C5350"/>
      <c r="H5350"/>
    </row>
    <row r="5351" spans="2:8" x14ac:dyDescent="0.35">
      <c r="B5351"/>
      <c r="C5351"/>
      <c r="H5351"/>
    </row>
    <row r="5352" spans="2:8" x14ac:dyDescent="0.35">
      <c r="B5352"/>
      <c r="C5352"/>
      <c r="H5352"/>
    </row>
    <row r="5353" spans="2:8" x14ac:dyDescent="0.35">
      <c r="B5353"/>
      <c r="C5353"/>
      <c r="H5353"/>
    </row>
    <row r="5354" spans="2:8" x14ac:dyDescent="0.35">
      <c r="B5354"/>
      <c r="C5354"/>
      <c r="H5354"/>
    </row>
    <row r="5355" spans="2:8" x14ac:dyDescent="0.35">
      <c r="B5355"/>
      <c r="C5355"/>
      <c r="H5355"/>
    </row>
    <row r="5356" spans="2:8" x14ac:dyDescent="0.35">
      <c r="B5356"/>
      <c r="C5356"/>
      <c r="H5356"/>
    </row>
    <row r="5357" spans="2:8" x14ac:dyDescent="0.35">
      <c r="B5357"/>
      <c r="C5357"/>
      <c r="H5357"/>
    </row>
    <row r="5358" spans="2:8" x14ac:dyDescent="0.35">
      <c r="B5358"/>
      <c r="C5358"/>
      <c r="H5358"/>
    </row>
    <row r="5359" spans="2:8" x14ac:dyDescent="0.35">
      <c r="B5359"/>
      <c r="C5359"/>
      <c r="H5359"/>
    </row>
    <row r="5360" spans="2:8" x14ac:dyDescent="0.35">
      <c r="B5360"/>
      <c r="C5360"/>
      <c r="H5360"/>
    </row>
    <row r="5361" spans="2:8" x14ac:dyDescent="0.35">
      <c r="B5361"/>
      <c r="C5361"/>
      <c r="H5361"/>
    </row>
    <row r="5362" spans="2:8" x14ac:dyDescent="0.35">
      <c r="B5362"/>
      <c r="C5362"/>
      <c r="H5362"/>
    </row>
    <row r="5363" spans="2:8" x14ac:dyDescent="0.35">
      <c r="B5363"/>
      <c r="C5363"/>
      <c r="H5363"/>
    </row>
    <row r="5364" spans="2:8" x14ac:dyDescent="0.35">
      <c r="B5364"/>
      <c r="C5364"/>
      <c r="H5364"/>
    </row>
    <row r="5365" spans="2:8" x14ac:dyDescent="0.35">
      <c r="B5365"/>
      <c r="C5365"/>
      <c r="H5365"/>
    </row>
    <row r="5366" spans="2:8" x14ac:dyDescent="0.35">
      <c r="B5366"/>
      <c r="C5366"/>
      <c r="H5366"/>
    </row>
    <row r="5367" spans="2:8" x14ac:dyDescent="0.35">
      <c r="B5367"/>
      <c r="C5367"/>
      <c r="H5367"/>
    </row>
    <row r="5368" spans="2:8" x14ac:dyDescent="0.35">
      <c r="B5368"/>
      <c r="C5368"/>
      <c r="H5368"/>
    </row>
    <row r="5369" spans="2:8" x14ac:dyDescent="0.35">
      <c r="B5369"/>
      <c r="C5369"/>
      <c r="H5369"/>
    </row>
    <row r="5370" spans="2:8" x14ac:dyDescent="0.35">
      <c r="B5370"/>
      <c r="C5370"/>
      <c r="H5370"/>
    </row>
    <row r="5371" spans="2:8" x14ac:dyDescent="0.35">
      <c r="B5371"/>
      <c r="C5371"/>
      <c r="H5371"/>
    </row>
    <row r="5372" spans="2:8" x14ac:dyDescent="0.35">
      <c r="B5372"/>
      <c r="C5372"/>
      <c r="H5372"/>
    </row>
    <row r="5373" spans="2:8" x14ac:dyDescent="0.35">
      <c r="B5373"/>
      <c r="C5373"/>
      <c r="H5373"/>
    </row>
    <row r="5374" spans="2:8" x14ac:dyDescent="0.35">
      <c r="B5374"/>
      <c r="C5374"/>
      <c r="H5374"/>
    </row>
    <row r="5375" spans="2:8" x14ac:dyDescent="0.35">
      <c r="B5375"/>
      <c r="C5375"/>
      <c r="H5375"/>
    </row>
    <row r="5376" spans="2:8" x14ac:dyDescent="0.35">
      <c r="B5376"/>
      <c r="C5376"/>
      <c r="H5376"/>
    </row>
    <row r="5377" spans="2:8" x14ac:dyDescent="0.35">
      <c r="B5377"/>
      <c r="C5377"/>
      <c r="H5377"/>
    </row>
    <row r="5378" spans="2:8" x14ac:dyDescent="0.35">
      <c r="B5378"/>
      <c r="C5378"/>
      <c r="H5378"/>
    </row>
    <row r="5379" spans="2:8" x14ac:dyDescent="0.35">
      <c r="B5379"/>
      <c r="C5379"/>
      <c r="H5379"/>
    </row>
    <row r="5380" spans="2:8" x14ac:dyDescent="0.35">
      <c r="B5380"/>
      <c r="C5380"/>
      <c r="H5380"/>
    </row>
    <row r="5381" spans="2:8" x14ac:dyDescent="0.35">
      <c r="B5381"/>
      <c r="C5381"/>
      <c r="H5381"/>
    </row>
    <row r="5382" spans="2:8" x14ac:dyDescent="0.35">
      <c r="B5382"/>
      <c r="C5382"/>
      <c r="H5382"/>
    </row>
    <row r="5383" spans="2:8" x14ac:dyDescent="0.35">
      <c r="B5383"/>
      <c r="C5383"/>
      <c r="H5383"/>
    </row>
    <row r="5384" spans="2:8" x14ac:dyDescent="0.35">
      <c r="B5384"/>
      <c r="C5384"/>
      <c r="H5384"/>
    </row>
    <row r="5385" spans="2:8" x14ac:dyDescent="0.35">
      <c r="B5385"/>
      <c r="C5385"/>
      <c r="H5385"/>
    </row>
    <row r="5386" spans="2:8" x14ac:dyDescent="0.35">
      <c r="B5386"/>
      <c r="C5386"/>
      <c r="H5386"/>
    </row>
    <row r="5387" spans="2:8" x14ac:dyDescent="0.35">
      <c r="B5387"/>
      <c r="C5387"/>
      <c r="H5387"/>
    </row>
    <row r="5388" spans="2:8" x14ac:dyDescent="0.35">
      <c r="B5388"/>
      <c r="C5388"/>
      <c r="H5388"/>
    </row>
    <row r="5389" spans="2:8" x14ac:dyDescent="0.35">
      <c r="B5389"/>
      <c r="C5389"/>
      <c r="H5389"/>
    </row>
    <row r="5390" spans="2:8" x14ac:dyDescent="0.35">
      <c r="B5390"/>
      <c r="C5390"/>
      <c r="H5390"/>
    </row>
    <row r="5391" spans="2:8" x14ac:dyDescent="0.35">
      <c r="B5391"/>
      <c r="C5391"/>
      <c r="H5391"/>
    </row>
    <row r="5392" spans="2:8" x14ac:dyDescent="0.35">
      <c r="B5392"/>
      <c r="C5392"/>
      <c r="H5392"/>
    </row>
    <row r="5393" spans="2:8" x14ac:dyDescent="0.35">
      <c r="B5393"/>
      <c r="C5393"/>
      <c r="H5393"/>
    </row>
    <row r="5394" spans="2:8" x14ac:dyDescent="0.35">
      <c r="B5394"/>
      <c r="C5394"/>
      <c r="H5394"/>
    </row>
    <row r="5395" spans="2:8" x14ac:dyDescent="0.35">
      <c r="B5395"/>
      <c r="C5395"/>
      <c r="H5395"/>
    </row>
    <row r="5396" spans="2:8" x14ac:dyDescent="0.35">
      <c r="B5396"/>
      <c r="C5396"/>
      <c r="H5396"/>
    </row>
    <row r="5397" spans="2:8" x14ac:dyDescent="0.35">
      <c r="B5397"/>
      <c r="C5397"/>
      <c r="H5397"/>
    </row>
    <row r="5398" spans="2:8" x14ac:dyDescent="0.35">
      <c r="B5398"/>
      <c r="C5398"/>
      <c r="H5398"/>
    </row>
    <row r="5399" spans="2:8" x14ac:dyDescent="0.35">
      <c r="B5399"/>
      <c r="C5399"/>
      <c r="H5399"/>
    </row>
    <row r="5400" spans="2:8" x14ac:dyDescent="0.35">
      <c r="B5400"/>
      <c r="C5400"/>
      <c r="H5400"/>
    </row>
    <row r="5401" spans="2:8" x14ac:dyDescent="0.35">
      <c r="B5401"/>
      <c r="C5401"/>
      <c r="H5401"/>
    </row>
    <row r="5402" spans="2:8" x14ac:dyDescent="0.35">
      <c r="B5402"/>
      <c r="C5402"/>
      <c r="H5402"/>
    </row>
    <row r="5403" spans="2:8" x14ac:dyDescent="0.35">
      <c r="B5403"/>
      <c r="C5403"/>
      <c r="H5403"/>
    </row>
    <row r="5404" spans="2:8" x14ac:dyDescent="0.35">
      <c r="B5404"/>
      <c r="C5404"/>
      <c r="H5404"/>
    </row>
    <row r="5405" spans="2:8" x14ac:dyDescent="0.35">
      <c r="B5405"/>
      <c r="C5405"/>
      <c r="H5405"/>
    </row>
    <row r="5406" spans="2:8" x14ac:dyDescent="0.35">
      <c r="B5406"/>
      <c r="C5406"/>
      <c r="H5406"/>
    </row>
    <row r="5407" spans="2:8" x14ac:dyDescent="0.35">
      <c r="B5407"/>
      <c r="C5407"/>
      <c r="H5407"/>
    </row>
    <row r="5408" spans="2:8" x14ac:dyDescent="0.35">
      <c r="B5408"/>
      <c r="C5408"/>
      <c r="H5408"/>
    </row>
    <row r="5409" spans="2:8" x14ac:dyDescent="0.35">
      <c r="B5409"/>
      <c r="C5409"/>
      <c r="H5409"/>
    </row>
    <row r="5410" spans="2:8" x14ac:dyDescent="0.35">
      <c r="B5410"/>
      <c r="C5410"/>
      <c r="H5410"/>
    </row>
    <row r="5411" spans="2:8" x14ac:dyDescent="0.35">
      <c r="B5411"/>
      <c r="C5411"/>
      <c r="H5411"/>
    </row>
    <row r="5412" spans="2:8" x14ac:dyDescent="0.35">
      <c r="B5412"/>
      <c r="C5412"/>
      <c r="H5412"/>
    </row>
    <row r="5413" spans="2:8" x14ac:dyDescent="0.35">
      <c r="B5413"/>
      <c r="C5413"/>
      <c r="H5413"/>
    </row>
    <row r="5414" spans="2:8" x14ac:dyDescent="0.35">
      <c r="B5414"/>
      <c r="C5414"/>
      <c r="H5414"/>
    </row>
    <row r="5415" spans="2:8" x14ac:dyDescent="0.35">
      <c r="B5415"/>
      <c r="C5415"/>
      <c r="H5415"/>
    </row>
    <row r="5416" spans="2:8" x14ac:dyDescent="0.35">
      <c r="B5416"/>
      <c r="C5416"/>
      <c r="H5416"/>
    </row>
    <row r="5417" spans="2:8" x14ac:dyDescent="0.35">
      <c r="B5417"/>
      <c r="C5417"/>
      <c r="H5417"/>
    </row>
    <row r="5418" spans="2:8" x14ac:dyDescent="0.35">
      <c r="B5418"/>
      <c r="C5418"/>
      <c r="H5418"/>
    </row>
    <row r="5419" spans="2:8" x14ac:dyDescent="0.35">
      <c r="B5419"/>
      <c r="C5419"/>
      <c r="H5419"/>
    </row>
    <row r="5420" spans="2:8" x14ac:dyDescent="0.35">
      <c r="B5420"/>
      <c r="C5420"/>
      <c r="H5420"/>
    </row>
    <row r="5421" spans="2:8" x14ac:dyDescent="0.35">
      <c r="B5421"/>
      <c r="C5421"/>
      <c r="H5421"/>
    </row>
    <row r="5422" spans="2:8" x14ac:dyDescent="0.35">
      <c r="B5422"/>
      <c r="C5422"/>
      <c r="H5422"/>
    </row>
    <row r="5423" spans="2:8" x14ac:dyDescent="0.35">
      <c r="B5423"/>
      <c r="C5423"/>
      <c r="H5423"/>
    </row>
    <row r="5424" spans="2:8" x14ac:dyDescent="0.35">
      <c r="B5424"/>
      <c r="C5424"/>
      <c r="H5424"/>
    </row>
    <row r="5425" spans="2:8" x14ac:dyDescent="0.35">
      <c r="B5425"/>
      <c r="C5425"/>
      <c r="H5425"/>
    </row>
    <row r="5426" spans="2:8" x14ac:dyDescent="0.35">
      <c r="B5426"/>
      <c r="C5426"/>
      <c r="H5426"/>
    </row>
    <row r="5427" spans="2:8" x14ac:dyDescent="0.35">
      <c r="B5427"/>
      <c r="C5427"/>
      <c r="H5427"/>
    </row>
    <row r="5428" spans="2:8" x14ac:dyDescent="0.35">
      <c r="B5428"/>
      <c r="C5428"/>
      <c r="H5428"/>
    </row>
    <row r="5429" spans="2:8" x14ac:dyDescent="0.35">
      <c r="B5429"/>
      <c r="C5429"/>
      <c r="H5429"/>
    </row>
    <row r="5430" spans="2:8" x14ac:dyDescent="0.35">
      <c r="B5430"/>
      <c r="C5430"/>
      <c r="H5430"/>
    </row>
    <row r="5431" spans="2:8" x14ac:dyDescent="0.35">
      <c r="B5431"/>
      <c r="C5431"/>
      <c r="H5431"/>
    </row>
    <row r="5432" spans="2:8" x14ac:dyDescent="0.35">
      <c r="B5432"/>
      <c r="C5432"/>
      <c r="H5432"/>
    </row>
    <row r="5433" spans="2:8" x14ac:dyDescent="0.35">
      <c r="B5433"/>
      <c r="C5433"/>
      <c r="H5433"/>
    </row>
    <row r="5434" spans="2:8" x14ac:dyDescent="0.35">
      <c r="B5434"/>
      <c r="C5434"/>
      <c r="H5434"/>
    </row>
    <row r="5435" spans="2:8" x14ac:dyDescent="0.35">
      <c r="B5435"/>
      <c r="C5435"/>
      <c r="H5435"/>
    </row>
    <row r="5436" spans="2:8" x14ac:dyDescent="0.35">
      <c r="B5436"/>
      <c r="C5436"/>
      <c r="H5436"/>
    </row>
    <row r="5437" spans="2:8" x14ac:dyDescent="0.35">
      <c r="B5437"/>
      <c r="C5437"/>
      <c r="H5437"/>
    </row>
    <row r="5438" spans="2:8" x14ac:dyDescent="0.35">
      <c r="B5438"/>
      <c r="C5438"/>
      <c r="H5438"/>
    </row>
    <row r="5439" spans="2:8" x14ac:dyDescent="0.35">
      <c r="B5439"/>
      <c r="C5439"/>
      <c r="H5439"/>
    </row>
    <row r="5440" spans="2:8" x14ac:dyDescent="0.35">
      <c r="B5440"/>
      <c r="C5440"/>
      <c r="H5440"/>
    </row>
    <row r="5441" spans="2:8" x14ac:dyDescent="0.35">
      <c r="B5441"/>
      <c r="C5441"/>
      <c r="H5441"/>
    </row>
    <row r="5442" spans="2:8" x14ac:dyDescent="0.35">
      <c r="B5442"/>
      <c r="C5442"/>
      <c r="H5442"/>
    </row>
    <row r="5443" spans="2:8" x14ac:dyDescent="0.35">
      <c r="B5443"/>
      <c r="C5443"/>
      <c r="H5443"/>
    </row>
    <row r="5444" spans="2:8" x14ac:dyDescent="0.35">
      <c r="B5444"/>
      <c r="C5444"/>
      <c r="H5444"/>
    </row>
    <row r="5445" spans="2:8" x14ac:dyDescent="0.35">
      <c r="B5445"/>
      <c r="C5445"/>
      <c r="H5445"/>
    </row>
    <row r="5446" spans="2:8" x14ac:dyDescent="0.35">
      <c r="B5446"/>
      <c r="C5446"/>
      <c r="H5446"/>
    </row>
    <row r="5447" spans="2:8" x14ac:dyDescent="0.35">
      <c r="B5447"/>
      <c r="C5447"/>
      <c r="H5447"/>
    </row>
    <row r="5448" spans="2:8" x14ac:dyDescent="0.35">
      <c r="B5448"/>
      <c r="C5448"/>
      <c r="H5448"/>
    </row>
    <row r="5449" spans="2:8" x14ac:dyDescent="0.35">
      <c r="B5449"/>
      <c r="C5449"/>
      <c r="H5449"/>
    </row>
    <row r="5450" spans="2:8" x14ac:dyDescent="0.35">
      <c r="B5450"/>
      <c r="C5450"/>
      <c r="H5450"/>
    </row>
    <row r="5451" spans="2:8" x14ac:dyDescent="0.35">
      <c r="B5451"/>
      <c r="C5451"/>
      <c r="H5451"/>
    </row>
    <row r="5452" spans="2:8" x14ac:dyDescent="0.35">
      <c r="B5452"/>
      <c r="C5452"/>
      <c r="H5452"/>
    </row>
    <row r="5453" spans="2:8" x14ac:dyDescent="0.35">
      <c r="B5453"/>
      <c r="C5453"/>
      <c r="H5453"/>
    </row>
    <row r="5454" spans="2:8" x14ac:dyDescent="0.35">
      <c r="B5454"/>
      <c r="C5454"/>
      <c r="H5454"/>
    </row>
    <row r="5455" spans="2:8" x14ac:dyDescent="0.35">
      <c r="B5455"/>
      <c r="C5455"/>
      <c r="H5455"/>
    </row>
    <row r="5456" spans="2:8" x14ac:dyDescent="0.35">
      <c r="B5456"/>
      <c r="C5456"/>
      <c r="H5456"/>
    </row>
    <row r="5457" spans="2:8" x14ac:dyDescent="0.35">
      <c r="B5457"/>
      <c r="C5457"/>
      <c r="H5457"/>
    </row>
    <row r="5458" spans="2:8" x14ac:dyDescent="0.35">
      <c r="B5458"/>
      <c r="C5458"/>
      <c r="H5458"/>
    </row>
    <row r="5459" spans="2:8" x14ac:dyDescent="0.35">
      <c r="B5459"/>
      <c r="C5459"/>
      <c r="H5459"/>
    </row>
    <row r="5460" spans="2:8" x14ac:dyDescent="0.35">
      <c r="B5460"/>
      <c r="C5460"/>
      <c r="H5460"/>
    </row>
    <row r="5461" spans="2:8" x14ac:dyDescent="0.35">
      <c r="B5461"/>
      <c r="C5461"/>
      <c r="H5461"/>
    </row>
    <row r="5462" spans="2:8" x14ac:dyDescent="0.35">
      <c r="B5462"/>
      <c r="C5462"/>
      <c r="H5462"/>
    </row>
    <row r="5463" spans="2:8" x14ac:dyDescent="0.35">
      <c r="B5463"/>
      <c r="C5463"/>
      <c r="H5463"/>
    </row>
    <row r="5464" spans="2:8" x14ac:dyDescent="0.35">
      <c r="B5464"/>
      <c r="C5464"/>
      <c r="H5464"/>
    </row>
    <row r="5465" spans="2:8" x14ac:dyDescent="0.35">
      <c r="B5465"/>
      <c r="C5465"/>
      <c r="H5465"/>
    </row>
    <row r="5466" spans="2:8" x14ac:dyDescent="0.35">
      <c r="B5466"/>
      <c r="C5466"/>
      <c r="H5466"/>
    </row>
    <row r="5467" spans="2:8" x14ac:dyDescent="0.35">
      <c r="B5467"/>
      <c r="C5467"/>
      <c r="H5467"/>
    </row>
    <row r="5468" spans="2:8" x14ac:dyDescent="0.35">
      <c r="B5468"/>
      <c r="C5468"/>
      <c r="H5468"/>
    </row>
    <row r="5469" spans="2:8" x14ac:dyDescent="0.35">
      <c r="B5469"/>
      <c r="C5469"/>
      <c r="H5469"/>
    </row>
    <row r="5470" spans="2:8" x14ac:dyDescent="0.35">
      <c r="B5470"/>
      <c r="C5470"/>
      <c r="H5470"/>
    </row>
    <row r="5471" spans="2:8" x14ac:dyDescent="0.35">
      <c r="B5471"/>
      <c r="C5471"/>
      <c r="H5471"/>
    </row>
    <row r="5472" spans="2:8" x14ac:dyDescent="0.35">
      <c r="B5472"/>
      <c r="C5472"/>
      <c r="H5472"/>
    </row>
    <row r="5473" spans="2:8" x14ac:dyDescent="0.35">
      <c r="B5473"/>
      <c r="C5473"/>
      <c r="H5473"/>
    </row>
    <row r="5474" spans="2:8" x14ac:dyDescent="0.35">
      <c r="B5474"/>
      <c r="C5474"/>
      <c r="H5474"/>
    </row>
    <row r="5475" spans="2:8" x14ac:dyDescent="0.35">
      <c r="B5475"/>
      <c r="C5475"/>
      <c r="H5475"/>
    </row>
    <row r="5476" spans="2:8" x14ac:dyDescent="0.35">
      <c r="B5476"/>
      <c r="C5476"/>
      <c r="H5476"/>
    </row>
    <row r="5477" spans="2:8" x14ac:dyDescent="0.35">
      <c r="B5477"/>
      <c r="C5477"/>
      <c r="H5477"/>
    </row>
    <row r="5478" spans="2:8" x14ac:dyDescent="0.35">
      <c r="B5478"/>
      <c r="C5478"/>
      <c r="H5478"/>
    </row>
    <row r="5479" spans="2:8" x14ac:dyDescent="0.35">
      <c r="B5479"/>
      <c r="C5479"/>
      <c r="H5479"/>
    </row>
    <row r="5480" spans="2:8" x14ac:dyDescent="0.35">
      <c r="B5480"/>
      <c r="C5480"/>
      <c r="H5480"/>
    </row>
    <row r="5481" spans="2:8" x14ac:dyDescent="0.35">
      <c r="B5481"/>
      <c r="C5481"/>
      <c r="H5481"/>
    </row>
    <row r="5482" spans="2:8" x14ac:dyDescent="0.35">
      <c r="B5482"/>
      <c r="C5482"/>
      <c r="H5482"/>
    </row>
    <row r="5483" spans="2:8" x14ac:dyDescent="0.35">
      <c r="B5483"/>
      <c r="C5483"/>
      <c r="H5483"/>
    </row>
    <row r="5484" spans="2:8" x14ac:dyDescent="0.35">
      <c r="B5484"/>
      <c r="C5484"/>
      <c r="H5484"/>
    </row>
    <row r="5485" spans="2:8" x14ac:dyDescent="0.35">
      <c r="B5485"/>
      <c r="C5485"/>
      <c r="H5485"/>
    </row>
    <row r="5486" spans="2:8" x14ac:dyDescent="0.35">
      <c r="B5486"/>
      <c r="C5486"/>
      <c r="H5486"/>
    </row>
    <row r="5487" spans="2:8" x14ac:dyDescent="0.35">
      <c r="B5487"/>
      <c r="C5487"/>
      <c r="H5487"/>
    </row>
    <row r="5488" spans="2:8" x14ac:dyDescent="0.35">
      <c r="B5488"/>
      <c r="C5488"/>
      <c r="H5488"/>
    </row>
    <row r="5489" spans="2:8" x14ac:dyDescent="0.35">
      <c r="B5489"/>
      <c r="C5489"/>
      <c r="H5489"/>
    </row>
    <row r="5490" spans="2:8" x14ac:dyDescent="0.35">
      <c r="B5490"/>
      <c r="C5490"/>
      <c r="H5490"/>
    </row>
    <row r="5491" spans="2:8" x14ac:dyDescent="0.35">
      <c r="B5491"/>
      <c r="C5491"/>
      <c r="H5491"/>
    </row>
    <row r="5492" spans="2:8" x14ac:dyDescent="0.35">
      <c r="B5492"/>
      <c r="C5492"/>
      <c r="H5492"/>
    </row>
    <row r="5493" spans="2:8" x14ac:dyDescent="0.35">
      <c r="B5493"/>
      <c r="C5493"/>
      <c r="H5493"/>
    </row>
    <row r="5494" spans="2:8" x14ac:dyDescent="0.35">
      <c r="B5494"/>
      <c r="C5494"/>
      <c r="H5494"/>
    </row>
    <row r="5495" spans="2:8" x14ac:dyDescent="0.35">
      <c r="B5495"/>
      <c r="C5495"/>
      <c r="H5495"/>
    </row>
    <row r="5496" spans="2:8" x14ac:dyDescent="0.35">
      <c r="B5496"/>
      <c r="C5496"/>
      <c r="H5496"/>
    </row>
    <row r="5497" spans="2:8" x14ac:dyDescent="0.35">
      <c r="B5497"/>
      <c r="C5497"/>
      <c r="H5497"/>
    </row>
    <row r="5498" spans="2:8" x14ac:dyDescent="0.35">
      <c r="B5498"/>
      <c r="C5498"/>
      <c r="H5498"/>
    </row>
    <row r="5499" spans="2:8" x14ac:dyDescent="0.35">
      <c r="B5499"/>
      <c r="C5499"/>
      <c r="H5499"/>
    </row>
    <row r="5500" spans="2:8" x14ac:dyDescent="0.35">
      <c r="B5500"/>
      <c r="C5500"/>
      <c r="H5500"/>
    </row>
    <row r="5501" spans="2:8" x14ac:dyDescent="0.35">
      <c r="B5501"/>
      <c r="C5501"/>
      <c r="H5501"/>
    </row>
    <row r="5502" spans="2:8" x14ac:dyDescent="0.35">
      <c r="B5502"/>
      <c r="C5502"/>
      <c r="H5502"/>
    </row>
    <row r="5503" spans="2:8" x14ac:dyDescent="0.35">
      <c r="B5503"/>
      <c r="C5503"/>
      <c r="H5503"/>
    </row>
    <row r="5504" spans="2:8" x14ac:dyDescent="0.35">
      <c r="B5504"/>
      <c r="C5504"/>
      <c r="H5504"/>
    </row>
    <row r="5505" spans="2:8" x14ac:dyDescent="0.35">
      <c r="B5505"/>
      <c r="C5505"/>
      <c r="H5505"/>
    </row>
    <row r="5506" spans="2:8" x14ac:dyDescent="0.35">
      <c r="B5506"/>
      <c r="C5506"/>
      <c r="H5506"/>
    </row>
    <row r="5507" spans="2:8" x14ac:dyDescent="0.35">
      <c r="B5507"/>
      <c r="C5507"/>
      <c r="H5507"/>
    </row>
    <row r="5508" spans="2:8" x14ac:dyDescent="0.35">
      <c r="B5508"/>
      <c r="C5508"/>
      <c r="H5508"/>
    </row>
    <row r="5509" spans="2:8" x14ac:dyDescent="0.35">
      <c r="B5509"/>
      <c r="C5509"/>
      <c r="H5509"/>
    </row>
    <row r="5510" spans="2:8" x14ac:dyDescent="0.35">
      <c r="B5510"/>
      <c r="C5510"/>
      <c r="H5510"/>
    </row>
    <row r="5511" spans="2:8" x14ac:dyDescent="0.35">
      <c r="B5511"/>
      <c r="C5511"/>
      <c r="H5511"/>
    </row>
    <row r="5512" spans="2:8" x14ac:dyDescent="0.35">
      <c r="B5512"/>
      <c r="C5512"/>
      <c r="H5512"/>
    </row>
    <row r="5513" spans="2:8" x14ac:dyDescent="0.35">
      <c r="B5513"/>
      <c r="C5513"/>
      <c r="H5513"/>
    </row>
    <row r="5514" spans="2:8" x14ac:dyDescent="0.35">
      <c r="B5514"/>
      <c r="C5514"/>
      <c r="H5514"/>
    </row>
    <row r="5515" spans="2:8" x14ac:dyDescent="0.35">
      <c r="B5515"/>
      <c r="C5515"/>
      <c r="H5515"/>
    </row>
    <row r="5516" spans="2:8" x14ac:dyDescent="0.35">
      <c r="B5516"/>
      <c r="C5516"/>
      <c r="H5516"/>
    </row>
    <row r="5517" spans="2:8" x14ac:dyDescent="0.35">
      <c r="B5517"/>
      <c r="C5517"/>
      <c r="H5517"/>
    </row>
    <row r="5518" spans="2:8" x14ac:dyDescent="0.35">
      <c r="B5518"/>
      <c r="C5518"/>
      <c r="H5518"/>
    </row>
    <row r="5519" spans="2:8" x14ac:dyDescent="0.35">
      <c r="B5519"/>
      <c r="C5519"/>
      <c r="H5519"/>
    </row>
    <row r="5520" spans="2:8" x14ac:dyDescent="0.35">
      <c r="B5520"/>
      <c r="C5520"/>
      <c r="H5520"/>
    </row>
    <row r="5521" spans="2:8" x14ac:dyDescent="0.35">
      <c r="B5521"/>
      <c r="C5521"/>
      <c r="H5521"/>
    </row>
    <row r="5522" spans="2:8" x14ac:dyDescent="0.35">
      <c r="B5522"/>
      <c r="C5522"/>
      <c r="H5522"/>
    </row>
    <row r="5523" spans="2:8" x14ac:dyDescent="0.35">
      <c r="B5523"/>
      <c r="C5523"/>
      <c r="H5523"/>
    </row>
    <row r="5524" spans="2:8" x14ac:dyDescent="0.35">
      <c r="B5524"/>
      <c r="C5524"/>
      <c r="H5524"/>
    </row>
    <row r="5525" spans="2:8" x14ac:dyDescent="0.35">
      <c r="B5525"/>
      <c r="C5525"/>
      <c r="H5525"/>
    </row>
    <row r="5526" spans="2:8" x14ac:dyDescent="0.35">
      <c r="B5526"/>
      <c r="C5526"/>
      <c r="H5526"/>
    </row>
    <row r="5527" spans="2:8" x14ac:dyDescent="0.35">
      <c r="B5527"/>
      <c r="C5527"/>
      <c r="H5527"/>
    </row>
    <row r="5528" spans="2:8" x14ac:dyDescent="0.35">
      <c r="B5528"/>
      <c r="C5528"/>
      <c r="H5528"/>
    </row>
    <row r="5529" spans="2:8" x14ac:dyDescent="0.35">
      <c r="B5529"/>
      <c r="C5529"/>
      <c r="H5529"/>
    </row>
    <row r="5530" spans="2:8" x14ac:dyDescent="0.35">
      <c r="B5530"/>
      <c r="C5530"/>
      <c r="H5530"/>
    </row>
    <row r="5531" spans="2:8" x14ac:dyDescent="0.35">
      <c r="B5531"/>
      <c r="C5531"/>
      <c r="H5531"/>
    </row>
    <row r="5532" spans="2:8" x14ac:dyDescent="0.35">
      <c r="B5532"/>
      <c r="C5532"/>
      <c r="H5532"/>
    </row>
    <row r="5533" spans="2:8" x14ac:dyDescent="0.35">
      <c r="B5533"/>
      <c r="C5533"/>
      <c r="H5533"/>
    </row>
    <row r="5534" spans="2:8" x14ac:dyDescent="0.35">
      <c r="B5534"/>
      <c r="C5534"/>
      <c r="H5534"/>
    </row>
    <row r="5535" spans="2:8" x14ac:dyDescent="0.35">
      <c r="B5535"/>
      <c r="C5535"/>
      <c r="H5535"/>
    </row>
    <row r="5536" spans="2:8" x14ac:dyDescent="0.35">
      <c r="B5536"/>
      <c r="C5536"/>
      <c r="H5536"/>
    </row>
    <row r="5537" spans="2:8" x14ac:dyDescent="0.35">
      <c r="B5537"/>
      <c r="C5537"/>
      <c r="H5537"/>
    </row>
    <row r="5538" spans="2:8" x14ac:dyDescent="0.35">
      <c r="B5538"/>
      <c r="C5538"/>
      <c r="H5538"/>
    </row>
    <row r="5539" spans="2:8" x14ac:dyDescent="0.35">
      <c r="B5539"/>
      <c r="C5539"/>
      <c r="H5539"/>
    </row>
    <row r="5540" spans="2:8" x14ac:dyDescent="0.35">
      <c r="B5540"/>
      <c r="C5540"/>
      <c r="H5540"/>
    </row>
    <row r="5541" spans="2:8" x14ac:dyDescent="0.35">
      <c r="B5541"/>
      <c r="C5541"/>
      <c r="H5541"/>
    </row>
    <row r="5542" spans="2:8" x14ac:dyDescent="0.35">
      <c r="B5542"/>
      <c r="C5542"/>
      <c r="H5542"/>
    </row>
    <row r="5543" spans="2:8" x14ac:dyDescent="0.35">
      <c r="B5543"/>
      <c r="C5543"/>
      <c r="H5543"/>
    </row>
    <row r="5544" spans="2:8" x14ac:dyDescent="0.35">
      <c r="B5544"/>
      <c r="C5544"/>
      <c r="H5544"/>
    </row>
    <row r="5545" spans="2:8" x14ac:dyDescent="0.35">
      <c r="B5545"/>
      <c r="C5545"/>
      <c r="H5545"/>
    </row>
    <row r="5546" spans="2:8" x14ac:dyDescent="0.35">
      <c r="B5546"/>
      <c r="C5546"/>
      <c r="H5546"/>
    </row>
    <row r="5547" spans="2:8" x14ac:dyDescent="0.35">
      <c r="B5547"/>
      <c r="C5547"/>
      <c r="H5547"/>
    </row>
    <row r="5548" spans="2:8" x14ac:dyDescent="0.35">
      <c r="B5548"/>
      <c r="C5548"/>
      <c r="H5548"/>
    </row>
    <row r="5549" spans="2:8" x14ac:dyDescent="0.35">
      <c r="B5549"/>
      <c r="C5549"/>
      <c r="H5549"/>
    </row>
    <row r="5550" spans="2:8" x14ac:dyDescent="0.35">
      <c r="B5550"/>
      <c r="C5550"/>
      <c r="H5550"/>
    </row>
    <row r="5551" spans="2:8" x14ac:dyDescent="0.35">
      <c r="B5551"/>
      <c r="C5551"/>
      <c r="H5551"/>
    </row>
    <row r="5552" spans="2:8" x14ac:dyDescent="0.35">
      <c r="B5552"/>
      <c r="C5552"/>
      <c r="H5552"/>
    </row>
    <row r="5553" spans="2:8" x14ac:dyDescent="0.35">
      <c r="B5553"/>
      <c r="C5553"/>
      <c r="H5553"/>
    </row>
    <row r="5554" spans="2:8" x14ac:dyDescent="0.35">
      <c r="B5554"/>
      <c r="C5554"/>
      <c r="H5554"/>
    </row>
    <row r="5555" spans="2:8" x14ac:dyDescent="0.35">
      <c r="B5555"/>
      <c r="C5555"/>
      <c r="H5555"/>
    </row>
    <row r="5556" spans="2:8" x14ac:dyDescent="0.35">
      <c r="B5556"/>
      <c r="C5556"/>
      <c r="H5556"/>
    </row>
    <row r="5557" spans="2:8" x14ac:dyDescent="0.35">
      <c r="B5557"/>
      <c r="C5557"/>
      <c r="H5557"/>
    </row>
    <row r="5558" spans="2:8" x14ac:dyDescent="0.35">
      <c r="B5558"/>
      <c r="C5558"/>
      <c r="H5558"/>
    </row>
    <row r="5559" spans="2:8" x14ac:dyDescent="0.35">
      <c r="B5559"/>
      <c r="C5559"/>
      <c r="H5559"/>
    </row>
    <row r="5560" spans="2:8" x14ac:dyDescent="0.35">
      <c r="B5560"/>
      <c r="C5560"/>
      <c r="H5560"/>
    </row>
    <row r="5561" spans="2:8" x14ac:dyDescent="0.35">
      <c r="B5561"/>
      <c r="C5561"/>
      <c r="H5561"/>
    </row>
    <row r="5562" spans="2:8" x14ac:dyDescent="0.35">
      <c r="B5562"/>
      <c r="C5562"/>
      <c r="H5562"/>
    </row>
    <row r="5563" spans="2:8" x14ac:dyDescent="0.35">
      <c r="B5563"/>
      <c r="C5563"/>
      <c r="H5563"/>
    </row>
    <row r="5564" spans="2:8" x14ac:dyDescent="0.35">
      <c r="B5564"/>
      <c r="C5564"/>
      <c r="H5564"/>
    </row>
    <row r="5565" spans="2:8" x14ac:dyDescent="0.35">
      <c r="B5565"/>
      <c r="C5565"/>
      <c r="H5565"/>
    </row>
    <row r="5566" spans="2:8" x14ac:dyDescent="0.35">
      <c r="B5566"/>
      <c r="C5566"/>
      <c r="H5566"/>
    </row>
    <row r="5567" spans="2:8" x14ac:dyDescent="0.35">
      <c r="B5567"/>
      <c r="C5567"/>
      <c r="H5567"/>
    </row>
    <row r="5568" spans="2:8" x14ac:dyDescent="0.35">
      <c r="B5568"/>
      <c r="C5568"/>
      <c r="H5568"/>
    </row>
    <row r="5569" spans="2:8" x14ac:dyDescent="0.35">
      <c r="B5569"/>
      <c r="C5569"/>
      <c r="H5569"/>
    </row>
    <row r="5570" spans="2:8" x14ac:dyDescent="0.35">
      <c r="B5570"/>
      <c r="C5570"/>
      <c r="H5570"/>
    </row>
    <row r="5571" spans="2:8" x14ac:dyDescent="0.35">
      <c r="B5571"/>
      <c r="C5571"/>
      <c r="H5571"/>
    </row>
    <row r="5572" spans="2:8" x14ac:dyDescent="0.35">
      <c r="B5572"/>
      <c r="C5572"/>
      <c r="H5572"/>
    </row>
    <row r="5573" spans="2:8" x14ac:dyDescent="0.35">
      <c r="B5573"/>
      <c r="C5573"/>
      <c r="H5573"/>
    </row>
    <row r="5574" spans="2:8" x14ac:dyDescent="0.35">
      <c r="B5574"/>
      <c r="C5574"/>
      <c r="H5574"/>
    </row>
    <row r="5575" spans="2:8" x14ac:dyDescent="0.35">
      <c r="B5575"/>
      <c r="C5575"/>
      <c r="H5575"/>
    </row>
    <row r="5576" spans="2:8" x14ac:dyDescent="0.35">
      <c r="B5576"/>
      <c r="C5576"/>
      <c r="H5576"/>
    </row>
    <row r="5577" spans="2:8" x14ac:dyDescent="0.35">
      <c r="B5577"/>
      <c r="C5577"/>
      <c r="H5577"/>
    </row>
    <row r="5578" spans="2:8" x14ac:dyDescent="0.35">
      <c r="B5578"/>
      <c r="C5578"/>
      <c r="H5578"/>
    </row>
    <row r="5579" spans="2:8" x14ac:dyDescent="0.35">
      <c r="B5579"/>
      <c r="C5579"/>
      <c r="H5579"/>
    </row>
    <row r="5580" spans="2:8" x14ac:dyDescent="0.35">
      <c r="B5580"/>
      <c r="C5580"/>
      <c r="H5580"/>
    </row>
    <row r="5581" spans="2:8" x14ac:dyDescent="0.35">
      <c r="B5581"/>
      <c r="C5581"/>
      <c r="H5581"/>
    </row>
    <row r="5582" spans="2:8" x14ac:dyDescent="0.35">
      <c r="B5582"/>
      <c r="C5582"/>
      <c r="H5582"/>
    </row>
    <row r="5583" spans="2:8" x14ac:dyDescent="0.35">
      <c r="B5583"/>
      <c r="C5583"/>
      <c r="H5583"/>
    </row>
    <row r="5584" spans="2:8" x14ac:dyDescent="0.35">
      <c r="B5584"/>
      <c r="C5584"/>
      <c r="H5584"/>
    </row>
    <row r="5585" spans="2:8" x14ac:dyDescent="0.35">
      <c r="B5585"/>
      <c r="C5585"/>
      <c r="H5585"/>
    </row>
    <row r="5586" spans="2:8" x14ac:dyDescent="0.35">
      <c r="B5586"/>
      <c r="C5586"/>
      <c r="H5586"/>
    </row>
    <row r="5587" spans="2:8" x14ac:dyDescent="0.35">
      <c r="B5587"/>
      <c r="C5587"/>
      <c r="H5587"/>
    </row>
    <row r="5588" spans="2:8" x14ac:dyDescent="0.35">
      <c r="B5588"/>
      <c r="C5588"/>
      <c r="H5588"/>
    </row>
    <row r="5589" spans="2:8" x14ac:dyDescent="0.35">
      <c r="B5589"/>
      <c r="C5589"/>
      <c r="H5589"/>
    </row>
    <row r="5590" spans="2:8" x14ac:dyDescent="0.35">
      <c r="B5590"/>
      <c r="C5590"/>
      <c r="H5590"/>
    </row>
    <row r="5591" spans="2:8" x14ac:dyDescent="0.35">
      <c r="B5591"/>
      <c r="C5591"/>
      <c r="H5591"/>
    </row>
    <row r="5592" spans="2:8" x14ac:dyDescent="0.35">
      <c r="B5592"/>
      <c r="C5592"/>
      <c r="H5592"/>
    </row>
    <row r="5593" spans="2:8" x14ac:dyDescent="0.35">
      <c r="B5593"/>
      <c r="C5593"/>
      <c r="H5593"/>
    </row>
    <row r="5594" spans="2:8" x14ac:dyDescent="0.35">
      <c r="B5594"/>
      <c r="C5594"/>
      <c r="H5594"/>
    </row>
    <row r="5595" spans="2:8" x14ac:dyDescent="0.35">
      <c r="B5595"/>
      <c r="C5595"/>
      <c r="H5595"/>
    </row>
    <row r="5596" spans="2:8" x14ac:dyDescent="0.35">
      <c r="B5596"/>
      <c r="C5596"/>
      <c r="H5596"/>
    </row>
    <row r="5597" spans="2:8" x14ac:dyDescent="0.35">
      <c r="B5597"/>
      <c r="C5597"/>
      <c r="H5597"/>
    </row>
    <row r="5598" spans="2:8" x14ac:dyDescent="0.35">
      <c r="B5598"/>
      <c r="C5598"/>
      <c r="H5598"/>
    </row>
    <row r="5599" spans="2:8" x14ac:dyDescent="0.35">
      <c r="B5599"/>
      <c r="C5599"/>
      <c r="H5599"/>
    </row>
    <row r="5600" spans="2:8" x14ac:dyDescent="0.35">
      <c r="B5600"/>
      <c r="C5600"/>
      <c r="H5600"/>
    </row>
    <row r="5601" spans="2:8" x14ac:dyDescent="0.35">
      <c r="B5601"/>
      <c r="C5601"/>
      <c r="H5601"/>
    </row>
    <row r="5602" spans="2:8" x14ac:dyDescent="0.35">
      <c r="B5602"/>
      <c r="C5602"/>
      <c r="H5602"/>
    </row>
    <row r="5603" spans="2:8" x14ac:dyDescent="0.35">
      <c r="B5603"/>
      <c r="C5603"/>
      <c r="H5603"/>
    </row>
    <row r="5604" spans="2:8" x14ac:dyDescent="0.35">
      <c r="B5604"/>
      <c r="C5604"/>
      <c r="H5604"/>
    </row>
    <row r="5605" spans="2:8" x14ac:dyDescent="0.35">
      <c r="B5605"/>
      <c r="C5605"/>
      <c r="H5605"/>
    </row>
    <row r="5606" spans="2:8" x14ac:dyDescent="0.35">
      <c r="B5606"/>
      <c r="C5606"/>
      <c r="H5606"/>
    </row>
    <row r="5607" spans="2:8" x14ac:dyDescent="0.35">
      <c r="B5607"/>
      <c r="C5607"/>
      <c r="H5607"/>
    </row>
    <row r="5608" spans="2:8" x14ac:dyDescent="0.35">
      <c r="B5608"/>
      <c r="C5608"/>
      <c r="H5608"/>
    </row>
    <row r="5609" spans="2:8" x14ac:dyDescent="0.35">
      <c r="B5609"/>
      <c r="C5609"/>
      <c r="H5609"/>
    </row>
    <row r="5610" spans="2:8" x14ac:dyDescent="0.35">
      <c r="B5610"/>
      <c r="C5610"/>
      <c r="H5610"/>
    </row>
    <row r="5611" spans="2:8" x14ac:dyDescent="0.35">
      <c r="B5611"/>
      <c r="C5611"/>
      <c r="H5611"/>
    </row>
    <row r="5612" spans="2:8" x14ac:dyDescent="0.35">
      <c r="B5612"/>
      <c r="C5612"/>
      <c r="H5612"/>
    </row>
    <row r="5613" spans="2:8" x14ac:dyDescent="0.35">
      <c r="B5613"/>
      <c r="C5613"/>
      <c r="H5613"/>
    </row>
    <row r="5614" spans="2:8" x14ac:dyDescent="0.35">
      <c r="B5614"/>
      <c r="C5614"/>
      <c r="H5614"/>
    </row>
    <row r="5615" spans="2:8" x14ac:dyDescent="0.35">
      <c r="B5615"/>
      <c r="C5615"/>
      <c r="H5615"/>
    </row>
    <row r="5616" spans="2:8" x14ac:dyDescent="0.35">
      <c r="B5616"/>
      <c r="C5616"/>
      <c r="H5616"/>
    </row>
    <row r="5617" spans="2:8" x14ac:dyDescent="0.35">
      <c r="B5617"/>
      <c r="C5617"/>
      <c r="H5617"/>
    </row>
    <row r="5618" spans="2:8" x14ac:dyDescent="0.35">
      <c r="B5618"/>
      <c r="C5618"/>
      <c r="H5618"/>
    </row>
    <row r="5619" spans="2:8" x14ac:dyDescent="0.35">
      <c r="B5619"/>
      <c r="C5619"/>
      <c r="H5619"/>
    </row>
    <row r="5620" spans="2:8" x14ac:dyDescent="0.35">
      <c r="B5620"/>
      <c r="C5620"/>
      <c r="H5620"/>
    </row>
    <row r="5621" spans="2:8" x14ac:dyDescent="0.35">
      <c r="B5621"/>
      <c r="C5621"/>
      <c r="H5621"/>
    </row>
    <row r="5622" spans="2:8" x14ac:dyDescent="0.35">
      <c r="B5622"/>
      <c r="C5622"/>
      <c r="H5622"/>
    </row>
    <row r="5623" spans="2:8" x14ac:dyDescent="0.35">
      <c r="B5623"/>
      <c r="C5623"/>
      <c r="H5623"/>
    </row>
    <row r="5624" spans="2:8" x14ac:dyDescent="0.35">
      <c r="B5624"/>
      <c r="C5624"/>
      <c r="H5624"/>
    </row>
    <row r="5625" spans="2:8" x14ac:dyDescent="0.35">
      <c r="B5625"/>
      <c r="C5625"/>
      <c r="H5625"/>
    </row>
    <row r="5626" spans="2:8" x14ac:dyDescent="0.35">
      <c r="B5626"/>
      <c r="C5626"/>
      <c r="H5626"/>
    </row>
    <row r="5627" spans="2:8" x14ac:dyDescent="0.35">
      <c r="B5627"/>
      <c r="C5627"/>
      <c r="H5627"/>
    </row>
    <row r="5628" spans="2:8" x14ac:dyDescent="0.35">
      <c r="B5628"/>
      <c r="C5628"/>
      <c r="H5628"/>
    </row>
    <row r="5629" spans="2:8" x14ac:dyDescent="0.35">
      <c r="B5629"/>
      <c r="C5629"/>
      <c r="H5629"/>
    </row>
    <row r="5630" spans="2:8" x14ac:dyDescent="0.35">
      <c r="B5630"/>
      <c r="C5630"/>
      <c r="H5630"/>
    </row>
    <row r="5631" spans="2:8" x14ac:dyDescent="0.35">
      <c r="B5631"/>
      <c r="C5631"/>
      <c r="H5631"/>
    </row>
    <row r="5632" spans="2:8" x14ac:dyDescent="0.35">
      <c r="B5632"/>
      <c r="C5632"/>
      <c r="H5632"/>
    </row>
    <row r="5633" spans="2:8" x14ac:dyDescent="0.35">
      <c r="B5633"/>
      <c r="C5633"/>
      <c r="H5633"/>
    </row>
    <row r="5634" spans="2:8" x14ac:dyDescent="0.35">
      <c r="B5634"/>
      <c r="C5634"/>
      <c r="H5634"/>
    </row>
    <row r="5635" spans="2:8" x14ac:dyDescent="0.35">
      <c r="B5635"/>
      <c r="C5635"/>
      <c r="H5635"/>
    </row>
    <row r="5636" spans="2:8" x14ac:dyDescent="0.35">
      <c r="B5636"/>
      <c r="C5636"/>
      <c r="H5636"/>
    </row>
    <row r="5637" spans="2:8" x14ac:dyDescent="0.35">
      <c r="B5637"/>
      <c r="C5637"/>
      <c r="H5637"/>
    </row>
    <row r="5638" spans="2:8" x14ac:dyDescent="0.35">
      <c r="B5638"/>
      <c r="C5638"/>
      <c r="H5638"/>
    </row>
    <row r="5639" spans="2:8" x14ac:dyDescent="0.35">
      <c r="B5639"/>
      <c r="C5639"/>
      <c r="H5639"/>
    </row>
    <row r="5640" spans="2:8" x14ac:dyDescent="0.35">
      <c r="B5640"/>
      <c r="C5640"/>
      <c r="H5640"/>
    </row>
    <row r="5641" spans="2:8" x14ac:dyDescent="0.35">
      <c r="B5641"/>
      <c r="C5641"/>
      <c r="H5641"/>
    </row>
    <row r="5642" spans="2:8" x14ac:dyDescent="0.35">
      <c r="B5642"/>
      <c r="C5642"/>
      <c r="H5642"/>
    </row>
    <row r="5643" spans="2:8" x14ac:dyDescent="0.35">
      <c r="B5643"/>
      <c r="C5643"/>
      <c r="H5643"/>
    </row>
    <row r="5644" spans="2:8" x14ac:dyDescent="0.35">
      <c r="B5644"/>
      <c r="C5644"/>
      <c r="H5644"/>
    </row>
    <row r="5645" spans="2:8" x14ac:dyDescent="0.35">
      <c r="B5645"/>
      <c r="C5645"/>
      <c r="H5645"/>
    </row>
    <row r="5646" spans="2:8" x14ac:dyDescent="0.35">
      <c r="B5646"/>
      <c r="C5646"/>
      <c r="H5646"/>
    </row>
    <row r="5647" spans="2:8" x14ac:dyDescent="0.35">
      <c r="B5647"/>
      <c r="C5647"/>
      <c r="H5647"/>
    </row>
    <row r="5648" spans="2:8" x14ac:dyDescent="0.35">
      <c r="B5648"/>
      <c r="C5648"/>
      <c r="H5648"/>
    </row>
    <row r="5649" spans="2:8" x14ac:dyDescent="0.35">
      <c r="B5649"/>
      <c r="C5649"/>
      <c r="H5649"/>
    </row>
    <row r="5650" spans="2:8" x14ac:dyDescent="0.35">
      <c r="B5650"/>
      <c r="C5650"/>
      <c r="H5650"/>
    </row>
    <row r="5651" spans="2:8" x14ac:dyDescent="0.35">
      <c r="B5651"/>
      <c r="C5651"/>
      <c r="H5651"/>
    </row>
    <row r="5652" spans="2:8" x14ac:dyDescent="0.35">
      <c r="B5652"/>
      <c r="C5652"/>
      <c r="H5652"/>
    </row>
    <row r="5653" spans="2:8" x14ac:dyDescent="0.35">
      <c r="B5653"/>
      <c r="C5653"/>
      <c r="H5653"/>
    </row>
    <row r="5654" spans="2:8" x14ac:dyDescent="0.35">
      <c r="B5654"/>
      <c r="C5654"/>
      <c r="H5654"/>
    </row>
    <row r="5655" spans="2:8" x14ac:dyDescent="0.35">
      <c r="B5655"/>
      <c r="C5655"/>
      <c r="H5655"/>
    </row>
    <row r="5656" spans="2:8" x14ac:dyDescent="0.35">
      <c r="B5656"/>
      <c r="C5656"/>
      <c r="H5656"/>
    </row>
    <row r="5657" spans="2:8" x14ac:dyDescent="0.35">
      <c r="B5657"/>
      <c r="C5657"/>
      <c r="H5657"/>
    </row>
    <row r="5658" spans="2:8" x14ac:dyDescent="0.35">
      <c r="B5658"/>
      <c r="C5658"/>
      <c r="H5658"/>
    </row>
    <row r="5659" spans="2:8" x14ac:dyDescent="0.35">
      <c r="B5659"/>
      <c r="C5659"/>
      <c r="H5659"/>
    </row>
    <row r="5660" spans="2:8" x14ac:dyDescent="0.35">
      <c r="B5660"/>
      <c r="C5660"/>
      <c r="H5660"/>
    </row>
    <row r="5661" spans="2:8" x14ac:dyDescent="0.35">
      <c r="B5661"/>
      <c r="C5661"/>
      <c r="H5661"/>
    </row>
    <row r="5662" spans="2:8" x14ac:dyDescent="0.35">
      <c r="B5662"/>
      <c r="C5662"/>
      <c r="H5662"/>
    </row>
    <row r="5663" spans="2:8" x14ac:dyDescent="0.35">
      <c r="B5663"/>
      <c r="C5663"/>
      <c r="H5663"/>
    </row>
    <row r="5664" spans="2:8" x14ac:dyDescent="0.35">
      <c r="B5664"/>
      <c r="C5664"/>
      <c r="H5664"/>
    </row>
    <row r="5665" spans="2:8" x14ac:dyDescent="0.35">
      <c r="B5665"/>
      <c r="C5665"/>
      <c r="H5665"/>
    </row>
    <row r="5666" spans="2:8" x14ac:dyDescent="0.35">
      <c r="B5666"/>
      <c r="C5666"/>
      <c r="H5666"/>
    </row>
    <row r="5667" spans="2:8" x14ac:dyDescent="0.35">
      <c r="B5667"/>
      <c r="C5667"/>
      <c r="H5667"/>
    </row>
    <row r="5668" spans="2:8" x14ac:dyDescent="0.35">
      <c r="B5668"/>
      <c r="C5668"/>
      <c r="H5668"/>
    </row>
    <row r="5669" spans="2:8" x14ac:dyDescent="0.35">
      <c r="B5669"/>
      <c r="C5669"/>
      <c r="H5669"/>
    </row>
    <row r="5670" spans="2:8" x14ac:dyDescent="0.35">
      <c r="B5670"/>
      <c r="C5670"/>
      <c r="H5670"/>
    </row>
    <row r="5671" spans="2:8" x14ac:dyDescent="0.35">
      <c r="B5671"/>
      <c r="C5671"/>
      <c r="H5671"/>
    </row>
    <row r="5672" spans="2:8" x14ac:dyDescent="0.35">
      <c r="B5672"/>
      <c r="C5672"/>
      <c r="H5672"/>
    </row>
    <row r="5673" spans="2:8" x14ac:dyDescent="0.35">
      <c r="B5673"/>
      <c r="C5673"/>
      <c r="H5673"/>
    </row>
    <row r="5674" spans="2:8" x14ac:dyDescent="0.35">
      <c r="B5674"/>
      <c r="C5674"/>
      <c r="H5674"/>
    </row>
    <row r="5675" spans="2:8" x14ac:dyDescent="0.35">
      <c r="B5675"/>
      <c r="C5675"/>
      <c r="H5675"/>
    </row>
    <row r="5676" spans="2:8" x14ac:dyDescent="0.35">
      <c r="B5676"/>
      <c r="C5676"/>
      <c r="H5676"/>
    </row>
    <row r="5677" spans="2:8" x14ac:dyDescent="0.35">
      <c r="B5677"/>
      <c r="C5677"/>
      <c r="H5677"/>
    </row>
    <row r="5678" spans="2:8" x14ac:dyDescent="0.35">
      <c r="B5678"/>
      <c r="C5678"/>
      <c r="H5678"/>
    </row>
    <row r="5679" spans="2:8" x14ac:dyDescent="0.35">
      <c r="B5679"/>
      <c r="C5679"/>
      <c r="H5679"/>
    </row>
    <row r="5680" spans="2:8" x14ac:dyDescent="0.35">
      <c r="B5680"/>
      <c r="C5680"/>
      <c r="H5680"/>
    </row>
    <row r="5681" spans="2:8" x14ac:dyDescent="0.35">
      <c r="B5681"/>
      <c r="C5681"/>
      <c r="H5681"/>
    </row>
    <row r="5682" spans="2:8" x14ac:dyDescent="0.35">
      <c r="B5682"/>
      <c r="C5682"/>
      <c r="H5682"/>
    </row>
    <row r="5683" spans="2:8" x14ac:dyDescent="0.35">
      <c r="B5683"/>
      <c r="C5683"/>
      <c r="H5683"/>
    </row>
    <row r="5684" spans="2:8" x14ac:dyDescent="0.35">
      <c r="B5684"/>
      <c r="C5684"/>
      <c r="H5684"/>
    </row>
    <row r="5685" spans="2:8" x14ac:dyDescent="0.35">
      <c r="B5685"/>
      <c r="C5685"/>
      <c r="H5685"/>
    </row>
    <row r="5686" spans="2:8" x14ac:dyDescent="0.35">
      <c r="B5686"/>
      <c r="C5686"/>
      <c r="H5686"/>
    </row>
    <row r="5687" spans="2:8" x14ac:dyDescent="0.35">
      <c r="B5687"/>
      <c r="C5687"/>
      <c r="H5687"/>
    </row>
    <row r="5688" spans="2:8" x14ac:dyDescent="0.35">
      <c r="B5688"/>
      <c r="C5688"/>
      <c r="H5688"/>
    </row>
    <row r="5689" spans="2:8" x14ac:dyDescent="0.35">
      <c r="B5689"/>
      <c r="C5689"/>
      <c r="H5689"/>
    </row>
    <row r="5690" spans="2:8" x14ac:dyDescent="0.35">
      <c r="B5690"/>
      <c r="C5690"/>
      <c r="H5690"/>
    </row>
    <row r="5691" spans="2:8" x14ac:dyDescent="0.35">
      <c r="B5691"/>
      <c r="C5691"/>
      <c r="H5691"/>
    </row>
    <row r="5692" spans="2:8" x14ac:dyDescent="0.35">
      <c r="B5692"/>
      <c r="C5692"/>
      <c r="H5692"/>
    </row>
    <row r="5693" spans="2:8" x14ac:dyDescent="0.35">
      <c r="B5693"/>
      <c r="C5693"/>
      <c r="H5693"/>
    </row>
    <row r="5694" spans="2:8" x14ac:dyDescent="0.35">
      <c r="B5694"/>
      <c r="C5694"/>
      <c r="H5694"/>
    </row>
    <row r="5695" spans="2:8" x14ac:dyDescent="0.35">
      <c r="B5695"/>
      <c r="C5695"/>
      <c r="H5695"/>
    </row>
    <row r="5696" spans="2:8" x14ac:dyDescent="0.35">
      <c r="B5696"/>
      <c r="C5696"/>
      <c r="H5696"/>
    </row>
    <row r="5697" spans="2:8" x14ac:dyDescent="0.35">
      <c r="B5697"/>
      <c r="C5697"/>
      <c r="H5697"/>
    </row>
    <row r="5698" spans="2:8" x14ac:dyDescent="0.35">
      <c r="B5698"/>
      <c r="C5698"/>
      <c r="H5698"/>
    </row>
    <row r="5699" spans="2:8" x14ac:dyDescent="0.35">
      <c r="B5699"/>
      <c r="C5699"/>
      <c r="H5699"/>
    </row>
    <row r="5700" spans="2:8" x14ac:dyDescent="0.35">
      <c r="B5700"/>
      <c r="C5700"/>
      <c r="H5700"/>
    </row>
    <row r="5701" spans="2:8" x14ac:dyDescent="0.35">
      <c r="B5701"/>
      <c r="C5701"/>
      <c r="H5701"/>
    </row>
    <row r="5702" spans="2:8" x14ac:dyDescent="0.35">
      <c r="B5702"/>
      <c r="C5702"/>
      <c r="H5702"/>
    </row>
    <row r="5703" spans="2:8" x14ac:dyDescent="0.35">
      <c r="B5703"/>
      <c r="C5703"/>
      <c r="H5703"/>
    </row>
    <row r="5704" spans="2:8" x14ac:dyDescent="0.35">
      <c r="B5704"/>
      <c r="C5704"/>
      <c r="H5704"/>
    </row>
    <row r="5705" spans="2:8" x14ac:dyDescent="0.35">
      <c r="B5705"/>
      <c r="C5705"/>
      <c r="H5705"/>
    </row>
    <row r="5706" spans="2:8" x14ac:dyDescent="0.35">
      <c r="B5706"/>
      <c r="C5706"/>
      <c r="H5706"/>
    </row>
    <row r="5707" spans="2:8" x14ac:dyDescent="0.35">
      <c r="B5707"/>
      <c r="C5707"/>
      <c r="H5707"/>
    </row>
    <row r="5708" spans="2:8" x14ac:dyDescent="0.35">
      <c r="B5708"/>
      <c r="C5708"/>
      <c r="H5708"/>
    </row>
    <row r="5709" spans="2:8" x14ac:dyDescent="0.35">
      <c r="B5709"/>
      <c r="C5709"/>
      <c r="H5709"/>
    </row>
    <row r="5710" spans="2:8" x14ac:dyDescent="0.35">
      <c r="B5710"/>
      <c r="C5710"/>
      <c r="H5710"/>
    </row>
    <row r="5711" spans="2:8" x14ac:dyDescent="0.35">
      <c r="B5711"/>
      <c r="C5711"/>
      <c r="H5711"/>
    </row>
    <row r="5712" spans="2:8" x14ac:dyDescent="0.35">
      <c r="B5712"/>
      <c r="C5712"/>
      <c r="H5712"/>
    </row>
    <row r="5713" spans="2:8" x14ac:dyDescent="0.35">
      <c r="B5713"/>
      <c r="C5713"/>
      <c r="H5713"/>
    </row>
    <row r="5714" spans="2:8" x14ac:dyDescent="0.35">
      <c r="B5714"/>
      <c r="C5714"/>
      <c r="H5714"/>
    </row>
    <row r="5715" spans="2:8" x14ac:dyDescent="0.35">
      <c r="B5715"/>
      <c r="C5715"/>
      <c r="H5715"/>
    </row>
    <row r="5716" spans="2:8" x14ac:dyDescent="0.35">
      <c r="B5716"/>
      <c r="C5716"/>
      <c r="H5716"/>
    </row>
    <row r="5717" spans="2:8" x14ac:dyDescent="0.35">
      <c r="B5717"/>
      <c r="C5717"/>
      <c r="H5717"/>
    </row>
    <row r="5718" spans="2:8" x14ac:dyDescent="0.35">
      <c r="B5718"/>
      <c r="C5718"/>
      <c r="H5718"/>
    </row>
    <row r="5719" spans="2:8" x14ac:dyDescent="0.35">
      <c r="B5719"/>
      <c r="C5719"/>
      <c r="H5719"/>
    </row>
    <row r="5720" spans="2:8" x14ac:dyDescent="0.35">
      <c r="B5720"/>
      <c r="C5720"/>
      <c r="H5720"/>
    </row>
    <row r="5721" spans="2:8" x14ac:dyDescent="0.35">
      <c r="B5721"/>
      <c r="C5721"/>
      <c r="H5721"/>
    </row>
    <row r="5722" spans="2:8" x14ac:dyDescent="0.35">
      <c r="B5722"/>
      <c r="C5722"/>
      <c r="H5722"/>
    </row>
    <row r="5723" spans="2:8" x14ac:dyDescent="0.35">
      <c r="B5723"/>
      <c r="C5723"/>
      <c r="H5723"/>
    </row>
    <row r="5724" spans="2:8" x14ac:dyDescent="0.35">
      <c r="B5724"/>
      <c r="C5724"/>
      <c r="H5724"/>
    </row>
    <row r="5725" spans="2:8" x14ac:dyDescent="0.35">
      <c r="B5725"/>
      <c r="C5725"/>
      <c r="H5725"/>
    </row>
    <row r="5726" spans="2:8" x14ac:dyDescent="0.35">
      <c r="B5726"/>
      <c r="C5726"/>
      <c r="H5726"/>
    </row>
    <row r="5727" spans="2:8" x14ac:dyDescent="0.35">
      <c r="B5727"/>
      <c r="C5727"/>
      <c r="H5727"/>
    </row>
    <row r="5728" spans="2:8" x14ac:dyDescent="0.35">
      <c r="B5728"/>
      <c r="C5728"/>
      <c r="H5728"/>
    </row>
    <row r="5729" spans="2:8" x14ac:dyDescent="0.35">
      <c r="B5729"/>
      <c r="C5729"/>
      <c r="H5729"/>
    </row>
    <row r="5730" spans="2:8" x14ac:dyDescent="0.35">
      <c r="B5730"/>
      <c r="C5730"/>
      <c r="H5730"/>
    </row>
    <row r="5731" spans="2:8" x14ac:dyDescent="0.35">
      <c r="B5731"/>
      <c r="C5731"/>
      <c r="H5731"/>
    </row>
    <row r="5732" spans="2:8" x14ac:dyDescent="0.35">
      <c r="B5732"/>
      <c r="C5732"/>
      <c r="H5732"/>
    </row>
    <row r="5733" spans="2:8" x14ac:dyDescent="0.35">
      <c r="B5733"/>
      <c r="C5733"/>
      <c r="H5733"/>
    </row>
    <row r="5734" spans="2:8" x14ac:dyDescent="0.35">
      <c r="B5734"/>
      <c r="C5734"/>
      <c r="H5734"/>
    </row>
    <row r="5735" spans="2:8" x14ac:dyDescent="0.35">
      <c r="B5735"/>
      <c r="C5735"/>
      <c r="H5735"/>
    </row>
    <row r="5736" spans="2:8" x14ac:dyDescent="0.35">
      <c r="B5736"/>
      <c r="C5736"/>
      <c r="H5736"/>
    </row>
    <row r="5737" spans="2:8" x14ac:dyDescent="0.35">
      <c r="B5737"/>
      <c r="C5737"/>
      <c r="H5737"/>
    </row>
    <row r="5738" spans="2:8" x14ac:dyDescent="0.35">
      <c r="B5738"/>
      <c r="C5738"/>
      <c r="H5738"/>
    </row>
    <row r="5739" spans="2:8" x14ac:dyDescent="0.35">
      <c r="B5739"/>
      <c r="C5739"/>
      <c r="H5739"/>
    </row>
    <row r="5740" spans="2:8" x14ac:dyDescent="0.35">
      <c r="B5740"/>
      <c r="C5740"/>
      <c r="H5740"/>
    </row>
    <row r="5741" spans="2:8" x14ac:dyDescent="0.35">
      <c r="B5741"/>
      <c r="C5741"/>
      <c r="H5741"/>
    </row>
    <row r="5742" spans="2:8" x14ac:dyDescent="0.35">
      <c r="B5742"/>
      <c r="C5742"/>
      <c r="H5742"/>
    </row>
    <row r="5743" spans="2:8" x14ac:dyDescent="0.35">
      <c r="B5743"/>
      <c r="C5743"/>
      <c r="H5743"/>
    </row>
    <row r="5744" spans="2:8" x14ac:dyDescent="0.35">
      <c r="B5744"/>
      <c r="C5744"/>
      <c r="H5744"/>
    </row>
    <row r="5745" spans="2:8" x14ac:dyDescent="0.35">
      <c r="B5745"/>
      <c r="C5745"/>
      <c r="H5745"/>
    </row>
    <row r="5746" spans="2:8" x14ac:dyDescent="0.35">
      <c r="B5746"/>
      <c r="C5746"/>
      <c r="H5746"/>
    </row>
    <row r="5747" spans="2:8" x14ac:dyDescent="0.35">
      <c r="B5747"/>
      <c r="C5747"/>
      <c r="H5747"/>
    </row>
    <row r="5748" spans="2:8" x14ac:dyDescent="0.35">
      <c r="B5748"/>
      <c r="C5748"/>
      <c r="H5748"/>
    </row>
    <row r="5749" spans="2:8" x14ac:dyDescent="0.35">
      <c r="B5749"/>
      <c r="C5749"/>
      <c r="H5749"/>
    </row>
    <row r="5750" spans="2:8" x14ac:dyDescent="0.35">
      <c r="B5750"/>
      <c r="C5750"/>
      <c r="H5750"/>
    </row>
    <row r="5751" spans="2:8" x14ac:dyDescent="0.35">
      <c r="B5751"/>
      <c r="C5751"/>
      <c r="H5751"/>
    </row>
    <row r="5752" spans="2:8" x14ac:dyDescent="0.35">
      <c r="B5752"/>
      <c r="C5752"/>
      <c r="H5752"/>
    </row>
    <row r="5753" spans="2:8" x14ac:dyDescent="0.35">
      <c r="B5753"/>
      <c r="C5753"/>
      <c r="H5753"/>
    </row>
    <row r="5754" spans="2:8" x14ac:dyDescent="0.35">
      <c r="B5754"/>
      <c r="C5754"/>
      <c r="H5754"/>
    </row>
    <row r="5755" spans="2:8" x14ac:dyDescent="0.35">
      <c r="B5755"/>
      <c r="C5755"/>
      <c r="H5755"/>
    </row>
    <row r="5756" spans="2:8" x14ac:dyDescent="0.35">
      <c r="B5756"/>
      <c r="C5756"/>
      <c r="H5756"/>
    </row>
    <row r="5757" spans="2:8" x14ac:dyDescent="0.35">
      <c r="B5757"/>
      <c r="C5757"/>
      <c r="H5757"/>
    </row>
    <row r="5758" spans="2:8" x14ac:dyDescent="0.35">
      <c r="B5758"/>
      <c r="C5758"/>
      <c r="H5758"/>
    </row>
    <row r="5759" spans="2:8" x14ac:dyDescent="0.35">
      <c r="B5759"/>
      <c r="C5759"/>
      <c r="H5759"/>
    </row>
    <row r="5760" spans="2:8" x14ac:dyDescent="0.35">
      <c r="B5760"/>
      <c r="C5760"/>
      <c r="H5760"/>
    </row>
    <row r="5761" spans="2:8" x14ac:dyDescent="0.35">
      <c r="B5761"/>
      <c r="C5761"/>
      <c r="H5761"/>
    </row>
    <row r="5762" spans="2:8" x14ac:dyDescent="0.35">
      <c r="B5762"/>
      <c r="C5762"/>
      <c r="H5762"/>
    </row>
    <row r="5763" spans="2:8" x14ac:dyDescent="0.35">
      <c r="B5763"/>
      <c r="C5763"/>
      <c r="H5763"/>
    </row>
    <row r="5764" spans="2:8" x14ac:dyDescent="0.35">
      <c r="B5764"/>
      <c r="C5764"/>
      <c r="H5764"/>
    </row>
    <row r="5765" spans="2:8" x14ac:dyDescent="0.35">
      <c r="B5765"/>
      <c r="C5765"/>
      <c r="H5765"/>
    </row>
    <row r="5766" spans="2:8" x14ac:dyDescent="0.35">
      <c r="B5766"/>
      <c r="C5766"/>
      <c r="H5766"/>
    </row>
    <row r="5767" spans="2:8" x14ac:dyDescent="0.35">
      <c r="B5767"/>
      <c r="C5767"/>
      <c r="H5767"/>
    </row>
    <row r="5768" spans="2:8" x14ac:dyDescent="0.35">
      <c r="B5768"/>
      <c r="C5768"/>
      <c r="H5768"/>
    </row>
    <row r="5769" spans="2:8" x14ac:dyDescent="0.35">
      <c r="B5769"/>
      <c r="C5769"/>
      <c r="H5769"/>
    </row>
    <row r="5770" spans="2:8" x14ac:dyDescent="0.35">
      <c r="B5770"/>
      <c r="C5770"/>
      <c r="H5770"/>
    </row>
    <row r="5771" spans="2:8" x14ac:dyDescent="0.35">
      <c r="B5771"/>
      <c r="C5771"/>
      <c r="H5771"/>
    </row>
    <row r="5772" spans="2:8" x14ac:dyDescent="0.35">
      <c r="B5772"/>
      <c r="C5772"/>
      <c r="H5772"/>
    </row>
    <row r="5773" spans="2:8" x14ac:dyDescent="0.35">
      <c r="B5773"/>
      <c r="C5773"/>
      <c r="H5773"/>
    </row>
    <row r="5774" spans="2:8" x14ac:dyDescent="0.35">
      <c r="B5774"/>
      <c r="C5774"/>
      <c r="H5774"/>
    </row>
    <row r="5775" spans="2:8" x14ac:dyDescent="0.35">
      <c r="B5775"/>
      <c r="C5775"/>
      <c r="H5775"/>
    </row>
    <row r="5776" spans="2:8" x14ac:dyDescent="0.35">
      <c r="B5776"/>
      <c r="C5776"/>
      <c r="H5776"/>
    </row>
    <row r="5777" spans="2:8" x14ac:dyDescent="0.35">
      <c r="B5777"/>
      <c r="C5777"/>
      <c r="H5777"/>
    </row>
    <row r="5778" spans="2:8" x14ac:dyDescent="0.35">
      <c r="B5778"/>
      <c r="C5778"/>
      <c r="H5778"/>
    </row>
    <row r="5779" spans="2:8" x14ac:dyDescent="0.35">
      <c r="B5779"/>
      <c r="C5779"/>
      <c r="H5779"/>
    </row>
    <row r="5780" spans="2:8" x14ac:dyDescent="0.35">
      <c r="B5780"/>
      <c r="C5780"/>
      <c r="H5780"/>
    </row>
    <row r="5781" spans="2:8" x14ac:dyDescent="0.35">
      <c r="B5781"/>
      <c r="C5781"/>
      <c r="H5781"/>
    </row>
    <row r="5782" spans="2:8" x14ac:dyDescent="0.35">
      <c r="B5782"/>
      <c r="C5782"/>
      <c r="H5782"/>
    </row>
    <row r="5783" spans="2:8" x14ac:dyDescent="0.35">
      <c r="B5783"/>
      <c r="C5783"/>
      <c r="H5783"/>
    </row>
    <row r="5784" spans="2:8" x14ac:dyDescent="0.35">
      <c r="B5784"/>
      <c r="C5784"/>
      <c r="H5784"/>
    </row>
    <row r="5785" spans="2:8" x14ac:dyDescent="0.35">
      <c r="B5785"/>
      <c r="C5785"/>
      <c r="H5785"/>
    </row>
    <row r="5786" spans="2:8" x14ac:dyDescent="0.35">
      <c r="B5786"/>
      <c r="C5786"/>
      <c r="H5786"/>
    </row>
    <row r="5787" spans="2:8" x14ac:dyDescent="0.35">
      <c r="B5787"/>
      <c r="C5787"/>
      <c r="H5787"/>
    </row>
    <row r="5788" spans="2:8" x14ac:dyDescent="0.35">
      <c r="B5788"/>
      <c r="C5788"/>
      <c r="H5788"/>
    </row>
    <row r="5789" spans="2:8" x14ac:dyDescent="0.35">
      <c r="B5789"/>
      <c r="C5789"/>
      <c r="H5789"/>
    </row>
    <row r="5790" spans="2:8" x14ac:dyDescent="0.35">
      <c r="B5790"/>
      <c r="C5790"/>
      <c r="H5790"/>
    </row>
    <row r="5791" spans="2:8" x14ac:dyDescent="0.35">
      <c r="B5791"/>
      <c r="C5791"/>
      <c r="H5791"/>
    </row>
    <row r="5792" spans="2:8" x14ac:dyDescent="0.35">
      <c r="B5792"/>
      <c r="C5792"/>
      <c r="H5792"/>
    </row>
    <row r="5793" spans="2:8" x14ac:dyDescent="0.35">
      <c r="B5793"/>
      <c r="C5793"/>
      <c r="H5793"/>
    </row>
    <row r="5794" spans="2:8" x14ac:dyDescent="0.35">
      <c r="B5794"/>
      <c r="C5794"/>
      <c r="H5794"/>
    </row>
    <row r="5795" spans="2:8" x14ac:dyDescent="0.35">
      <c r="B5795"/>
      <c r="C5795"/>
      <c r="H5795"/>
    </row>
    <row r="5796" spans="2:8" x14ac:dyDescent="0.35">
      <c r="B5796"/>
      <c r="C5796"/>
      <c r="H5796"/>
    </row>
    <row r="5797" spans="2:8" x14ac:dyDescent="0.35">
      <c r="B5797"/>
      <c r="C5797"/>
      <c r="H5797"/>
    </row>
    <row r="5798" spans="2:8" x14ac:dyDescent="0.35">
      <c r="B5798"/>
      <c r="C5798"/>
      <c r="H5798"/>
    </row>
    <row r="5799" spans="2:8" x14ac:dyDescent="0.35">
      <c r="B5799"/>
      <c r="C5799"/>
      <c r="H5799"/>
    </row>
    <row r="5800" spans="2:8" x14ac:dyDescent="0.35">
      <c r="B5800"/>
      <c r="C5800"/>
      <c r="H5800"/>
    </row>
    <row r="5801" spans="2:8" x14ac:dyDescent="0.35">
      <c r="B5801"/>
      <c r="C5801"/>
      <c r="H5801"/>
    </row>
    <row r="5802" spans="2:8" x14ac:dyDescent="0.35">
      <c r="B5802"/>
      <c r="C5802"/>
      <c r="H5802"/>
    </row>
    <row r="5803" spans="2:8" x14ac:dyDescent="0.35">
      <c r="B5803"/>
      <c r="C5803"/>
      <c r="H5803"/>
    </row>
    <row r="5804" spans="2:8" x14ac:dyDescent="0.35">
      <c r="B5804"/>
      <c r="C5804"/>
      <c r="H5804"/>
    </row>
    <row r="5805" spans="2:8" x14ac:dyDescent="0.35">
      <c r="B5805"/>
      <c r="C5805"/>
      <c r="H5805"/>
    </row>
    <row r="5806" spans="2:8" x14ac:dyDescent="0.35">
      <c r="B5806"/>
      <c r="C5806"/>
      <c r="H5806"/>
    </row>
    <row r="5807" spans="2:8" x14ac:dyDescent="0.35">
      <c r="B5807"/>
      <c r="C5807"/>
      <c r="H5807"/>
    </row>
    <row r="5808" spans="2:8" x14ac:dyDescent="0.35">
      <c r="B5808"/>
      <c r="C5808"/>
      <c r="H5808"/>
    </row>
    <row r="5809" spans="2:8" x14ac:dyDescent="0.35">
      <c r="B5809"/>
      <c r="C5809"/>
      <c r="H5809"/>
    </row>
    <row r="5810" spans="2:8" x14ac:dyDescent="0.35">
      <c r="B5810"/>
      <c r="C5810"/>
      <c r="H5810"/>
    </row>
    <row r="5811" spans="2:8" x14ac:dyDescent="0.35">
      <c r="B5811"/>
      <c r="C5811"/>
      <c r="H5811"/>
    </row>
    <row r="5812" spans="2:8" x14ac:dyDescent="0.35">
      <c r="B5812"/>
      <c r="C5812"/>
      <c r="H5812"/>
    </row>
    <row r="5813" spans="2:8" x14ac:dyDescent="0.35">
      <c r="B5813"/>
      <c r="C5813"/>
      <c r="H5813"/>
    </row>
    <row r="5814" spans="2:8" x14ac:dyDescent="0.35">
      <c r="B5814"/>
      <c r="C5814"/>
      <c r="H5814"/>
    </row>
    <row r="5815" spans="2:8" x14ac:dyDescent="0.35">
      <c r="B5815"/>
      <c r="C5815"/>
      <c r="H5815"/>
    </row>
    <row r="5816" spans="2:8" x14ac:dyDescent="0.35">
      <c r="B5816"/>
      <c r="C5816"/>
      <c r="H5816"/>
    </row>
    <row r="5817" spans="2:8" x14ac:dyDescent="0.35">
      <c r="B5817"/>
      <c r="C5817"/>
      <c r="H5817"/>
    </row>
    <row r="5818" spans="2:8" x14ac:dyDescent="0.35">
      <c r="B5818"/>
      <c r="C5818"/>
      <c r="H5818"/>
    </row>
    <row r="5819" spans="2:8" x14ac:dyDescent="0.35">
      <c r="B5819"/>
      <c r="C5819"/>
      <c r="H5819"/>
    </row>
    <row r="5820" spans="2:8" x14ac:dyDescent="0.35">
      <c r="B5820"/>
      <c r="C5820"/>
      <c r="H5820"/>
    </row>
    <row r="5821" spans="2:8" x14ac:dyDescent="0.35">
      <c r="B5821"/>
      <c r="C5821"/>
      <c r="H5821"/>
    </row>
    <row r="5822" spans="2:8" x14ac:dyDescent="0.35">
      <c r="B5822"/>
      <c r="C5822"/>
      <c r="H5822"/>
    </row>
    <row r="5823" spans="2:8" x14ac:dyDescent="0.35">
      <c r="B5823"/>
      <c r="C5823"/>
      <c r="H5823"/>
    </row>
    <row r="5824" spans="2:8" x14ac:dyDescent="0.35">
      <c r="B5824"/>
      <c r="C5824"/>
      <c r="H5824"/>
    </row>
    <row r="5825" spans="2:8" x14ac:dyDescent="0.35">
      <c r="B5825"/>
      <c r="C5825"/>
      <c r="H5825"/>
    </row>
    <row r="5826" spans="2:8" x14ac:dyDescent="0.35">
      <c r="B5826"/>
      <c r="C5826"/>
      <c r="H5826"/>
    </row>
    <row r="5827" spans="2:8" x14ac:dyDescent="0.35">
      <c r="B5827"/>
      <c r="C5827"/>
      <c r="H5827"/>
    </row>
    <row r="5828" spans="2:8" x14ac:dyDescent="0.35">
      <c r="B5828"/>
      <c r="C5828"/>
      <c r="H5828"/>
    </row>
    <row r="5829" spans="2:8" x14ac:dyDescent="0.35">
      <c r="B5829"/>
      <c r="C5829"/>
      <c r="H5829"/>
    </row>
    <row r="5830" spans="2:8" x14ac:dyDescent="0.35">
      <c r="B5830"/>
      <c r="C5830"/>
      <c r="H5830"/>
    </row>
    <row r="5831" spans="2:8" x14ac:dyDescent="0.35">
      <c r="B5831"/>
      <c r="C5831"/>
      <c r="H5831"/>
    </row>
    <row r="5832" spans="2:8" x14ac:dyDescent="0.35">
      <c r="B5832"/>
      <c r="C5832"/>
      <c r="H5832"/>
    </row>
    <row r="5833" spans="2:8" x14ac:dyDescent="0.35">
      <c r="B5833"/>
      <c r="C5833"/>
      <c r="H5833"/>
    </row>
    <row r="5834" spans="2:8" x14ac:dyDescent="0.35">
      <c r="B5834"/>
      <c r="C5834"/>
      <c r="H5834"/>
    </row>
    <row r="5835" spans="2:8" x14ac:dyDescent="0.35">
      <c r="B5835"/>
      <c r="C5835"/>
      <c r="H5835"/>
    </row>
    <row r="5836" spans="2:8" x14ac:dyDescent="0.35">
      <c r="B5836"/>
      <c r="C5836"/>
      <c r="H5836"/>
    </row>
    <row r="5837" spans="2:8" x14ac:dyDescent="0.35">
      <c r="B5837"/>
      <c r="C5837"/>
      <c r="H5837"/>
    </row>
    <row r="5838" spans="2:8" x14ac:dyDescent="0.35">
      <c r="B5838"/>
      <c r="C5838"/>
      <c r="H5838"/>
    </row>
    <row r="5839" spans="2:8" x14ac:dyDescent="0.35">
      <c r="B5839"/>
      <c r="C5839"/>
      <c r="H5839"/>
    </row>
    <row r="5840" spans="2:8" x14ac:dyDescent="0.35">
      <c r="B5840"/>
      <c r="C5840"/>
      <c r="H5840"/>
    </row>
    <row r="5841" spans="2:8" x14ac:dyDescent="0.35">
      <c r="B5841"/>
      <c r="C5841"/>
      <c r="H5841"/>
    </row>
    <row r="5842" spans="2:8" x14ac:dyDescent="0.35">
      <c r="B5842"/>
      <c r="C5842"/>
      <c r="H5842"/>
    </row>
    <row r="5843" spans="2:8" x14ac:dyDescent="0.35">
      <c r="B5843"/>
      <c r="C5843"/>
      <c r="H5843"/>
    </row>
    <row r="5844" spans="2:8" x14ac:dyDescent="0.35">
      <c r="B5844"/>
      <c r="C5844"/>
      <c r="H5844"/>
    </row>
    <row r="5845" spans="2:8" x14ac:dyDescent="0.35">
      <c r="B5845"/>
      <c r="C5845"/>
      <c r="H5845"/>
    </row>
    <row r="5846" spans="2:8" x14ac:dyDescent="0.35">
      <c r="B5846"/>
      <c r="C5846"/>
      <c r="H5846"/>
    </row>
    <row r="5847" spans="2:8" x14ac:dyDescent="0.35">
      <c r="B5847"/>
      <c r="C5847"/>
      <c r="H5847"/>
    </row>
    <row r="5848" spans="2:8" x14ac:dyDescent="0.35">
      <c r="B5848"/>
      <c r="C5848"/>
      <c r="H5848"/>
    </row>
    <row r="5849" spans="2:8" x14ac:dyDescent="0.35">
      <c r="B5849"/>
      <c r="C5849"/>
      <c r="H5849"/>
    </row>
    <row r="5850" spans="2:8" x14ac:dyDescent="0.35">
      <c r="B5850"/>
      <c r="C5850"/>
      <c r="H5850"/>
    </row>
    <row r="5851" spans="2:8" x14ac:dyDescent="0.35">
      <c r="B5851"/>
      <c r="C5851"/>
      <c r="H5851"/>
    </row>
    <row r="5852" spans="2:8" x14ac:dyDescent="0.35">
      <c r="B5852"/>
      <c r="C5852"/>
      <c r="H5852"/>
    </row>
    <row r="5853" spans="2:8" x14ac:dyDescent="0.35">
      <c r="B5853"/>
      <c r="C5853"/>
      <c r="H5853"/>
    </row>
    <row r="5854" spans="2:8" x14ac:dyDescent="0.35">
      <c r="B5854"/>
      <c r="C5854"/>
      <c r="H5854"/>
    </row>
    <row r="5855" spans="2:8" x14ac:dyDescent="0.35">
      <c r="B5855"/>
      <c r="C5855"/>
      <c r="H5855"/>
    </row>
    <row r="5856" spans="2:8" x14ac:dyDescent="0.35">
      <c r="B5856"/>
      <c r="C5856"/>
      <c r="H5856"/>
    </row>
    <row r="5857" spans="2:8" x14ac:dyDescent="0.35">
      <c r="B5857"/>
      <c r="C5857"/>
      <c r="H5857"/>
    </row>
    <row r="5858" spans="2:8" x14ac:dyDescent="0.35">
      <c r="B5858"/>
      <c r="C5858"/>
      <c r="H5858"/>
    </row>
    <row r="5859" spans="2:8" x14ac:dyDescent="0.35">
      <c r="B5859"/>
      <c r="C5859"/>
      <c r="H5859"/>
    </row>
    <row r="5860" spans="2:8" x14ac:dyDescent="0.35">
      <c r="B5860"/>
      <c r="C5860"/>
      <c r="H5860"/>
    </row>
    <row r="5861" spans="2:8" x14ac:dyDescent="0.35">
      <c r="B5861"/>
      <c r="C5861"/>
      <c r="H5861"/>
    </row>
    <row r="5862" spans="2:8" x14ac:dyDescent="0.35">
      <c r="B5862"/>
      <c r="C5862"/>
      <c r="H5862"/>
    </row>
    <row r="5863" spans="2:8" x14ac:dyDescent="0.35">
      <c r="B5863"/>
      <c r="C5863"/>
      <c r="H5863"/>
    </row>
    <row r="5864" spans="2:8" x14ac:dyDescent="0.35">
      <c r="B5864"/>
      <c r="C5864"/>
      <c r="H5864"/>
    </row>
    <row r="5865" spans="2:8" x14ac:dyDescent="0.35">
      <c r="B5865"/>
      <c r="C5865"/>
      <c r="H5865"/>
    </row>
    <row r="5866" spans="2:8" x14ac:dyDescent="0.35">
      <c r="B5866"/>
      <c r="C5866"/>
      <c r="H5866"/>
    </row>
    <row r="5867" spans="2:8" x14ac:dyDescent="0.35">
      <c r="B5867"/>
      <c r="C5867"/>
      <c r="H5867"/>
    </row>
    <row r="5868" spans="2:8" x14ac:dyDescent="0.35">
      <c r="B5868"/>
      <c r="C5868"/>
      <c r="H5868"/>
    </row>
    <row r="5869" spans="2:8" x14ac:dyDescent="0.35">
      <c r="B5869"/>
      <c r="C5869"/>
      <c r="H5869"/>
    </row>
    <row r="5870" spans="2:8" x14ac:dyDescent="0.35">
      <c r="B5870"/>
      <c r="C5870"/>
      <c r="H5870"/>
    </row>
    <row r="5871" spans="2:8" x14ac:dyDescent="0.35">
      <c r="B5871"/>
      <c r="C5871"/>
      <c r="H5871"/>
    </row>
    <row r="5872" spans="2:8" x14ac:dyDescent="0.35">
      <c r="B5872"/>
      <c r="C5872"/>
      <c r="H5872"/>
    </row>
    <row r="5873" spans="2:8" x14ac:dyDescent="0.35">
      <c r="B5873"/>
      <c r="C5873"/>
      <c r="H5873"/>
    </row>
    <row r="5874" spans="2:8" x14ac:dyDescent="0.35">
      <c r="B5874"/>
      <c r="C5874"/>
      <c r="H5874"/>
    </row>
    <row r="5875" spans="2:8" x14ac:dyDescent="0.35">
      <c r="B5875"/>
      <c r="C5875"/>
      <c r="H5875"/>
    </row>
    <row r="5876" spans="2:8" x14ac:dyDescent="0.35">
      <c r="B5876"/>
      <c r="C5876"/>
      <c r="H5876"/>
    </row>
    <row r="5877" spans="2:8" x14ac:dyDescent="0.35">
      <c r="B5877"/>
      <c r="C5877"/>
      <c r="H5877"/>
    </row>
    <row r="5878" spans="2:8" x14ac:dyDescent="0.35">
      <c r="B5878"/>
      <c r="C5878"/>
      <c r="H5878"/>
    </row>
    <row r="5879" spans="2:8" x14ac:dyDescent="0.35">
      <c r="B5879"/>
      <c r="C5879"/>
      <c r="H5879"/>
    </row>
    <row r="5880" spans="2:8" x14ac:dyDescent="0.35">
      <c r="B5880"/>
      <c r="C5880"/>
      <c r="H5880"/>
    </row>
    <row r="5881" spans="2:8" x14ac:dyDescent="0.35">
      <c r="B5881"/>
      <c r="C5881"/>
      <c r="H5881"/>
    </row>
    <row r="5882" spans="2:8" x14ac:dyDescent="0.35">
      <c r="B5882"/>
      <c r="C5882"/>
      <c r="H5882"/>
    </row>
    <row r="5883" spans="2:8" x14ac:dyDescent="0.35">
      <c r="B5883"/>
      <c r="C5883"/>
      <c r="H5883"/>
    </row>
    <row r="5884" spans="2:8" x14ac:dyDescent="0.35">
      <c r="B5884"/>
      <c r="C5884"/>
      <c r="H5884"/>
    </row>
    <row r="5885" spans="2:8" x14ac:dyDescent="0.35">
      <c r="B5885"/>
      <c r="C5885"/>
      <c r="H5885"/>
    </row>
    <row r="5886" spans="2:8" x14ac:dyDescent="0.35">
      <c r="B5886"/>
      <c r="C5886"/>
      <c r="H5886"/>
    </row>
    <row r="5887" spans="2:8" x14ac:dyDescent="0.35">
      <c r="B5887"/>
      <c r="C5887"/>
      <c r="H5887"/>
    </row>
    <row r="5888" spans="2:8" x14ac:dyDescent="0.35">
      <c r="B5888"/>
      <c r="C5888"/>
      <c r="H5888"/>
    </row>
    <row r="5889" spans="2:8" x14ac:dyDescent="0.35">
      <c r="B5889"/>
      <c r="C5889"/>
      <c r="H5889"/>
    </row>
    <row r="5890" spans="2:8" x14ac:dyDescent="0.35">
      <c r="B5890"/>
      <c r="C5890"/>
      <c r="H5890"/>
    </row>
    <row r="5891" spans="2:8" x14ac:dyDescent="0.35">
      <c r="B5891"/>
      <c r="C5891"/>
      <c r="H5891"/>
    </row>
    <row r="5892" spans="2:8" x14ac:dyDescent="0.35">
      <c r="B5892"/>
      <c r="C5892"/>
      <c r="H5892"/>
    </row>
    <row r="5893" spans="2:8" x14ac:dyDescent="0.35">
      <c r="B5893"/>
      <c r="C5893"/>
      <c r="H5893"/>
    </row>
    <row r="5894" spans="2:8" x14ac:dyDescent="0.35">
      <c r="B5894"/>
      <c r="C5894"/>
      <c r="H5894"/>
    </row>
    <row r="5895" spans="2:8" x14ac:dyDescent="0.35">
      <c r="B5895"/>
      <c r="C5895"/>
      <c r="H5895"/>
    </row>
    <row r="5896" spans="2:8" x14ac:dyDescent="0.35">
      <c r="B5896"/>
      <c r="C5896"/>
      <c r="H5896"/>
    </row>
    <row r="5897" spans="2:8" x14ac:dyDescent="0.35">
      <c r="B5897"/>
      <c r="C5897"/>
      <c r="H5897"/>
    </row>
    <row r="5898" spans="2:8" x14ac:dyDescent="0.35">
      <c r="B5898"/>
      <c r="C5898"/>
      <c r="H5898"/>
    </row>
    <row r="5899" spans="2:8" x14ac:dyDescent="0.35">
      <c r="B5899"/>
      <c r="C5899"/>
      <c r="H5899"/>
    </row>
    <row r="5900" spans="2:8" x14ac:dyDescent="0.35">
      <c r="B5900"/>
      <c r="C5900"/>
      <c r="H5900"/>
    </row>
    <row r="5901" spans="2:8" x14ac:dyDescent="0.35">
      <c r="B5901"/>
      <c r="C5901"/>
      <c r="H5901"/>
    </row>
    <row r="5902" spans="2:8" x14ac:dyDescent="0.35">
      <c r="B5902"/>
      <c r="C5902"/>
      <c r="H5902"/>
    </row>
    <row r="5903" spans="2:8" x14ac:dyDescent="0.35">
      <c r="B5903"/>
      <c r="C5903"/>
      <c r="H5903"/>
    </row>
    <row r="5904" spans="2:8" x14ac:dyDescent="0.35">
      <c r="B5904"/>
      <c r="C5904"/>
      <c r="H5904"/>
    </row>
    <row r="5905" spans="2:8" x14ac:dyDescent="0.35">
      <c r="B5905"/>
      <c r="C5905"/>
      <c r="H5905"/>
    </row>
    <row r="5906" spans="2:8" x14ac:dyDescent="0.35">
      <c r="B5906"/>
      <c r="C5906"/>
      <c r="H5906"/>
    </row>
    <row r="5907" spans="2:8" x14ac:dyDescent="0.35">
      <c r="B5907"/>
      <c r="C5907"/>
      <c r="H5907"/>
    </row>
    <row r="5908" spans="2:8" x14ac:dyDescent="0.35">
      <c r="B5908"/>
      <c r="C5908"/>
      <c r="H5908"/>
    </row>
    <row r="5909" spans="2:8" x14ac:dyDescent="0.35">
      <c r="B5909"/>
      <c r="C5909"/>
      <c r="H5909"/>
    </row>
    <row r="5910" spans="2:8" x14ac:dyDescent="0.35">
      <c r="B5910"/>
      <c r="C5910"/>
      <c r="H5910"/>
    </row>
    <row r="5911" spans="2:8" x14ac:dyDescent="0.35">
      <c r="B5911"/>
      <c r="C5911"/>
      <c r="H5911"/>
    </row>
    <row r="5912" spans="2:8" x14ac:dyDescent="0.35">
      <c r="B5912"/>
      <c r="C5912"/>
      <c r="H5912"/>
    </row>
    <row r="5913" spans="2:8" x14ac:dyDescent="0.35">
      <c r="B5913"/>
      <c r="C5913"/>
      <c r="H5913"/>
    </row>
    <row r="5914" spans="2:8" x14ac:dyDescent="0.35">
      <c r="B5914"/>
      <c r="C5914"/>
      <c r="H5914"/>
    </row>
    <row r="5915" spans="2:8" x14ac:dyDescent="0.35">
      <c r="B5915"/>
      <c r="C5915"/>
      <c r="H5915"/>
    </row>
    <row r="5916" spans="2:8" x14ac:dyDescent="0.35">
      <c r="B5916"/>
      <c r="C5916"/>
      <c r="H5916"/>
    </row>
    <row r="5917" spans="2:8" x14ac:dyDescent="0.35">
      <c r="B5917"/>
      <c r="C5917"/>
      <c r="H5917"/>
    </row>
    <row r="5918" spans="2:8" x14ac:dyDescent="0.35">
      <c r="B5918"/>
      <c r="C5918"/>
      <c r="H5918"/>
    </row>
    <row r="5919" spans="2:8" x14ac:dyDescent="0.35">
      <c r="B5919"/>
      <c r="C5919"/>
      <c r="H5919"/>
    </row>
    <row r="5920" spans="2:8" x14ac:dyDescent="0.35">
      <c r="B5920"/>
      <c r="C5920"/>
      <c r="H5920"/>
    </row>
    <row r="5921" spans="2:8" x14ac:dyDescent="0.35">
      <c r="B5921"/>
      <c r="C5921"/>
      <c r="H5921"/>
    </row>
    <row r="5922" spans="2:8" x14ac:dyDescent="0.35">
      <c r="B5922"/>
      <c r="C5922"/>
      <c r="H5922"/>
    </row>
    <row r="5923" spans="2:8" x14ac:dyDescent="0.35">
      <c r="B5923"/>
      <c r="C5923"/>
      <c r="H5923"/>
    </row>
    <row r="5924" spans="2:8" x14ac:dyDescent="0.35">
      <c r="B5924"/>
      <c r="C5924"/>
      <c r="H5924"/>
    </row>
    <row r="5925" spans="2:8" x14ac:dyDescent="0.35">
      <c r="B5925"/>
      <c r="C5925"/>
      <c r="H5925"/>
    </row>
    <row r="5926" spans="2:8" x14ac:dyDescent="0.35">
      <c r="B5926"/>
      <c r="C5926"/>
      <c r="H5926"/>
    </row>
    <row r="5927" spans="2:8" x14ac:dyDescent="0.35">
      <c r="B5927"/>
      <c r="C5927"/>
      <c r="H5927"/>
    </row>
    <row r="5928" spans="2:8" x14ac:dyDescent="0.35">
      <c r="B5928"/>
      <c r="C5928"/>
      <c r="H5928"/>
    </row>
    <row r="5929" spans="2:8" x14ac:dyDescent="0.35">
      <c r="B5929"/>
      <c r="C5929"/>
      <c r="H5929"/>
    </row>
    <row r="5930" spans="2:8" x14ac:dyDescent="0.35">
      <c r="B5930"/>
      <c r="C5930"/>
      <c r="H5930"/>
    </row>
    <row r="5931" spans="2:8" x14ac:dyDescent="0.35">
      <c r="B5931"/>
      <c r="C5931"/>
      <c r="H5931"/>
    </row>
    <row r="5932" spans="2:8" x14ac:dyDescent="0.35">
      <c r="B5932"/>
      <c r="C5932"/>
      <c r="H5932"/>
    </row>
    <row r="5933" spans="2:8" x14ac:dyDescent="0.35">
      <c r="B5933"/>
      <c r="C5933"/>
      <c r="H5933"/>
    </row>
    <row r="5934" spans="2:8" x14ac:dyDescent="0.35">
      <c r="B5934"/>
      <c r="C5934"/>
      <c r="H5934"/>
    </row>
    <row r="5935" spans="2:8" x14ac:dyDescent="0.35">
      <c r="B5935"/>
      <c r="C5935"/>
      <c r="H5935"/>
    </row>
    <row r="5936" spans="2:8" x14ac:dyDescent="0.35">
      <c r="B5936"/>
      <c r="C5936"/>
      <c r="H5936"/>
    </row>
    <row r="5937" spans="2:8" x14ac:dyDescent="0.35">
      <c r="B5937"/>
      <c r="C5937"/>
      <c r="H5937"/>
    </row>
    <row r="5938" spans="2:8" x14ac:dyDescent="0.35">
      <c r="B5938"/>
      <c r="C5938"/>
      <c r="H5938"/>
    </row>
    <row r="5939" spans="2:8" x14ac:dyDescent="0.35">
      <c r="B5939"/>
      <c r="C5939"/>
      <c r="H5939"/>
    </row>
    <row r="5940" spans="2:8" x14ac:dyDescent="0.35">
      <c r="B5940"/>
      <c r="C5940"/>
      <c r="H5940"/>
    </row>
    <row r="5941" spans="2:8" x14ac:dyDescent="0.35">
      <c r="B5941"/>
      <c r="C5941"/>
      <c r="H5941"/>
    </row>
    <row r="5942" spans="2:8" x14ac:dyDescent="0.35">
      <c r="B5942"/>
      <c r="C5942"/>
      <c r="H5942"/>
    </row>
    <row r="5943" spans="2:8" x14ac:dyDescent="0.35">
      <c r="B5943"/>
      <c r="C5943"/>
      <c r="H5943"/>
    </row>
    <row r="5944" spans="2:8" x14ac:dyDescent="0.35">
      <c r="B5944"/>
      <c r="C5944"/>
      <c r="H5944"/>
    </row>
    <row r="5945" spans="2:8" x14ac:dyDescent="0.35">
      <c r="B5945"/>
      <c r="C5945"/>
      <c r="H5945"/>
    </row>
    <row r="5946" spans="2:8" x14ac:dyDescent="0.35">
      <c r="B5946"/>
      <c r="C5946"/>
      <c r="H5946"/>
    </row>
    <row r="5947" spans="2:8" x14ac:dyDescent="0.35">
      <c r="B5947"/>
      <c r="C5947"/>
      <c r="H5947"/>
    </row>
    <row r="5948" spans="2:8" x14ac:dyDescent="0.35">
      <c r="B5948"/>
      <c r="C5948"/>
      <c r="H5948"/>
    </row>
    <row r="5949" spans="2:8" x14ac:dyDescent="0.35">
      <c r="B5949"/>
      <c r="C5949"/>
      <c r="H5949"/>
    </row>
    <row r="5950" spans="2:8" x14ac:dyDescent="0.35">
      <c r="B5950"/>
      <c r="C5950"/>
      <c r="H5950"/>
    </row>
    <row r="5951" spans="2:8" x14ac:dyDescent="0.35">
      <c r="B5951"/>
      <c r="C5951"/>
      <c r="H5951"/>
    </row>
    <row r="5952" spans="2:8" x14ac:dyDescent="0.35">
      <c r="B5952"/>
      <c r="C5952"/>
      <c r="H5952"/>
    </row>
    <row r="5953" spans="2:8" x14ac:dyDescent="0.35">
      <c r="B5953"/>
      <c r="C5953"/>
      <c r="H5953"/>
    </row>
    <row r="5954" spans="2:8" x14ac:dyDescent="0.35">
      <c r="B5954"/>
      <c r="C5954"/>
      <c r="H5954"/>
    </row>
    <row r="5955" spans="2:8" x14ac:dyDescent="0.35">
      <c r="B5955"/>
      <c r="C5955"/>
      <c r="H5955"/>
    </row>
    <row r="5956" spans="2:8" x14ac:dyDescent="0.35">
      <c r="B5956"/>
      <c r="C5956"/>
      <c r="H5956"/>
    </row>
    <row r="5957" spans="2:8" x14ac:dyDescent="0.35">
      <c r="B5957"/>
      <c r="C5957"/>
      <c r="H5957"/>
    </row>
    <row r="5958" spans="2:8" x14ac:dyDescent="0.35">
      <c r="B5958"/>
      <c r="C5958"/>
      <c r="H5958"/>
    </row>
    <row r="5959" spans="2:8" x14ac:dyDescent="0.35">
      <c r="B5959"/>
      <c r="C5959"/>
      <c r="H5959"/>
    </row>
    <row r="5960" spans="2:8" x14ac:dyDescent="0.35">
      <c r="B5960"/>
      <c r="C5960"/>
      <c r="H5960"/>
    </row>
    <row r="5961" spans="2:8" x14ac:dyDescent="0.35">
      <c r="B5961"/>
      <c r="C5961"/>
      <c r="H5961"/>
    </row>
    <row r="5962" spans="2:8" x14ac:dyDescent="0.35">
      <c r="B5962"/>
      <c r="C5962"/>
      <c r="H5962"/>
    </row>
    <row r="5963" spans="2:8" x14ac:dyDescent="0.35">
      <c r="B5963"/>
      <c r="C5963"/>
      <c r="H5963"/>
    </row>
    <row r="5964" spans="2:8" x14ac:dyDescent="0.35">
      <c r="B5964"/>
      <c r="C5964"/>
      <c r="H5964"/>
    </row>
    <row r="5965" spans="2:8" x14ac:dyDescent="0.35">
      <c r="B5965"/>
      <c r="C5965"/>
      <c r="H5965"/>
    </row>
    <row r="5966" spans="2:8" x14ac:dyDescent="0.35">
      <c r="B5966"/>
      <c r="C5966"/>
      <c r="H5966"/>
    </row>
    <row r="5967" spans="2:8" x14ac:dyDescent="0.35">
      <c r="B5967"/>
      <c r="C5967"/>
      <c r="H5967"/>
    </row>
    <row r="5968" spans="2:8" x14ac:dyDescent="0.35">
      <c r="B5968"/>
      <c r="C5968"/>
      <c r="H5968"/>
    </row>
    <row r="5969" spans="2:8" x14ac:dyDescent="0.35">
      <c r="B5969"/>
      <c r="C5969"/>
      <c r="H5969"/>
    </row>
    <row r="5970" spans="2:8" x14ac:dyDescent="0.35">
      <c r="B5970"/>
      <c r="C5970"/>
      <c r="H5970"/>
    </row>
    <row r="5971" spans="2:8" x14ac:dyDescent="0.35">
      <c r="B5971"/>
      <c r="C5971"/>
      <c r="H5971"/>
    </row>
    <row r="5972" spans="2:8" x14ac:dyDescent="0.35">
      <c r="B5972"/>
      <c r="C5972"/>
      <c r="H5972"/>
    </row>
    <row r="5973" spans="2:8" x14ac:dyDescent="0.35">
      <c r="B5973"/>
      <c r="C5973"/>
      <c r="H5973"/>
    </row>
    <row r="5974" spans="2:8" x14ac:dyDescent="0.35">
      <c r="B5974"/>
      <c r="C5974"/>
      <c r="H5974"/>
    </row>
    <row r="5975" spans="2:8" x14ac:dyDescent="0.35">
      <c r="B5975"/>
      <c r="C5975"/>
      <c r="H5975"/>
    </row>
    <row r="5976" spans="2:8" x14ac:dyDescent="0.35">
      <c r="B5976"/>
      <c r="C5976"/>
      <c r="H5976"/>
    </row>
    <row r="5977" spans="2:8" x14ac:dyDescent="0.35">
      <c r="B5977"/>
      <c r="C5977"/>
      <c r="H5977"/>
    </row>
    <row r="5978" spans="2:8" x14ac:dyDescent="0.35">
      <c r="B5978"/>
      <c r="C5978"/>
      <c r="H5978"/>
    </row>
    <row r="5979" spans="2:8" x14ac:dyDescent="0.35">
      <c r="B5979"/>
      <c r="C5979"/>
      <c r="H5979"/>
    </row>
    <row r="5980" spans="2:8" x14ac:dyDescent="0.35">
      <c r="B5980"/>
      <c r="C5980"/>
      <c r="H5980"/>
    </row>
    <row r="5981" spans="2:8" x14ac:dyDescent="0.35">
      <c r="B5981"/>
      <c r="C5981"/>
      <c r="H5981"/>
    </row>
    <row r="5982" spans="2:8" x14ac:dyDescent="0.35">
      <c r="B5982"/>
      <c r="C5982"/>
      <c r="H5982"/>
    </row>
    <row r="5983" spans="2:8" x14ac:dyDescent="0.35">
      <c r="B5983"/>
      <c r="C5983"/>
      <c r="H5983"/>
    </row>
    <row r="5984" spans="2:8" x14ac:dyDescent="0.35">
      <c r="B5984"/>
      <c r="C5984"/>
      <c r="H5984"/>
    </row>
    <row r="5985" spans="2:8" x14ac:dyDescent="0.35">
      <c r="B5985"/>
      <c r="C5985"/>
      <c r="H5985"/>
    </row>
    <row r="5986" spans="2:8" x14ac:dyDescent="0.35">
      <c r="B5986"/>
      <c r="C5986"/>
      <c r="H5986"/>
    </row>
    <row r="5987" spans="2:8" x14ac:dyDescent="0.35">
      <c r="B5987"/>
      <c r="C5987"/>
      <c r="H5987"/>
    </row>
    <row r="5988" spans="2:8" x14ac:dyDescent="0.35">
      <c r="B5988"/>
      <c r="C5988"/>
      <c r="H5988"/>
    </row>
    <row r="5989" spans="2:8" x14ac:dyDescent="0.35">
      <c r="B5989"/>
      <c r="C5989"/>
      <c r="H5989"/>
    </row>
    <row r="5990" spans="2:8" x14ac:dyDescent="0.35">
      <c r="B5990"/>
      <c r="C5990"/>
      <c r="H5990"/>
    </row>
    <row r="5991" spans="2:8" x14ac:dyDescent="0.35">
      <c r="B5991"/>
      <c r="C5991"/>
      <c r="H5991"/>
    </row>
    <row r="5992" spans="2:8" x14ac:dyDescent="0.35">
      <c r="B5992"/>
      <c r="C5992"/>
      <c r="H5992"/>
    </row>
    <row r="5993" spans="2:8" x14ac:dyDescent="0.35">
      <c r="B5993"/>
      <c r="C5993"/>
      <c r="H5993"/>
    </row>
    <row r="5994" spans="2:8" x14ac:dyDescent="0.35">
      <c r="B5994"/>
      <c r="C5994"/>
      <c r="H5994"/>
    </row>
    <row r="5995" spans="2:8" x14ac:dyDescent="0.35">
      <c r="B5995"/>
      <c r="C5995"/>
      <c r="H5995"/>
    </row>
    <row r="5996" spans="2:8" x14ac:dyDescent="0.35">
      <c r="B5996"/>
      <c r="C5996"/>
      <c r="H5996"/>
    </row>
    <row r="5997" spans="2:8" x14ac:dyDescent="0.35">
      <c r="B5997"/>
      <c r="C5997"/>
      <c r="H5997"/>
    </row>
    <row r="5998" spans="2:8" x14ac:dyDescent="0.35">
      <c r="B5998"/>
      <c r="C5998"/>
      <c r="H5998"/>
    </row>
    <row r="5999" spans="2:8" x14ac:dyDescent="0.35">
      <c r="B5999"/>
      <c r="C5999"/>
      <c r="H5999"/>
    </row>
    <row r="6000" spans="2:8" x14ac:dyDescent="0.35">
      <c r="B6000"/>
      <c r="C6000"/>
      <c r="H6000"/>
    </row>
    <row r="6001" spans="2:8" x14ac:dyDescent="0.35">
      <c r="B6001"/>
      <c r="C6001"/>
      <c r="H6001"/>
    </row>
    <row r="6002" spans="2:8" x14ac:dyDescent="0.35">
      <c r="B6002"/>
      <c r="C6002"/>
      <c r="H6002"/>
    </row>
    <row r="6003" spans="2:8" x14ac:dyDescent="0.35">
      <c r="B6003"/>
      <c r="C6003"/>
      <c r="H6003"/>
    </row>
    <row r="6004" spans="2:8" x14ac:dyDescent="0.35">
      <c r="B6004"/>
      <c r="C6004"/>
      <c r="H6004"/>
    </row>
    <row r="6005" spans="2:8" x14ac:dyDescent="0.35">
      <c r="B6005"/>
      <c r="C6005"/>
      <c r="H6005"/>
    </row>
    <row r="6006" spans="2:8" x14ac:dyDescent="0.35">
      <c r="B6006"/>
      <c r="C6006"/>
      <c r="H6006"/>
    </row>
    <row r="6007" spans="2:8" x14ac:dyDescent="0.35">
      <c r="B6007"/>
      <c r="C6007"/>
      <c r="H6007"/>
    </row>
    <row r="6008" spans="2:8" x14ac:dyDescent="0.35">
      <c r="B6008"/>
      <c r="C6008"/>
      <c r="H6008"/>
    </row>
    <row r="6009" spans="2:8" x14ac:dyDescent="0.35">
      <c r="B6009"/>
      <c r="C6009"/>
      <c r="H6009"/>
    </row>
    <row r="6010" spans="2:8" x14ac:dyDescent="0.35">
      <c r="B6010"/>
      <c r="C6010"/>
      <c r="H6010"/>
    </row>
    <row r="6011" spans="2:8" x14ac:dyDescent="0.35">
      <c r="B6011"/>
      <c r="C6011"/>
      <c r="H6011"/>
    </row>
    <row r="6012" spans="2:8" x14ac:dyDescent="0.35">
      <c r="B6012"/>
      <c r="C6012"/>
      <c r="H6012"/>
    </row>
    <row r="6013" spans="2:8" x14ac:dyDescent="0.35">
      <c r="B6013"/>
      <c r="C6013"/>
      <c r="H6013"/>
    </row>
    <row r="6014" spans="2:8" x14ac:dyDescent="0.35">
      <c r="B6014"/>
      <c r="C6014"/>
      <c r="H6014"/>
    </row>
    <row r="6015" spans="2:8" x14ac:dyDescent="0.35">
      <c r="B6015"/>
      <c r="C6015"/>
      <c r="H6015"/>
    </row>
    <row r="6016" spans="2:8" x14ac:dyDescent="0.35">
      <c r="B6016"/>
      <c r="C6016"/>
      <c r="H6016"/>
    </row>
    <row r="6017" spans="2:8" x14ac:dyDescent="0.35">
      <c r="B6017"/>
      <c r="C6017"/>
      <c r="H6017"/>
    </row>
    <row r="6018" spans="2:8" x14ac:dyDescent="0.35">
      <c r="B6018"/>
      <c r="C6018"/>
      <c r="H6018"/>
    </row>
    <row r="6019" spans="2:8" x14ac:dyDescent="0.35">
      <c r="B6019"/>
      <c r="C6019"/>
      <c r="H6019"/>
    </row>
    <row r="6020" spans="2:8" x14ac:dyDescent="0.35">
      <c r="B6020"/>
      <c r="C6020"/>
      <c r="H6020"/>
    </row>
    <row r="6021" spans="2:8" x14ac:dyDescent="0.35">
      <c r="B6021"/>
      <c r="C6021"/>
      <c r="H6021"/>
    </row>
    <row r="6022" spans="2:8" x14ac:dyDescent="0.35">
      <c r="B6022"/>
      <c r="C6022"/>
      <c r="H6022"/>
    </row>
    <row r="6023" spans="2:8" x14ac:dyDescent="0.35">
      <c r="B6023"/>
      <c r="C6023"/>
      <c r="H6023"/>
    </row>
    <row r="6024" spans="2:8" x14ac:dyDescent="0.35">
      <c r="B6024"/>
      <c r="C6024"/>
      <c r="H6024"/>
    </row>
    <row r="6025" spans="2:8" x14ac:dyDescent="0.35">
      <c r="B6025"/>
      <c r="C6025"/>
      <c r="H6025"/>
    </row>
    <row r="6026" spans="2:8" x14ac:dyDescent="0.35">
      <c r="B6026"/>
      <c r="C6026"/>
      <c r="H6026"/>
    </row>
    <row r="6027" spans="2:8" x14ac:dyDescent="0.35">
      <c r="B6027"/>
      <c r="C6027"/>
      <c r="H6027"/>
    </row>
    <row r="6028" spans="2:8" x14ac:dyDescent="0.35">
      <c r="B6028"/>
      <c r="C6028"/>
      <c r="H6028"/>
    </row>
    <row r="6029" spans="2:8" x14ac:dyDescent="0.35">
      <c r="B6029"/>
      <c r="C6029"/>
      <c r="H6029"/>
    </row>
    <row r="6030" spans="2:8" x14ac:dyDescent="0.35">
      <c r="B6030"/>
      <c r="C6030"/>
      <c r="H6030"/>
    </row>
    <row r="6031" spans="2:8" x14ac:dyDescent="0.35">
      <c r="B6031"/>
      <c r="C6031"/>
      <c r="H6031"/>
    </row>
    <row r="6032" spans="2:8" x14ac:dyDescent="0.35">
      <c r="B6032"/>
      <c r="C6032"/>
      <c r="H6032"/>
    </row>
    <row r="6033" spans="2:8" x14ac:dyDescent="0.35">
      <c r="B6033"/>
      <c r="C6033"/>
      <c r="H6033"/>
    </row>
    <row r="6034" spans="2:8" x14ac:dyDescent="0.35">
      <c r="B6034"/>
      <c r="C6034"/>
      <c r="H6034"/>
    </row>
    <row r="6035" spans="2:8" x14ac:dyDescent="0.35">
      <c r="B6035"/>
      <c r="C6035"/>
      <c r="H6035"/>
    </row>
    <row r="6036" spans="2:8" x14ac:dyDescent="0.35">
      <c r="B6036"/>
      <c r="C6036"/>
      <c r="H6036"/>
    </row>
    <row r="6037" spans="2:8" x14ac:dyDescent="0.35">
      <c r="B6037"/>
      <c r="C6037"/>
      <c r="H6037"/>
    </row>
    <row r="6038" spans="2:8" x14ac:dyDescent="0.35">
      <c r="B6038"/>
      <c r="C6038"/>
      <c r="H6038"/>
    </row>
    <row r="6039" spans="2:8" x14ac:dyDescent="0.35">
      <c r="B6039"/>
      <c r="C6039"/>
      <c r="H6039"/>
    </row>
    <row r="6040" spans="2:8" x14ac:dyDescent="0.35">
      <c r="B6040"/>
      <c r="C6040"/>
      <c r="H6040"/>
    </row>
    <row r="6041" spans="2:8" x14ac:dyDescent="0.35">
      <c r="B6041"/>
      <c r="C6041"/>
      <c r="H6041"/>
    </row>
    <row r="6042" spans="2:8" x14ac:dyDescent="0.35">
      <c r="B6042"/>
      <c r="C6042"/>
      <c r="H6042"/>
    </row>
    <row r="6043" spans="2:8" x14ac:dyDescent="0.35">
      <c r="B6043"/>
      <c r="C6043"/>
      <c r="H6043"/>
    </row>
    <row r="6044" spans="2:8" x14ac:dyDescent="0.35">
      <c r="B6044"/>
      <c r="C6044"/>
      <c r="H6044"/>
    </row>
    <row r="6045" spans="2:8" x14ac:dyDescent="0.35">
      <c r="B6045"/>
      <c r="C6045"/>
      <c r="H6045"/>
    </row>
    <row r="6046" spans="2:8" x14ac:dyDescent="0.35">
      <c r="B6046"/>
      <c r="C6046"/>
      <c r="H6046"/>
    </row>
    <row r="6047" spans="2:8" x14ac:dyDescent="0.35">
      <c r="B6047"/>
      <c r="C6047"/>
      <c r="H6047"/>
    </row>
    <row r="6048" spans="2:8" x14ac:dyDescent="0.35">
      <c r="B6048"/>
      <c r="C6048"/>
      <c r="H6048"/>
    </row>
    <row r="6049" spans="2:8" x14ac:dyDescent="0.35">
      <c r="B6049"/>
      <c r="C6049"/>
      <c r="H6049"/>
    </row>
    <row r="6050" spans="2:8" x14ac:dyDescent="0.35">
      <c r="B6050"/>
      <c r="C6050"/>
      <c r="H6050"/>
    </row>
    <row r="6051" spans="2:8" x14ac:dyDescent="0.35">
      <c r="B6051"/>
      <c r="C6051"/>
      <c r="H6051"/>
    </row>
    <row r="6052" spans="2:8" x14ac:dyDescent="0.35">
      <c r="B6052"/>
      <c r="C6052"/>
      <c r="H6052"/>
    </row>
    <row r="6053" spans="2:8" x14ac:dyDescent="0.35">
      <c r="B6053"/>
      <c r="C6053"/>
      <c r="H6053"/>
    </row>
    <row r="6054" spans="2:8" x14ac:dyDescent="0.35">
      <c r="B6054"/>
      <c r="C6054"/>
      <c r="H6054"/>
    </row>
    <row r="6055" spans="2:8" x14ac:dyDescent="0.35">
      <c r="B6055"/>
      <c r="C6055"/>
      <c r="H6055"/>
    </row>
    <row r="6056" spans="2:8" x14ac:dyDescent="0.35">
      <c r="B6056"/>
      <c r="C6056"/>
      <c r="H6056"/>
    </row>
    <row r="6057" spans="2:8" x14ac:dyDescent="0.35">
      <c r="B6057"/>
      <c r="C6057"/>
      <c r="H6057"/>
    </row>
    <row r="6058" spans="2:8" x14ac:dyDescent="0.35">
      <c r="B6058"/>
      <c r="C6058"/>
      <c r="H6058"/>
    </row>
    <row r="6059" spans="2:8" x14ac:dyDescent="0.35">
      <c r="B6059"/>
      <c r="C6059"/>
      <c r="H6059"/>
    </row>
    <row r="6060" spans="2:8" x14ac:dyDescent="0.35">
      <c r="B6060"/>
      <c r="C6060"/>
      <c r="H6060"/>
    </row>
    <row r="6061" spans="2:8" x14ac:dyDescent="0.35">
      <c r="B6061"/>
      <c r="C6061"/>
      <c r="H6061"/>
    </row>
    <row r="6062" spans="2:8" x14ac:dyDescent="0.35">
      <c r="B6062"/>
      <c r="C6062"/>
      <c r="H6062"/>
    </row>
    <row r="6063" spans="2:8" x14ac:dyDescent="0.35">
      <c r="B6063"/>
      <c r="C6063"/>
      <c r="H6063"/>
    </row>
    <row r="6064" spans="2:8" x14ac:dyDescent="0.35">
      <c r="B6064"/>
      <c r="C6064"/>
      <c r="H6064"/>
    </row>
    <row r="6065" spans="2:8" x14ac:dyDescent="0.35">
      <c r="B6065"/>
      <c r="C6065"/>
      <c r="H6065"/>
    </row>
    <row r="6066" spans="2:8" x14ac:dyDescent="0.35">
      <c r="B6066"/>
      <c r="C6066"/>
      <c r="H6066"/>
    </row>
    <row r="6067" spans="2:8" x14ac:dyDescent="0.35">
      <c r="B6067"/>
      <c r="C6067"/>
      <c r="H6067"/>
    </row>
    <row r="6068" spans="2:8" x14ac:dyDescent="0.35">
      <c r="B6068"/>
      <c r="C6068"/>
      <c r="H6068"/>
    </row>
    <row r="6069" spans="2:8" x14ac:dyDescent="0.35">
      <c r="B6069"/>
      <c r="C6069"/>
      <c r="H6069"/>
    </row>
    <row r="6070" spans="2:8" x14ac:dyDescent="0.35">
      <c r="B6070"/>
      <c r="C6070"/>
      <c r="H6070"/>
    </row>
    <row r="6071" spans="2:8" x14ac:dyDescent="0.35">
      <c r="B6071"/>
      <c r="C6071"/>
      <c r="H6071"/>
    </row>
    <row r="6072" spans="2:8" x14ac:dyDescent="0.35">
      <c r="B6072"/>
      <c r="C6072"/>
      <c r="H6072"/>
    </row>
    <row r="6073" spans="2:8" x14ac:dyDescent="0.35">
      <c r="B6073"/>
      <c r="C6073"/>
      <c r="H6073"/>
    </row>
    <row r="6074" spans="2:8" x14ac:dyDescent="0.35">
      <c r="B6074"/>
      <c r="C6074"/>
      <c r="H6074"/>
    </row>
    <row r="6075" spans="2:8" x14ac:dyDescent="0.35">
      <c r="B6075"/>
      <c r="C6075"/>
      <c r="H6075"/>
    </row>
    <row r="6076" spans="2:8" x14ac:dyDescent="0.35">
      <c r="B6076"/>
      <c r="C6076"/>
      <c r="H6076"/>
    </row>
    <row r="6077" spans="2:8" x14ac:dyDescent="0.35">
      <c r="B6077"/>
      <c r="C6077"/>
      <c r="H6077"/>
    </row>
    <row r="6078" spans="2:8" x14ac:dyDescent="0.35">
      <c r="B6078"/>
      <c r="C6078"/>
      <c r="H6078"/>
    </row>
    <row r="6079" spans="2:8" x14ac:dyDescent="0.35">
      <c r="B6079"/>
      <c r="C6079"/>
      <c r="H6079"/>
    </row>
    <row r="6080" spans="2:8" x14ac:dyDescent="0.35">
      <c r="B6080"/>
      <c r="C6080"/>
      <c r="H6080"/>
    </row>
    <row r="6081" spans="2:8" x14ac:dyDescent="0.35">
      <c r="B6081"/>
      <c r="C6081"/>
      <c r="H6081"/>
    </row>
    <row r="6082" spans="2:8" x14ac:dyDescent="0.35">
      <c r="B6082"/>
      <c r="C6082"/>
      <c r="H6082"/>
    </row>
    <row r="6083" spans="2:8" x14ac:dyDescent="0.35">
      <c r="B6083"/>
      <c r="C6083"/>
      <c r="H6083"/>
    </row>
    <row r="6084" spans="2:8" x14ac:dyDescent="0.35">
      <c r="B6084"/>
      <c r="C6084"/>
      <c r="H6084"/>
    </row>
    <row r="6085" spans="2:8" x14ac:dyDescent="0.35">
      <c r="B6085"/>
      <c r="C6085"/>
      <c r="H6085"/>
    </row>
    <row r="6086" spans="2:8" x14ac:dyDescent="0.35">
      <c r="B6086"/>
      <c r="C6086"/>
      <c r="H6086"/>
    </row>
    <row r="6087" spans="2:8" x14ac:dyDescent="0.35">
      <c r="B6087"/>
      <c r="C6087"/>
      <c r="H6087"/>
    </row>
    <row r="6088" spans="2:8" x14ac:dyDescent="0.35">
      <c r="B6088"/>
      <c r="C6088"/>
      <c r="H6088"/>
    </row>
    <row r="6089" spans="2:8" x14ac:dyDescent="0.35">
      <c r="B6089"/>
      <c r="C6089"/>
      <c r="H6089"/>
    </row>
    <row r="6090" spans="2:8" x14ac:dyDescent="0.35">
      <c r="B6090"/>
      <c r="C6090"/>
      <c r="H6090"/>
    </row>
    <row r="6091" spans="2:8" x14ac:dyDescent="0.35">
      <c r="B6091"/>
      <c r="C6091"/>
      <c r="H6091"/>
    </row>
    <row r="6092" spans="2:8" x14ac:dyDescent="0.35">
      <c r="B6092"/>
      <c r="C6092"/>
      <c r="H6092"/>
    </row>
    <row r="6093" spans="2:8" x14ac:dyDescent="0.35">
      <c r="B6093"/>
      <c r="C6093"/>
      <c r="H6093"/>
    </row>
    <row r="6094" spans="2:8" x14ac:dyDescent="0.35">
      <c r="B6094"/>
      <c r="C6094"/>
      <c r="H6094"/>
    </row>
    <row r="6095" spans="2:8" x14ac:dyDescent="0.35">
      <c r="B6095"/>
      <c r="C6095"/>
      <c r="H6095"/>
    </row>
    <row r="6096" spans="2:8" x14ac:dyDescent="0.35">
      <c r="B6096"/>
      <c r="C6096"/>
      <c r="H6096"/>
    </row>
    <row r="6097" spans="2:8" x14ac:dyDescent="0.35">
      <c r="B6097"/>
      <c r="C6097"/>
      <c r="H6097"/>
    </row>
    <row r="6098" spans="2:8" x14ac:dyDescent="0.35">
      <c r="B6098"/>
      <c r="C6098"/>
      <c r="H6098"/>
    </row>
    <row r="6099" spans="2:8" x14ac:dyDescent="0.35">
      <c r="B6099"/>
      <c r="C6099"/>
      <c r="H6099"/>
    </row>
    <row r="6100" spans="2:8" x14ac:dyDescent="0.35">
      <c r="B6100"/>
      <c r="C6100"/>
      <c r="H6100"/>
    </row>
    <row r="6101" spans="2:8" x14ac:dyDescent="0.35">
      <c r="B6101"/>
      <c r="C6101"/>
      <c r="H6101"/>
    </row>
    <row r="6102" spans="2:8" x14ac:dyDescent="0.35">
      <c r="B6102"/>
      <c r="C6102"/>
      <c r="H6102"/>
    </row>
    <row r="6103" spans="2:8" x14ac:dyDescent="0.35">
      <c r="B6103"/>
      <c r="C6103"/>
      <c r="H6103"/>
    </row>
    <row r="6104" spans="2:8" x14ac:dyDescent="0.35">
      <c r="B6104"/>
      <c r="C6104"/>
      <c r="H6104"/>
    </row>
    <row r="6105" spans="2:8" x14ac:dyDescent="0.35">
      <c r="B6105"/>
      <c r="C6105"/>
      <c r="H6105"/>
    </row>
    <row r="6106" spans="2:8" x14ac:dyDescent="0.35">
      <c r="B6106"/>
      <c r="C6106"/>
      <c r="H6106"/>
    </row>
    <row r="6107" spans="2:8" x14ac:dyDescent="0.35">
      <c r="B6107"/>
      <c r="C6107"/>
      <c r="H6107"/>
    </row>
    <row r="6108" spans="2:8" x14ac:dyDescent="0.35">
      <c r="B6108"/>
      <c r="C6108"/>
      <c r="H6108"/>
    </row>
    <row r="6109" spans="2:8" x14ac:dyDescent="0.35">
      <c r="B6109"/>
      <c r="C6109"/>
      <c r="H6109"/>
    </row>
    <row r="6110" spans="2:8" x14ac:dyDescent="0.35">
      <c r="B6110"/>
      <c r="C6110"/>
      <c r="H6110"/>
    </row>
    <row r="6111" spans="2:8" x14ac:dyDescent="0.35">
      <c r="B6111"/>
      <c r="C6111"/>
      <c r="H6111"/>
    </row>
    <row r="6112" spans="2:8" x14ac:dyDescent="0.35">
      <c r="B6112"/>
      <c r="C6112"/>
      <c r="H6112"/>
    </row>
    <row r="6113" spans="2:8" x14ac:dyDescent="0.35">
      <c r="B6113"/>
      <c r="C6113"/>
      <c r="H6113"/>
    </row>
    <row r="6114" spans="2:8" x14ac:dyDescent="0.35">
      <c r="B6114"/>
      <c r="C6114"/>
      <c r="H6114"/>
    </row>
    <row r="6115" spans="2:8" x14ac:dyDescent="0.35">
      <c r="B6115"/>
      <c r="C6115"/>
      <c r="H6115"/>
    </row>
    <row r="6116" spans="2:8" x14ac:dyDescent="0.35">
      <c r="B6116"/>
      <c r="C6116"/>
      <c r="H6116"/>
    </row>
    <row r="6117" spans="2:8" x14ac:dyDescent="0.35">
      <c r="B6117"/>
      <c r="C6117"/>
      <c r="H6117"/>
    </row>
    <row r="6118" spans="2:8" x14ac:dyDescent="0.35">
      <c r="B6118"/>
      <c r="C6118"/>
      <c r="H6118"/>
    </row>
    <row r="6119" spans="2:8" x14ac:dyDescent="0.35">
      <c r="B6119"/>
      <c r="C6119"/>
      <c r="H6119"/>
    </row>
    <row r="6120" spans="2:8" x14ac:dyDescent="0.35">
      <c r="B6120"/>
      <c r="C6120"/>
      <c r="H6120"/>
    </row>
    <row r="6121" spans="2:8" x14ac:dyDescent="0.35">
      <c r="B6121"/>
      <c r="C6121"/>
      <c r="H6121"/>
    </row>
    <row r="6122" spans="2:8" x14ac:dyDescent="0.35">
      <c r="B6122"/>
      <c r="C6122"/>
      <c r="H6122"/>
    </row>
    <row r="6123" spans="2:8" x14ac:dyDescent="0.35">
      <c r="B6123"/>
      <c r="C6123"/>
      <c r="H6123"/>
    </row>
    <row r="6124" spans="2:8" x14ac:dyDescent="0.35">
      <c r="B6124"/>
      <c r="C6124"/>
      <c r="H6124"/>
    </row>
    <row r="6125" spans="2:8" x14ac:dyDescent="0.35">
      <c r="B6125"/>
      <c r="C6125"/>
      <c r="H6125"/>
    </row>
    <row r="6126" spans="2:8" x14ac:dyDescent="0.35">
      <c r="B6126"/>
      <c r="C6126"/>
      <c r="H6126"/>
    </row>
    <row r="6127" spans="2:8" x14ac:dyDescent="0.35">
      <c r="B6127"/>
      <c r="C6127"/>
      <c r="H6127"/>
    </row>
    <row r="6128" spans="2:8" x14ac:dyDescent="0.35">
      <c r="B6128"/>
      <c r="C6128"/>
      <c r="H6128"/>
    </row>
    <row r="6129" spans="2:8" x14ac:dyDescent="0.35">
      <c r="B6129"/>
      <c r="C6129"/>
      <c r="H6129"/>
    </row>
    <row r="6130" spans="2:8" x14ac:dyDescent="0.35">
      <c r="B6130"/>
      <c r="C6130"/>
      <c r="H6130"/>
    </row>
    <row r="6131" spans="2:8" x14ac:dyDescent="0.35">
      <c r="B6131"/>
      <c r="C6131"/>
      <c r="H6131"/>
    </row>
    <row r="6132" spans="2:8" x14ac:dyDescent="0.35">
      <c r="B6132"/>
      <c r="C6132"/>
      <c r="H6132"/>
    </row>
    <row r="6133" spans="2:8" x14ac:dyDescent="0.35">
      <c r="B6133"/>
      <c r="C6133"/>
      <c r="H6133"/>
    </row>
    <row r="6134" spans="2:8" x14ac:dyDescent="0.35">
      <c r="B6134"/>
      <c r="C6134"/>
      <c r="H6134"/>
    </row>
    <row r="6135" spans="2:8" x14ac:dyDescent="0.35">
      <c r="B6135"/>
      <c r="C6135"/>
      <c r="H6135"/>
    </row>
    <row r="6136" spans="2:8" x14ac:dyDescent="0.35">
      <c r="B6136"/>
      <c r="C6136"/>
      <c r="H6136"/>
    </row>
    <row r="6137" spans="2:8" x14ac:dyDescent="0.35">
      <c r="B6137"/>
      <c r="C6137"/>
      <c r="H6137"/>
    </row>
    <row r="6138" spans="2:8" x14ac:dyDescent="0.35">
      <c r="B6138"/>
      <c r="C6138"/>
      <c r="H6138"/>
    </row>
    <row r="6139" spans="2:8" x14ac:dyDescent="0.35">
      <c r="B6139"/>
      <c r="C6139"/>
      <c r="H6139"/>
    </row>
    <row r="6140" spans="2:8" x14ac:dyDescent="0.35">
      <c r="B6140"/>
      <c r="C6140"/>
      <c r="H6140"/>
    </row>
    <row r="6141" spans="2:8" x14ac:dyDescent="0.35">
      <c r="B6141"/>
      <c r="C6141"/>
      <c r="H6141"/>
    </row>
    <row r="6142" spans="2:8" x14ac:dyDescent="0.35">
      <c r="B6142"/>
      <c r="C6142"/>
      <c r="H6142"/>
    </row>
    <row r="6143" spans="2:8" x14ac:dyDescent="0.35">
      <c r="B6143"/>
      <c r="C6143"/>
      <c r="H6143"/>
    </row>
    <row r="6144" spans="2:8" x14ac:dyDescent="0.35">
      <c r="B6144"/>
      <c r="C6144"/>
      <c r="H6144"/>
    </row>
    <row r="6145" spans="2:8" x14ac:dyDescent="0.35">
      <c r="B6145"/>
      <c r="C6145"/>
      <c r="H6145"/>
    </row>
    <row r="6146" spans="2:8" x14ac:dyDescent="0.35">
      <c r="B6146"/>
      <c r="C6146"/>
      <c r="H6146"/>
    </row>
    <row r="6147" spans="2:8" x14ac:dyDescent="0.35">
      <c r="B6147"/>
      <c r="C6147"/>
      <c r="H6147"/>
    </row>
    <row r="6148" spans="2:8" x14ac:dyDescent="0.35">
      <c r="B6148"/>
      <c r="C6148"/>
      <c r="H6148"/>
    </row>
    <row r="6149" spans="2:8" x14ac:dyDescent="0.35">
      <c r="B6149"/>
      <c r="C6149"/>
      <c r="H6149"/>
    </row>
    <row r="6150" spans="2:8" x14ac:dyDescent="0.35">
      <c r="B6150"/>
      <c r="C6150"/>
      <c r="H6150"/>
    </row>
    <row r="6151" spans="2:8" x14ac:dyDescent="0.35">
      <c r="B6151"/>
      <c r="C6151"/>
      <c r="H6151"/>
    </row>
    <row r="6152" spans="2:8" x14ac:dyDescent="0.35">
      <c r="B6152"/>
      <c r="C6152"/>
      <c r="H6152"/>
    </row>
    <row r="6153" spans="2:8" x14ac:dyDescent="0.35">
      <c r="B6153"/>
      <c r="C6153"/>
      <c r="H6153"/>
    </row>
    <row r="6154" spans="2:8" x14ac:dyDescent="0.35">
      <c r="B6154"/>
      <c r="C6154"/>
      <c r="H6154"/>
    </row>
    <row r="6155" spans="2:8" x14ac:dyDescent="0.35">
      <c r="B6155"/>
      <c r="C6155"/>
      <c r="H6155"/>
    </row>
    <row r="6156" spans="2:8" x14ac:dyDescent="0.35">
      <c r="B6156"/>
      <c r="C6156"/>
      <c r="H6156"/>
    </row>
    <row r="6157" spans="2:8" x14ac:dyDescent="0.35">
      <c r="B6157"/>
      <c r="C6157"/>
      <c r="H6157"/>
    </row>
    <row r="6158" spans="2:8" x14ac:dyDescent="0.35">
      <c r="B6158"/>
      <c r="C6158"/>
      <c r="H6158"/>
    </row>
    <row r="6159" spans="2:8" x14ac:dyDescent="0.35">
      <c r="B6159"/>
      <c r="C6159"/>
      <c r="H6159"/>
    </row>
    <row r="6160" spans="2:8" x14ac:dyDescent="0.35">
      <c r="B6160"/>
      <c r="C6160"/>
      <c r="H6160"/>
    </row>
    <row r="6161" spans="2:8" x14ac:dyDescent="0.35">
      <c r="B6161"/>
      <c r="C6161"/>
      <c r="H6161"/>
    </row>
    <row r="6162" spans="2:8" x14ac:dyDescent="0.35">
      <c r="B6162"/>
      <c r="C6162"/>
      <c r="H6162"/>
    </row>
    <row r="6163" spans="2:8" x14ac:dyDescent="0.35">
      <c r="B6163"/>
      <c r="C6163"/>
      <c r="H6163"/>
    </row>
    <row r="6164" spans="2:8" x14ac:dyDescent="0.35">
      <c r="B6164"/>
      <c r="C6164"/>
      <c r="H6164"/>
    </row>
    <row r="6165" spans="2:8" x14ac:dyDescent="0.35">
      <c r="B6165"/>
      <c r="C6165"/>
      <c r="H6165"/>
    </row>
    <row r="6166" spans="2:8" x14ac:dyDescent="0.35">
      <c r="B6166"/>
      <c r="C6166"/>
      <c r="H6166"/>
    </row>
    <row r="6167" spans="2:8" x14ac:dyDescent="0.35">
      <c r="B6167"/>
      <c r="C6167"/>
      <c r="H6167"/>
    </row>
    <row r="6168" spans="2:8" x14ac:dyDescent="0.35">
      <c r="B6168"/>
      <c r="C6168"/>
      <c r="H6168"/>
    </row>
    <row r="6169" spans="2:8" x14ac:dyDescent="0.35">
      <c r="B6169"/>
      <c r="C6169"/>
      <c r="H6169"/>
    </row>
    <row r="6170" spans="2:8" x14ac:dyDescent="0.35">
      <c r="B6170"/>
      <c r="C6170"/>
      <c r="H6170"/>
    </row>
    <row r="6171" spans="2:8" x14ac:dyDescent="0.35">
      <c r="B6171"/>
      <c r="C6171"/>
      <c r="H6171"/>
    </row>
    <row r="6172" spans="2:8" x14ac:dyDescent="0.35">
      <c r="B6172"/>
      <c r="C6172"/>
      <c r="H6172"/>
    </row>
    <row r="6173" spans="2:8" x14ac:dyDescent="0.35">
      <c r="B6173"/>
      <c r="C6173"/>
      <c r="H6173"/>
    </row>
    <row r="6174" spans="2:8" x14ac:dyDescent="0.35">
      <c r="B6174"/>
      <c r="C6174"/>
      <c r="H6174"/>
    </row>
    <row r="6175" spans="2:8" x14ac:dyDescent="0.35">
      <c r="B6175"/>
      <c r="C6175"/>
      <c r="H6175"/>
    </row>
    <row r="6176" spans="2:8" x14ac:dyDescent="0.35">
      <c r="B6176"/>
      <c r="C6176"/>
      <c r="H6176"/>
    </row>
    <row r="6177" spans="2:8" x14ac:dyDescent="0.35">
      <c r="B6177"/>
      <c r="C6177"/>
      <c r="H6177"/>
    </row>
    <row r="6178" spans="2:8" x14ac:dyDescent="0.35">
      <c r="B6178"/>
      <c r="C6178"/>
      <c r="H6178"/>
    </row>
    <row r="6179" spans="2:8" x14ac:dyDescent="0.35">
      <c r="B6179"/>
      <c r="C6179"/>
      <c r="H6179"/>
    </row>
    <row r="6180" spans="2:8" x14ac:dyDescent="0.35">
      <c r="B6180"/>
      <c r="C6180"/>
      <c r="H6180"/>
    </row>
    <row r="6181" spans="2:8" x14ac:dyDescent="0.35">
      <c r="B6181"/>
      <c r="C6181"/>
      <c r="H6181"/>
    </row>
    <row r="6182" spans="2:8" x14ac:dyDescent="0.35">
      <c r="B6182"/>
      <c r="C6182"/>
      <c r="H6182"/>
    </row>
    <row r="6183" spans="2:8" x14ac:dyDescent="0.35">
      <c r="B6183"/>
      <c r="C6183"/>
      <c r="H6183"/>
    </row>
    <row r="6184" spans="2:8" x14ac:dyDescent="0.35">
      <c r="B6184"/>
      <c r="C6184"/>
      <c r="H6184"/>
    </row>
    <row r="6185" spans="2:8" x14ac:dyDescent="0.35">
      <c r="B6185"/>
      <c r="C6185"/>
      <c r="H6185"/>
    </row>
    <row r="6186" spans="2:8" x14ac:dyDescent="0.35">
      <c r="B6186"/>
      <c r="C6186"/>
      <c r="H6186"/>
    </row>
    <row r="6187" spans="2:8" x14ac:dyDescent="0.35">
      <c r="B6187"/>
      <c r="C6187"/>
      <c r="H6187"/>
    </row>
    <row r="6188" spans="2:8" x14ac:dyDescent="0.35">
      <c r="B6188"/>
      <c r="C6188"/>
      <c r="H6188"/>
    </row>
    <row r="6189" spans="2:8" x14ac:dyDescent="0.35">
      <c r="B6189"/>
      <c r="C6189"/>
      <c r="H6189"/>
    </row>
    <row r="6190" spans="2:8" x14ac:dyDescent="0.35">
      <c r="B6190"/>
      <c r="C6190"/>
      <c r="H6190"/>
    </row>
    <row r="6191" spans="2:8" x14ac:dyDescent="0.35">
      <c r="B6191"/>
      <c r="C6191"/>
      <c r="H6191"/>
    </row>
    <row r="6192" spans="2:8" x14ac:dyDescent="0.35">
      <c r="B6192"/>
      <c r="C6192"/>
      <c r="H6192"/>
    </row>
    <row r="6193" spans="2:8" x14ac:dyDescent="0.35">
      <c r="B6193"/>
      <c r="C6193"/>
      <c r="H6193"/>
    </row>
    <row r="6194" spans="2:8" x14ac:dyDescent="0.35">
      <c r="B6194"/>
      <c r="C6194"/>
      <c r="H6194"/>
    </row>
    <row r="6195" spans="2:8" x14ac:dyDescent="0.35">
      <c r="B6195"/>
      <c r="C6195"/>
      <c r="H6195"/>
    </row>
    <row r="6196" spans="2:8" x14ac:dyDescent="0.35">
      <c r="B6196"/>
      <c r="C6196"/>
      <c r="H6196"/>
    </row>
    <row r="6197" spans="2:8" x14ac:dyDescent="0.35">
      <c r="B6197"/>
      <c r="C6197"/>
      <c r="H6197"/>
    </row>
    <row r="6198" spans="2:8" x14ac:dyDescent="0.35">
      <c r="B6198"/>
      <c r="C6198"/>
      <c r="H6198"/>
    </row>
    <row r="6199" spans="2:8" x14ac:dyDescent="0.35">
      <c r="B6199"/>
      <c r="C6199"/>
      <c r="H6199"/>
    </row>
    <row r="6200" spans="2:8" x14ac:dyDescent="0.35">
      <c r="B6200"/>
      <c r="C6200"/>
      <c r="H6200"/>
    </row>
    <row r="6201" spans="2:8" x14ac:dyDescent="0.35">
      <c r="B6201"/>
      <c r="C6201"/>
      <c r="H6201"/>
    </row>
    <row r="6202" spans="2:8" x14ac:dyDescent="0.35">
      <c r="B6202"/>
      <c r="C6202"/>
      <c r="H6202"/>
    </row>
    <row r="6203" spans="2:8" x14ac:dyDescent="0.35">
      <c r="B6203"/>
      <c r="C6203"/>
      <c r="H6203"/>
    </row>
    <row r="6204" spans="2:8" x14ac:dyDescent="0.35">
      <c r="B6204"/>
      <c r="C6204"/>
      <c r="H6204"/>
    </row>
    <row r="6205" spans="2:8" x14ac:dyDescent="0.35">
      <c r="B6205"/>
      <c r="C6205"/>
      <c r="H6205"/>
    </row>
    <row r="6206" spans="2:8" x14ac:dyDescent="0.35">
      <c r="B6206"/>
      <c r="C6206"/>
      <c r="H6206"/>
    </row>
    <row r="6207" spans="2:8" x14ac:dyDescent="0.35">
      <c r="B6207"/>
      <c r="C6207"/>
      <c r="H6207"/>
    </row>
    <row r="6208" spans="2:8" x14ac:dyDescent="0.35">
      <c r="B6208"/>
      <c r="C6208"/>
      <c r="H6208"/>
    </row>
    <row r="6209" spans="2:8" x14ac:dyDescent="0.35">
      <c r="B6209"/>
      <c r="C6209"/>
      <c r="H6209"/>
    </row>
    <row r="6210" spans="2:8" x14ac:dyDescent="0.35">
      <c r="B6210"/>
      <c r="C6210"/>
      <c r="H6210"/>
    </row>
    <row r="6211" spans="2:8" x14ac:dyDescent="0.35">
      <c r="B6211"/>
      <c r="C6211"/>
      <c r="H6211"/>
    </row>
    <row r="6212" spans="2:8" x14ac:dyDescent="0.35">
      <c r="B6212"/>
      <c r="C6212"/>
      <c r="H6212"/>
    </row>
    <row r="6213" spans="2:8" x14ac:dyDescent="0.35">
      <c r="B6213"/>
      <c r="C6213"/>
      <c r="H6213"/>
    </row>
    <row r="6214" spans="2:8" x14ac:dyDescent="0.35">
      <c r="B6214"/>
      <c r="C6214"/>
      <c r="H6214"/>
    </row>
    <row r="6215" spans="2:8" x14ac:dyDescent="0.35">
      <c r="B6215"/>
      <c r="C6215"/>
      <c r="H6215"/>
    </row>
    <row r="6216" spans="2:8" x14ac:dyDescent="0.35">
      <c r="B6216"/>
      <c r="C6216"/>
      <c r="H6216"/>
    </row>
    <row r="6217" spans="2:8" x14ac:dyDescent="0.35">
      <c r="B6217"/>
      <c r="C6217"/>
      <c r="H6217"/>
    </row>
    <row r="6218" spans="2:8" x14ac:dyDescent="0.35">
      <c r="B6218"/>
      <c r="C6218"/>
      <c r="H6218"/>
    </row>
    <row r="6219" spans="2:8" x14ac:dyDescent="0.35">
      <c r="B6219"/>
      <c r="C6219"/>
      <c r="H6219"/>
    </row>
    <row r="6220" spans="2:8" x14ac:dyDescent="0.35">
      <c r="B6220"/>
      <c r="C6220"/>
      <c r="H6220"/>
    </row>
    <row r="6221" spans="2:8" x14ac:dyDescent="0.35">
      <c r="B6221"/>
      <c r="C6221"/>
      <c r="H6221"/>
    </row>
    <row r="6222" spans="2:8" x14ac:dyDescent="0.35">
      <c r="B6222"/>
      <c r="C6222"/>
      <c r="H6222"/>
    </row>
    <row r="6223" spans="2:8" x14ac:dyDescent="0.35">
      <c r="B6223"/>
      <c r="C6223"/>
      <c r="H6223"/>
    </row>
    <row r="6224" spans="2:8" x14ac:dyDescent="0.35">
      <c r="B6224"/>
      <c r="C6224"/>
      <c r="H6224"/>
    </row>
    <row r="6225" spans="2:8" x14ac:dyDescent="0.35">
      <c r="B6225"/>
      <c r="C6225"/>
      <c r="H6225"/>
    </row>
    <row r="6226" spans="2:8" x14ac:dyDescent="0.35">
      <c r="B6226"/>
      <c r="C6226"/>
      <c r="H6226"/>
    </row>
    <row r="6227" spans="2:8" x14ac:dyDescent="0.35">
      <c r="B6227"/>
      <c r="C6227"/>
      <c r="H6227"/>
    </row>
    <row r="6228" spans="2:8" x14ac:dyDescent="0.35">
      <c r="B6228"/>
      <c r="C6228"/>
      <c r="H6228"/>
    </row>
    <row r="6229" spans="2:8" x14ac:dyDescent="0.35">
      <c r="B6229"/>
      <c r="C6229"/>
      <c r="H6229"/>
    </row>
    <row r="6230" spans="2:8" x14ac:dyDescent="0.35">
      <c r="B6230"/>
      <c r="C6230"/>
      <c r="H6230"/>
    </row>
    <row r="6231" spans="2:8" x14ac:dyDescent="0.35">
      <c r="B6231"/>
      <c r="C6231"/>
      <c r="H6231"/>
    </row>
    <row r="6232" spans="2:8" x14ac:dyDescent="0.35">
      <c r="B6232"/>
      <c r="C6232"/>
      <c r="H6232"/>
    </row>
    <row r="6233" spans="2:8" x14ac:dyDescent="0.35">
      <c r="B6233"/>
      <c r="C6233"/>
      <c r="H6233"/>
    </row>
    <row r="6234" spans="2:8" x14ac:dyDescent="0.35">
      <c r="B6234"/>
      <c r="C6234"/>
      <c r="H6234"/>
    </row>
    <row r="6235" spans="2:8" x14ac:dyDescent="0.35">
      <c r="B6235"/>
      <c r="C6235"/>
      <c r="H6235"/>
    </row>
    <row r="6236" spans="2:8" x14ac:dyDescent="0.35">
      <c r="B6236"/>
      <c r="C6236"/>
      <c r="H6236"/>
    </row>
    <row r="6237" spans="2:8" x14ac:dyDescent="0.35">
      <c r="B6237"/>
      <c r="C6237"/>
      <c r="H6237"/>
    </row>
    <row r="6238" spans="2:8" x14ac:dyDescent="0.35">
      <c r="B6238"/>
      <c r="C6238"/>
      <c r="H6238"/>
    </row>
    <row r="6239" spans="2:8" x14ac:dyDescent="0.35">
      <c r="B6239"/>
      <c r="C6239"/>
      <c r="H6239"/>
    </row>
    <row r="6240" spans="2:8" x14ac:dyDescent="0.35">
      <c r="B6240"/>
      <c r="C6240"/>
      <c r="H6240"/>
    </row>
    <row r="6241" spans="2:8" x14ac:dyDescent="0.35">
      <c r="B6241"/>
      <c r="C6241"/>
      <c r="H6241"/>
    </row>
    <row r="6242" spans="2:8" x14ac:dyDescent="0.35">
      <c r="B6242"/>
      <c r="C6242"/>
      <c r="H6242"/>
    </row>
    <row r="6243" spans="2:8" x14ac:dyDescent="0.35">
      <c r="B6243"/>
      <c r="C6243"/>
      <c r="H6243"/>
    </row>
    <row r="6244" spans="2:8" x14ac:dyDescent="0.35">
      <c r="B6244"/>
      <c r="C6244"/>
      <c r="H6244"/>
    </row>
    <row r="6245" spans="2:8" x14ac:dyDescent="0.35">
      <c r="B6245"/>
      <c r="C6245"/>
      <c r="H6245"/>
    </row>
    <row r="6246" spans="2:8" x14ac:dyDescent="0.35">
      <c r="B6246"/>
      <c r="C6246"/>
      <c r="H6246"/>
    </row>
    <row r="6247" spans="2:8" x14ac:dyDescent="0.35">
      <c r="B6247"/>
      <c r="C6247"/>
      <c r="H6247"/>
    </row>
    <row r="6248" spans="2:8" x14ac:dyDescent="0.35">
      <c r="B6248"/>
      <c r="C6248"/>
      <c r="H6248"/>
    </row>
    <row r="6249" spans="2:8" x14ac:dyDescent="0.35">
      <c r="B6249"/>
      <c r="C6249"/>
      <c r="H6249"/>
    </row>
    <row r="6250" spans="2:8" x14ac:dyDescent="0.35">
      <c r="B6250"/>
      <c r="C6250"/>
      <c r="H6250"/>
    </row>
    <row r="6251" spans="2:8" x14ac:dyDescent="0.35">
      <c r="B6251"/>
      <c r="C6251"/>
      <c r="H6251"/>
    </row>
    <row r="6252" spans="2:8" x14ac:dyDescent="0.35">
      <c r="B6252"/>
      <c r="C6252"/>
      <c r="H6252"/>
    </row>
    <row r="6253" spans="2:8" x14ac:dyDescent="0.35">
      <c r="B6253"/>
      <c r="C6253"/>
      <c r="H6253"/>
    </row>
    <row r="6254" spans="2:8" x14ac:dyDescent="0.35">
      <c r="B6254"/>
      <c r="C6254"/>
      <c r="H6254"/>
    </row>
    <row r="6255" spans="2:8" x14ac:dyDescent="0.35">
      <c r="B6255"/>
      <c r="C6255"/>
      <c r="H6255"/>
    </row>
    <row r="6256" spans="2:8" x14ac:dyDescent="0.35">
      <c r="B6256"/>
      <c r="C6256"/>
      <c r="H6256"/>
    </row>
    <row r="6257" spans="2:8" x14ac:dyDescent="0.35">
      <c r="B6257"/>
      <c r="C6257"/>
      <c r="H6257"/>
    </row>
    <row r="6258" spans="2:8" x14ac:dyDescent="0.35">
      <c r="B6258"/>
      <c r="C6258"/>
      <c r="H6258"/>
    </row>
    <row r="6259" spans="2:8" x14ac:dyDescent="0.35">
      <c r="B6259"/>
      <c r="C6259"/>
      <c r="H6259"/>
    </row>
    <row r="6260" spans="2:8" x14ac:dyDescent="0.35">
      <c r="B6260"/>
      <c r="C6260"/>
      <c r="H6260"/>
    </row>
    <row r="6261" spans="2:8" x14ac:dyDescent="0.35">
      <c r="B6261"/>
      <c r="C6261"/>
      <c r="H6261"/>
    </row>
    <row r="6262" spans="2:8" x14ac:dyDescent="0.35">
      <c r="B6262"/>
      <c r="C6262"/>
      <c r="H6262"/>
    </row>
    <row r="6263" spans="2:8" x14ac:dyDescent="0.35">
      <c r="B6263"/>
      <c r="C6263"/>
      <c r="H6263"/>
    </row>
    <row r="6264" spans="2:8" x14ac:dyDescent="0.35">
      <c r="B6264"/>
      <c r="C6264"/>
      <c r="H6264"/>
    </row>
    <row r="6265" spans="2:8" x14ac:dyDescent="0.35">
      <c r="B6265"/>
      <c r="C6265"/>
      <c r="H6265"/>
    </row>
    <row r="6266" spans="2:8" x14ac:dyDescent="0.35">
      <c r="B6266"/>
      <c r="C6266"/>
      <c r="H6266"/>
    </row>
    <row r="6267" spans="2:8" x14ac:dyDescent="0.35">
      <c r="B6267"/>
      <c r="C6267"/>
      <c r="H6267"/>
    </row>
    <row r="6268" spans="2:8" x14ac:dyDescent="0.35">
      <c r="B6268"/>
      <c r="C6268"/>
      <c r="H6268"/>
    </row>
    <row r="6269" spans="2:8" x14ac:dyDescent="0.35">
      <c r="B6269"/>
      <c r="C6269"/>
      <c r="H6269"/>
    </row>
    <row r="6270" spans="2:8" x14ac:dyDescent="0.35">
      <c r="B6270"/>
      <c r="C6270"/>
      <c r="H6270"/>
    </row>
    <row r="6271" spans="2:8" x14ac:dyDescent="0.35">
      <c r="B6271"/>
      <c r="C6271"/>
      <c r="H6271"/>
    </row>
    <row r="6272" spans="2:8" x14ac:dyDescent="0.35">
      <c r="B6272"/>
      <c r="C6272"/>
      <c r="H6272"/>
    </row>
    <row r="6273" spans="2:8" x14ac:dyDescent="0.35">
      <c r="B6273"/>
      <c r="C6273"/>
      <c r="H6273"/>
    </row>
    <row r="6274" spans="2:8" x14ac:dyDescent="0.35">
      <c r="B6274"/>
      <c r="C6274"/>
      <c r="H6274"/>
    </row>
    <row r="6275" spans="2:8" x14ac:dyDescent="0.35">
      <c r="B6275"/>
      <c r="C6275"/>
      <c r="H6275"/>
    </row>
    <row r="6276" spans="2:8" x14ac:dyDescent="0.35">
      <c r="B6276"/>
      <c r="C6276"/>
      <c r="H6276"/>
    </row>
    <row r="6277" spans="2:8" x14ac:dyDescent="0.35">
      <c r="B6277"/>
      <c r="C6277"/>
      <c r="H6277"/>
    </row>
    <row r="6278" spans="2:8" x14ac:dyDescent="0.35">
      <c r="B6278"/>
      <c r="C6278"/>
      <c r="H6278"/>
    </row>
    <row r="6279" spans="2:8" x14ac:dyDescent="0.35">
      <c r="B6279"/>
      <c r="C6279"/>
      <c r="H6279"/>
    </row>
    <row r="6280" spans="2:8" x14ac:dyDescent="0.35">
      <c r="B6280"/>
      <c r="C6280"/>
      <c r="H6280"/>
    </row>
    <row r="6281" spans="2:8" x14ac:dyDescent="0.35">
      <c r="B6281"/>
      <c r="C6281"/>
      <c r="H6281"/>
    </row>
    <row r="6282" spans="2:8" x14ac:dyDescent="0.35">
      <c r="B6282"/>
      <c r="C6282"/>
      <c r="H6282"/>
    </row>
    <row r="6283" spans="2:8" x14ac:dyDescent="0.35">
      <c r="B6283"/>
      <c r="C6283"/>
      <c r="H6283"/>
    </row>
    <row r="6284" spans="2:8" x14ac:dyDescent="0.35">
      <c r="B6284"/>
      <c r="C6284"/>
      <c r="H6284"/>
    </row>
    <row r="6285" spans="2:8" x14ac:dyDescent="0.35">
      <c r="B6285"/>
      <c r="C6285"/>
      <c r="H6285"/>
    </row>
    <row r="6286" spans="2:8" x14ac:dyDescent="0.35">
      <c r="B6286"/>
      <c r="C6286"/>
      <c r="H6286"/>
    </row>
    <row r="6287" spans="2:8" x14ac:dyDescent="0.35">
      <c r="B6287"/>
      <c r="C6287"/>
      <c r="H6287"/>
    </row>
    <row r="6288" spans="2:8" x14ac:dyDescent="0.35">
      <c r="B6288"/>
      <c r="C6288"/>
      <c r="H6288"/>
    </row>
    <row r="6289" spans="2:8" x14ac:dyDescent="0.35">
      <c r="B6289"/>
      <c r="C6289"/>
      <c r="H6289"/>
    </row>
    <row r="6290" spans="2:8" x14ac:dyDescent="0.35">
      <c r="B6290"/>
      <c r="C6290"/>
      <c r="H6290"/>
    </row>
    <row r="6291" spans="2:8" x14ac:dyDescent="0.35">
      <c r="B6291"/>
      <c r="C6291"/>
      <c r="H6291"/>
    </row>
    <row r="6292" spans="2:8" x14ac:dyDescent="0.35">
      <c r="B6292"/>
      <c r="C6292"/>
      <c r="H6292"/>
    </row>
    <row r="6293" spans="2:8" x14ac:dyDescent="0.35">
      <c r="B6293"/>
      <c r="C6293"/>
      <c r="H6293"/>
    </row>
    <row r="6294" spans="2:8" x14ac:dyDescent="0.35">
      <c r="B6294"/>
      <c r="C6294"/>
      <c r="H6294"/>
    </row>
    <row r="6295" spans="2:8" x14ac:dyDescent="0.35">
      <c r="B6295"/>
      <c r="C6295"/>
      <c r="H6295"/>
    </row>
    <row r="6296" spans="2:8" x14ac:dyDescent="0.35">
      <c r="B6296"/>
      <c r="C6296"/>
      <c r="H6296"/>
    </row>
    <row r="6297" spans="2:8" x14ac:dyDescent="0.35">
      <c r="B6297"/>
      <c r="C6297"/>
      <c r="H6297"/>
    </row>
    <row r="6298" spans="2:8" x14ac:dyDescent="0.35">
      <c r="B6298"/>
      <c r="C6298"/>
      <c r="H6298"/>
    </row>
    <row r="6299" spans="2:8" x14ac:dyDescent="0.35">
      <c r="B6299"/>
      <c r="C6299"/>
      <c r="H6299"/>
    </row>
    <row r="6300" spans="2:8" x14ac:dyDescent="0.35">
      <c r="B6300"/>
      <c r="C6300"/>
      <c r="H6300"/>
    </row>
    <row r="6301" spans="2:8" x14ac:dyDescent="0.35">
      <c r="B6301"/>
      <c r="C6301"/>
      <c r="H6301"/>
    </row>
    <row r="6302" spans="2:8" x14ac:dyDescent="0.35">
      <c r="B6302"/>
      <c r="C6302"/>
      <c r="H6302"/>
    </row>
    <row r="6303" spans="2:8" x14ac:dyDescent="0.35">
      <c r="B6303"/>
      <c r="C6303"/>
      <c r="H6303"/>
    </row>
    <row r="6304" spans="2:8" x14ac:dyDescent="0.35">
      <c r="B6304"/>
      <c r="C6304"/>
      <c r="H6304"/>
    </row>
    <row r="6305" spans="2:8" x14ac:dyDescent="0.35">
      <c r="B6305"/>
      <c r="C6305"/>
      <c r="H6305"/>
    </row>
    <row r="6306" spans="2:8" x14ac:dyDescent="0.35">
      <c r="B6306"/>
      <c r="C6306"/>
      <c r="H6306"/>
    </row>
    <row r="6307" spans="2:8" x14ac:dyDescent="0.35">
      <c r="B6307"/>
      <c r="C6307"/>
      <c r="H6307"/>
    </row>
    <row r="6308" spans="2:8" x14ac:dyDescent="0.35">
      <c r="B6308"/>
      <c r="C6308"/>
      <c r="H6308"/>
    </row>
    <row r="6309" spans="2:8" x14ac:dyDescent="0.35">
      <c r="B6309"/>
      <c r="C6309"/>
      <c r="H6309"/>
    </row>
    <row r="6310" spans="2:8" x14ac:dyDescent="0.35">
      <c r="B6310"/>
      <c r="C6310"/>
      <c r="H6310"/>
    </row>
    <row r="6311" spans="2:8" x14ac:dyDescent="0.35">
      <c r="B6311"/>
      <c r="C6311"/>
      <c r="H6311"/>
    </row>
    <row r="6312" spans="2:8" x14ac:dyDescent="0.35">
      <c r="B6312"/>
      <c r="C6312"/>
      <c r="H6312"/>
    </row>
    <row r="6313" spans="2:8" x14ac:dyDescent="0.35">
      <c r="B6313"/>
      <c r="C6313"/>
      <c r="H6313"/>
    </row>
    <row r="6314" spans="2:8" x14ac:dyDescent="0.35">
      <c r="B6314"/>
      <c r="C6314"/>
      <c r="H6314"/>
    </row>
    <row r="6315" spans="2:8" x14ac:dyDescent="0.35">
      <c r="B6315"/>
      <c r="C6315"/>
      <c r="H6315"/>
    </row>
    <row r="6316" spans="2:8" x14ac:dyDescent="0.35">
      <c r="B6316"/>
      <c r="C6316"/>
      <c r="H6316"/>
    </row>
    <row r="6317" spans="2:8" x14ac:dyDescent="0.35">
      <c r="B6317"/>
      <c r="C6317"/>
      <c r="H6317"/>
    </row>
    <row r="6318" spans="2:8" x14ac:dyDescent="0.35">
      <c r="B6318"/>
      <c r="C6318"/>
      <c r="H6318"/>
    </row>
    <row r="6319" spans="2:8" x14ac:dyDescent="0.35">
      <c r="B6319"/>
      <c r="C6319"/>
      <c r="H6319"/>
    </row>
    <row r="6320" spans="2:8" x14ac:dyDescent="0.35">
      <c r="B6320"/>
      <c r="C6320"/>
      <c r="H6320"/>
    </row>
    <row r="6321" spans="2:8" x14ac:dyDescent="0.35">
      <c r="B6321"/>
      <c r="C6321"/>
      <c r="H6321"/>
    </row>
    <row r="6322" spans="2:8" x14ac:dyDescent="0.35">
      <c r="B6322"/>
      <c r="C6322"/>
      <c r="H6322"/>
    </row>
    <row r="6323" spans="2:8" x14ac:dyDescent="0.35">
      <c r="B6323"/>
      <c r="C6323"/>
      <c r="H6323"/>
    </row>
    <row r="6324" spans="2:8" x14ac:dyDescent="0.35">
      <c r="B6324"/>
      <c r="C6324"/>
      <c r="H6324"/>
    </row>
    <row r="6325" spans="2:8" x14ac:dyDescent="0.35">
      <c r="B6325"/>
      <c r="C6325"/>
      <c r="H6325"/>
    </row>
    <row r="6326" spans="2:8" x14ac:dyDescent="0.35">
      <c r="B6326"/>
      <c r="C6326"/>
      <c r="H6326"/>
    </row>
    <row r="6327" spans="2:8" x14ac:dyDescent="0.35">
      <c r="B6327"/>
      <c r="C6327"/>
      <c r="H6327"/>
    </row>
    <row r="6328" spans="2:8" x14ac:dyDescent="0.35">
      <c r="B6328"/>
      <c r="C6328"/>
      <c r="H6328"/>
    </row>
    <row r="6329" spans="2:8" x14ac:dyDescent="0.35">
      <c r="B6329"/>
      <c r="C6329"/>
      <c r="H6329"/>
    </row>
    <row r="6330" spans="2:8" x14ac:dyDescent="0.35">
      <c r="B6330"/>
      <c r="C6330"/>
      <c r="H6330"/>
    </row>
    <row r="6331" spans="2:8" x14ac:dyDescent="0.35">
      <c r="B6331"/>
      <c r="C6331"/>
      <c r="H6331"/>
    </row>
    <row r="6332" spans="2:8" x14ac:dyDescent="0.35">
      <c r="B6332"/>
      <c r="C6332"/>
      <c r="H6332"/>
    </row>
    <row r="6333" spans="2:8" x14ac:dyDescent="0.35">
      <c r="B6333"/>
      <c r="C6333"/>
      <c r="H6333"/>
    </row>
    <row r="6334" spans="2:8" x14ac:dyDescent="0.35">
      <c r="B6334"/>
      <c r="C6334"/>
      <c r="H6334"/>
    </row>
    <row r="6335" spans="2:8" x14ac:dyDescent="0.35">
      <c r="B6335"/>
      <c r="C6335"/>
      <c r="H6335"/>
    </row>
    <row r="6336" spans="2:8" x14ac:dyDescent="0.35">
      <c r="B6336"/>
      <c r="C6336"/>
      <c r="H6336"/>
    </row>
    <row r="6337" spans="2:8" x14ac:dyDescent="0.35">
      <c r="B6337"/>
      <c r="C6337"/>
      <c r="H6337"/>
    </row>
    <row r="6338" spans="2:8" x14ac:dyDescent="0.35">
      <c r="B6338"/>
      <c r="C6338"/>
      <c r="H6338"/>
    </row>
    <row r="6339" spans="2:8" x14ac:dyDescent="0.35">
      <c r="B6339"/>
      <c r="C6339"/>
      <c r="H6339"/>
    </row>
    <row r="6340" spans="2:8" x14ac:dyDescent="0.35">
      <c r="B6340"/>
      <c r="C6340"/>
      <c r="H6340"/>
    </row>
    <row r="6341" spans="2:8" x14ac:dyDescent="0.35">
      <c r="B6341"/>
      <c r="C6341"/>
      <c r="H6341"/>
    </row>
    <row r="6342" spans="2:8" x14ac:dyDescent="0.35">
      <c r="B6342"/>
      <c r="C6342"/>
      <c r="H6342"/>
    </row>
    <row r="6343" spans="2:8" x14ac:dyDescent="0.35">
      <c r="B6343"/>
      <c r="C6343"/>
      <c r="H6343"/>
    </row>
    <row r="6344" spans="2:8" x14ac:dyDescent="0.35">
      <c r="B6344"/>
      <c r="C6344"/>
      <c r="H6344"/>
    </row>
    <row r="6345" spans="2:8" x14ac:dyDescent="0.35">
      <c r="B6345"/>
      <c r="C6345"/>
      <c r="H6345"/>
    </row>
    <row r="6346" spans="2:8" x14ac:dyDescent="0.35">
      <c r="B6346"/>
      <c r="C6346"/>
      <c r="H6346"/>
    </row>
    <row r="6347" spans="2:8" x14ac:dyDescent="0.35">
      <c r="B6347"/>
      <c r="C6347"/>
      <c r="H6347"/>
    </row>
    <row r="6348" spans="2:8" x14ac:dyDescent="0.35">
      <c r="B6348"/>
      <c r="C6348"/>
      <c r="H6348"/>
    </row>
    <row r="6349" spans="2:8" x14ac:dyDescent="0.35">
      <c r="B6349"/>
      <c r="C6349"/>
      <c r="H6349"/>
    </row>
    <row r="6350" spans="2:8" x14ac:dyDescent="0.35">
      <c r="B6350"/>
      <c r="C6350"/>
      <c r="H6350"/>
    </row>
    <row r="6351" spans="2:8" x14ac:dyDescent="0.35">
      <c r="B6351"/>
      <c r="C6351"/>
      <c r="H6351"/>
    </row>
    <row r="6352" spans="2:8" x14ac:dyDescent="0.35">
      <c r="B6352"/>
      <c r="C6352"/>
      <c r="H6352"/>
    </row>
    <row r="6353" spans="2:8" x14ac:dyDescent="0.35">
      <c r="B6353"/>
      <c r="C6353"/>
      <c r="H6353"/>
    </row>
    <row r="6354" spans="2:8" x14ac:dyDescent="0.35">
      <c r="B6354"/>
      <c r="C6354"/>
      <c r="H6354"/>
    </row>
    <row r="6355" spans="2:8" x14ac:dyDescent="0.35">
      <c r="B6355"/>
      <c r="C6355"/>
      <c r="H6355"/>
    </row>
    <row r="6356" spans="2:8" x14ac:dyDescent="0.35">
      <c r="B6356"/>
      <c r="C6356"/>
      <c r="H6356"/>
    </row>
    <row r="6357" spans="2:8" x14ac:dyDescent="0.35">
      <c r="B6357"/>
      <c r="C6357"/>
      <c r="H6357"/>
    </row>
    <row r="6358" spans="2:8" x14ac:dyDescent="0.35">
      <c r="B6358"/>
      <c r="C6358"/>
      <c r="H6358"/>
    </row>
    <row r="6359" spans="2:8" x14ac:dyDescent="0.35">
      <c r="B6359"/>
      <c r="C6359"/>
      <c r="H6359"/>
    </row>
    <row r="6360" spans="2:8" x14ac:dyDescent="0.35">
      <c r="B6360"/>
      <c r="C6360"/>
      <c r="H6360"/>
    </row>
    <row r="6361" spans="2:8" x14ac:dyDescent="0.35">
      <c r="B6361"/>
      <c r="C6361"/>
      <c r="H6361"/>
    </row>
    <row r="6362" spans="2:8" x14ac:dyDescent="0.35">
      <c r="B6362"/>
      <c r="C6362"/>
      <c r="H6362"/>
    </row>
    <row r="6363" spans="2:8" x14ac:dyDescent="0.35">
      <c r="B6363"/>
      <c r="C6363"/>
      <c r="H6363"/>
    </row>
    <row r="6364" spans="2:8" x14ac:dyDescent="0.35">
      <c r="B6364"/>
      <c r="C6364"/>
      <c r="H6364"/>
    </row>
    <row r="6365" spans="2:8" x14ac:dyDescent="0.35">
      <c r="B6365"/>
      <c r="C6365"/>
      <c r="H6365"/>
    </row>
    <row r="6366" spans="2:8" x14ac:dyDescent="0.35">
      <c r="B6366"/>
      <c r="C6366"/>
      <c r="H6366"/>
    </row>
    <row r="6367" spans="2:8" x14ac:dyDescent="0.35">
      <c r="B6367"/>
      <c r="C6367"/>
      <c r="H6367"/>
    </row>
    <row r="6368" spans="2:8" x14ac:dyDescent="0.35">
      <c r="B6368"/>
      <c r="C6368"/>
      <c r="H6368"/>
    </row>
    <row r="6369" spans="2:8" x14ac:dyDescent="0.35">
      <c r="B6369"/>
      <c r="C6369"/>
      <c r="H6369"/>
    </row>
    <row r="6370" spans="2:8" x14ac:dyDescent="0.35">
      <c r="B6370"/>
      <c r="C6370"/>
      <c r="H6370"/>
    </row>
    <row r="6371" spans="2:8" x14ac:dyDescent="0.35">
      <c r="B6371"/>
      <c r="C6371"/>
      <c r="H6371"/>
    </row>
    <row r="6372" spans="2:8" x14ac:dyDescent="0.35">
      <c r="B6372"/>
      <c r="C6372"/>
      <c r="H6372"/>
    </row>
    <row r="6373" spans="2:8" x14ac:dyDescent="0.35">
      <c r="B6373"/>
      <c r="C6373"/>
      <c r="H6373"/>
    </row>
    <row r="6374" spans="2:8" x14ac:dyDescent="0.35">
      <c r="B6374"/>
      <c r="C6374"/>
      <c r="H6374"/>
    </row>
    <row r="6375" spans="2:8" x14ac:dyDescent="0.35">
      <c r="B6375"/>
      <c r="C6375"/>
      <c r="H6375"/>
    </row>
    <row r="6376" spans="2:8" x14ac:dyDescent="0.35">
      <c r="B6376"/>
      <c r="C6376"/>
      <c r="H6376"/>
    </row>
    <row r="6377" spans="2:8" x14ac:dyDescent="0.35">
      <c r="B6377"/>
      <c r="C6377"/>
      <c r="H6377"/>
    </row>
    <row r="6378" spans="2:8" x14ac:dyDescent="0.35">
      <c r="B6378"/>
      <c r="C6378"/>
      <c r="H6378"/>
    </row>
    <row r="6379" spans="2:8" x14ac:dyDescent="0.35">
      <c r="B6379"/>
      <c r="C6379"/>
      <c r="H6379"/>
    </row>
    <row r="6380" spans="2:8" x14ac:dyDescent="0.35">
      <c r="B6380"/>
      <c r="C6380"/>
      <c r="H6380"/>
    </row>
    <row r="6381" spans="2:8" x14ac:dyDescent="0.35">
      <c r="B6381"/>
      <c r="C6381"/>
      <c r="H6381"/>
    </row>
    <row r="6382" spans="2:8" x14ac:dyDescent="0.35">
      <c r="B6382"/>
      <c r="C6382"/>
      <c r="H6382"/>
    </row>
    <row r="6383" spans="2:8" x14ac:dyDescent="0.35">
      <c r="B6383"/>
      <c r="C6383"/>
      <c r="H6383"/>
    </row>
    <row r="6384" spans="2:8" x14ac:dyDescent="0.35">
      <c r="B6384"/>
      <c r="C6384"/>
      <c r="H6384"/>
    </row>
    <row r="6385" spans="2:8" x14ac:dyDescent="0.35">
      <c r="B6385"/>
      <c r="C6385"/>
      <c r="H6385"/>
    </row>
    <row r="6386" spans="2:8" x14ac:dyDescent="0.35">
      <c r="B6386"/>
      <c r="C6386"/>
      <c r="H6386"/>
    </row>
    <row r="6387" spans="2:8" x14ac:dyDescent="0.35">
      <c r="B6387"/>
      <c r="C6387"/>
      <c r="H6387"/>
    </row>
    <row r="6388" spans="2:8" x14ac:dyDescent="0.35">
      <c r="B6388"/>
      <c r="C6388"/>
      <c r="H6388"/>
    </row>
    <row r="6389" spans="2:8" x14ac:dyDescent="0.35">
      <c r="B6389"/>
      <c r="C6389"/>
      <c r="H6389"/>
    </row>
    <row r="6390" spans="2:8" x14ac:dyDescent="0.35">
      <c r="B6390"/>
      <c r="C6390"/>
      <c r="H6390"/>
    </row>
    <row r="6391" spans="2:8" x14ac:dyDescent="0.35">
      <c r="B6391"/>
      <c r="C6391"/>
      <c r="H6391"/>
    </row>
    <row r="6392" spans="2:8" x14ac:dyDescent="0.35">
      <c r="B6392"/>
      <c r="C6392"/>
      <c r="H6392"/>
    </row>
    <row r="6393" spans="2:8" x14ac:dyDescent="0.35">
      <c r="B6393"/>
      <c r="C6393"/>
      <c r="H6393"/>
    </row>
    <row r="6394" spans="2:8" x14ac:dyDescent="0.35">
      <c r="B6394"/>
      <c r="C6394"/>
      <c r="H6394"/>
    </row>
    <row r="6395" spans="2:8" x14ac:dyDescent="0.35">
      <c r="B6395"/>
      <c r="C6395"/>
      <c r="H6395"/>
    </row>
    <row r="6396" spans="2:8" x14ac:dyDescent="0.35">
      <c r="B6396"/>
      <c r="C6396"/>
      <c r="H6396"/>
    </row>
    <row r="6397" spans="2:8" x14ac:dyDescent="0.35">
      <c r="B6397"/>
      <c r="C6397"/>
      <c r="H6397"/>
    </row>
    <row r="6398" spans="2:8" x14ac:dyDescent="0.35">
      <c r="B6398"/>
      <c r="C6398"/>
      <c r="H6398"/>
    </row>
    <row r="6399" spans="2:8" x14ac:dyDescent="0.35">
      <c r="B6399"/>
      <c r="C6399"/>
      <c r="H6399"/>
    </row>
    <row r="6400" spans="2:8" x14ac:dyDescent="0.35">
      <c r="B6400"/>
      <c r="C6400"/>
      <c r="H6400"/>
    </row>
    <row r="6401" spans="2:8" x14ac:dyDescent="0.35">
      <c r="B6401"/>
      <c r="C6401"/>
      <c r="H6401"/>
    </row>
    <row r="6402" spans="2:8" x14ac:dyDescent="0.35">
      <c r="B6402"/>
      <c r="C6402"/>
      <c r="H6402"/>
    </row>
    <row r="6403" spans="2:8" x14ac:dyDescent="0.35">
      <c r="B6403"/>
      <c r="C6403"/>
      <c r="H6403"/>
    </row>
    <row r="6404" spans="2:8" x14ac:dyDescent="0.35">
      <c r="B6404"/>
      <c r="C6404"/>
      <c r="H6404"/>
    </row>
    <row r="6405" spans="2:8" x14ac:dyDescent="0.35">
      <c r="B6405"/>
      <c r="C6405"/>
      <c r="H6405"/>
    </row>
    <row r="6406" spans="2:8" x14ac:dyDescent="0.35">
      <c r="B6406"/>
      <c r="C6406"/>
      <c r="H6406"/>
    </row>
    <row r="6407" spans="2:8" x14ac:dyDescent="0.35">
      <c r="B6407"/>
      <c r="C6407"/>
      <c r="H6407"/>
    </row>
    <row r="6408" spans="2:8" x14ac:dyDescent="0.35">
      <c r="B6408"/>
      <c r="C6408"/>
      <c r="H6408"/>
    </row>
    <row r="6409" spans="2:8" x14ac:dyDescent="0.35">
      <c r="B6409"/>
      <c r="C6409"/>
      <c r="H6409"/>
    </row>
    <row r="6410" spans="2:8" x14ac:dyDescent="0.35">
      <c r="B6410"/>
      <c r="C6410"/>
      <c r="H6410"/>
    </row>
    <row r="6411" spans="2:8" x14ac:dyDescent="0.35">
      <c r="B6411"/>
      <c r="C6411"/>
      <c r="H6411"/>
    </row>
    <row r="6412" spans="2:8" x14ac:dyDescent="0.35">
      <c r="B6412"/>
      <c r="C6412"/>
      <c r="H6412"/>
    </row>
    <row r="6413" spans="2:8" x14ac:dyDescent="0.35">
      <c r="B6413"/>
      <c r="C6413"/>
      <c r="H6413"/>
    </row>
    <row r="6414" spans="2:8" x14ac:dyDescent="0.35">
      <c r="B6414"/>
      <c r="C6414"/>
      <c r="H6414"/>
    </row>
    <row r="6415" spans="2:8" x14ac:dyDescent="0.35">
      <c r="B6415"/>
      <c r="C6415"/>
      <c r="H6415"/>
    </row>
    <row r="6416" spans="2:8" x14ac:dyDescent="0.35">
      <c r="B6416"/>
      <c r="C6416"/>
      <c r="H6416"/>
    </row>
    <row r="6417" spans="2:8" x14ac:dyDescent="0.35">
      <c r="B6417"/>
      <c r="C6417"/>
      <c r="H6417"/>
    </row>
    <row r="6418" spans="2:8" x14ac:dyDescent="0.35">
      <c r="B6418"/>
      <c r="C6418"/>
      <c r="H6418"/>
    </row>
    <row r="6419" spans="2:8" x14ac:dyDescent="0.35">
      <c r="B6419"/>
      <c r="C6419"/>
      <c r="H6419"/>
    </row>
    <row r="6420" spans="2:8" x14ac:dyDescent="0.35">
      <c r="B6420"/>
      <c r="C6420"/>
      <c r="H6420"/>
    </row>
    <row r="6421" spans="2:8" x14ac:dyDescent="0.35">
      <c r="B6421"/>
      <c r="C6421"/>
      <c r="H6421"/>
    </row>
    <row r="6422" spans="2:8" x14ac:dyDescent="0.35">
      <c r="B6422"/>
      <c r="C6422"/>
      <c r="H6422"/>
    </row>
    <row r="6423" spans="2:8" x14ac:dyDescent="0.35">
      <c r="B6423"/>
      <c r="C6423"/>
      <c r="H6423"/>
    </row>
    <row r="6424" spans="2:8" x14ac:dyDescent="0.35">
      <c r="B6424"/>
      <c r="C6424"/>
      <c r="H6424"/>
    </row>
    <row r="6425" spans="2:8" x14ac:dyDescent="0.35">
      <c r="B6425"/>
      <c r="C6425"/>
      <c r="H6425"/>
    </row>
    <row r="6426" spans="2:8" x14ac:dyDescent="0.35">
      <c r="B6426"/>
      <c r="C6426"/>
      <c r="H6426"/>
    </row>
    <row r="6427" spans="2:8" x14ac:dyDescent="0.35">
      <c r="B6427"/>
      <c r="C6427"/>
      <c r="H6427"/>
    </row>
    <row r="6428" spans="2:8" x14ac:dyDescent="0.35">
      <c r="B6428"/>
      <c r="C6428"/>
      <c r="H6428"/>
    </row>
    <row r="6429" spans="2:8" x14ac:dyDescent="0.35">
      <c r="B6429"/>
      <c r="C6429"/>
      <c r="H6429"/>
    </row>
    <row r="6430" spans="2:8" x14ac:dyDescent="0.35">
      <c r="B6430"/>
      <c r="C6430"/>
      <c r="H6430"/>
    </row>
    <row r="6431" spans="2:8" x14ac:dyDescent="0.35">
      <c r="B6431"/>
      <c r="C6431"/>
      <c r="H6431"/>
    </row>
    <row r="6432" spans="2:8" x14ac:dyDescent="0.35">
      <c r="B6432"/>
      <c r="C6432"/>
      <c r="H6432"/>
    </row>
    <row r="6433" spans="2:8" x14ac:dyDescent="0.35">
      <c r="B6433"/>
      <c r="C6433"/>
      <c r="H6433"/>
    </row>
    <row r="6434" spans="2:8" x14ac:dyDescent="0.35">
      <c r="B6434"/>
      <c r="C6434"/>
      <c r="H6434"/>
    </row>
    <row r="6435" spans="2:8" x14ac:dyDescent="0.35">
      <c r="B6435"/>
      <c r="C6435"/>
      <c r="H6435"/>
    </row>
    <row r="6436" spans="2:8" x14ac:dyDescent="0.35">
      <c r="B6436"/>
      <c r="C6436"/>
      <c r="H6436"/>
    </row>
    <row r="6437" spans="2:8" x14ac:dyDescent="0.35">
      <c r="B6437"/>
      <c r="C6437"/>
      <c r="H6437"/>
    </row>
    <row r="6438" spans="2:8" x14ac:dyDescent="0.35">
      <c r="B6438"/>
      <c r="C6438"/>
      <c r="H6438"/>
    </row>
    <row r="6439" spans="2:8" x14ac:dyDescent="0.35">
      <c r="B6439"/>
      <c r="C6439"/>
      <c r="H6439"/>
    </row>
    <row r="6440" spans="2:8" x14ac:dyDescent="0.35">
      <c r="B6440"/>
      <c r="C6440"/>
      <c r="H6440"/>
    </row>
    <row r="6441" spans="2:8" x14ac:dyDescent="0.35">
      <c r="B6441"/>
      <c r="C6441"/>
      <c r="H6441"/>
    </row>
    <row r="6442" spans="2:8" x14ac:dyDescent="0.35">
      <c r="B6442"/>
      <c r="C6442"/>
      <c r="H6442"/>
    </row>
    <row r="6443" spans="2:8" x14ac:dyDescent="0.35">
      <c r="B6443"/>
      <c r="C6443"/>
      <c r="H6443"/>
    </row>
    <row r="6444" spans="2:8" x14ac:dyDescent="0.35">
      <c r="B6444"/>
      <c r="C6444"/>
      <c r="H6444"/>
    </row>
    <row r="6445" spans="2:8" x14ac:dyDescent="0.35">
      <c r="B6445"/>
      <c r="C6445"/>
      <c r="H6445"/>
    </row>
    <row r="6446" spans="2:8" x14ac:dyDescent="0.35">
      <c r="B6446"/>
      <c r="C6446"/>
      <c r="H6446"/>
    </row>
    <row r="6447" spans="2:8" x14ac:dyDescent="0.35">
      <c r="B6447"/>
      <c r="C6447"/>
      <c r="H6447"/>
    </row>
    <row r="6448" spans="2:8" x14ac:dyDescent="0.35">
      <c r="B6448"/>
      <c r="C6448"/>
      <c r="H6448"/>
    </row>
    <row r="6449" spans="2:8" x14ac:dyDescent="0.35">
      <c r="B6449"/>
      <c r="C6449"/>
      <c r="H6449"/>
    </row>
    <row r="6450" spans="2:8" x14ac:dyDescent="0.35">
      <c r="B6450"/>
      <c r="C6450"/>
      <c r="H6450"/>
    </row>
    <row r="6451" spans="2:8" x14ac:dyDescent="0.35">
      <c r="B6451"/>
      <c r="C6451"/>
      <c r="H6451"/>
    </row>
    <row r="6452" spans="2:8" x14ac:dyDescent="0.35">
      <c r="B6452"/>
      <c r="C6452"/>
      <c r="H6452"/>
    </row>
    <row r="6453" spans="2:8" x14ac:dyDescent="0.35">
      <c r="B6453"/>
      <c r="C6453"/>
      <c r="H6453"/>
    </row>
    <row r="6454" spans="2:8" x14ac:dyDescent="0.35">
      <c r="B6454"/>
      <c r="C6454"/>
      <c r="H6454"/>
    </row>
    <row r="6455" spans="2:8" x14ac:dyDescent="0.35">
      <c r="B6455"/>
      <c r="C6455"/>
      <c r="H6455"/>
    </row>
    <row r="6456" spans="2:8" x14ac:dyDescent="0.35">
      <c r="B6456"/>
      <c r="C6456"/>
      <c r="H6456"/>
    </row>
    <row r="6457" spans="2:8" x14ac:dyDescent="0.35">
      <c r="B6457"/>
      <c r="C6457"/>
      <c r="H6457"/>
    </row>
    <row r="6458" spans="2:8" x14ac:dyDescent="0.35">
      <c r="B6458"/>
      <c r="C6458"/>
      <c r="H6458"/>
    </row>
    <row r="6459" spans="2:8" x14ac:dyDescent="0.35">
      <c r="B6459"/>
      <c r="C6459"/>
      <c r="H6459"/>
    </row>
    <row r="6460" spans="2:8" x14ac:dyDescent="0.35">
      <c r="B6460"/>
      <c r="C6460"/>
      <c r="H6460"/>
    </row>
    <row r="6461" spans="2:8" x14ac:dyDescent="0.35">
      <c r="B6461"/>
      <c r="C6461"/>
      <c r="H6461"/>
    </row>
    <row r="6462" spans="2:8" x14ac:dyDescent="0.35">
      <c r="B6462"/>
      <c r="C6462"/>
      <c r="H6462"/>
    </row>
    <row r="6463" spans="2:8" x14ac:dyDescent="0.35">
      <c r="B6463"/>
      <c r="C6463"/>
      <c r="H6463"/>
    </row>
    <row r="6464" spans="2:8" x14ac:dyDescent="0.35">
      <c r="B6464"/>
      <c r="C6464"/>
      <c r="H6464"/>
    </row>
    <row r="6465" spans="2:8" x14ac:dyDescent="0.35">
      <c r="B6465"/>
      <c r="C6465"/>
      <c r="H6465"/>
    </row>
    <row r="6466" spans="2:8" x14ac:dyDescent="0.35">
      <c r="B6466"/>
      <c r="C6466"/>
      <c r="H6466"/>
    </row>
    <row r="6467" spans="2:8" x14ac:dyDescent="0.35">
      <c r="B6467"/>
      <c r="C6467"/>
      <c r="H6467"/>
    </row>
    <row r="6468" spans="2:8" x14ac:dyDescent="0.35">
      <c r="B6468"/>
      <c r="C6468"/>
      <c r="H6468"/>
    </row>
    <row r="6469" spans="2:8" x14ac:dyDescent="0.35">
      <c r="B6469"/>
      <c r="C6469"/>
      <c r="H6469"/>
    </row>
    <row r="6470" spans="2:8" x14ac:dyDescent="0.35">
      <c r="B6470"/>
      <c r="C6470"/>
      <c r="H6470"/>
    </row>
    <row r="6471" spans="2:8" x14ac:dyDescent="0.35">
      <c r="B6471"/>
      <c r="C6471"/>
      <c r="H6471"/>
    </row>
    <row r="6472" spans="2:8" x14ac:dyDescent="0.35">
      <c r="B6472"/>
      <c r="C6472"/>
      <c r="H6472"/>
    </row>
    <row r="6473" spans="2:8" x14ac:dyDescent="0.35">
      <c r="B6473"/>
      <c r="C6473"/>
      <c r="H6473"/>
    </row>
    <row r="6474" spans="2:8" x14ac:dyDescent="0.35">
      <c r="B6474"/>
      <c r="C6474"/>
      <c r="H6474"/>
    </row>
    <row r="6475" spans="2:8" x14ac:dyDescent="0.35">
      <c r="B6475"/>
      <c r="C6475"/>
      <c r="H6475"/>
    </row>
    <row r="6476" spans="2:8" x14ac:dyDescent="0.35">
      <c r="B6476"/>
      <c r="C6476"/>
      <c r="H6476"/>
    </row>
    <row r="6477" spans="2:8" x14ac:dyDescent="0.35">
      <c r="B6477"/>
      <c r="C6477"/>
      <c r="H6477"/>
    </row>
    <row r="6478" spans="2:8" x14ac:dyDescent="0.35">
      <c r="B6478"/>
      <c r="C6478"/>
      <c r="H6478"/>
    </row>
    <row r="6479" spans="2:8" x14ac:dyDescent="0.35">
      <c r="B6479"/>
      <c r="C6479"/>
      <c r="H6479"/>
    </row>
    <row r="6480" spans="2:8" x14ac:dyDescent="0.35">
      <c r="B6480"/>
      <c r="C6480"/>
      <c r="H6480"/>
    </row>
    <row r="6481" spans="2:8" x14ac:dyDescent="0.35">
      <c r="B6481"/>
      <c r="C6481"/>
      <c r="H6481"/>
    </row>
    <row r="6482" spans="2:8" x14ac:dyDescent="0.35">
      <c r="B6482"/>
      <c r="C6482"/>
      <c r="H6482"/>
    </row>
    <row r="6483" spans="2:8" x14ac:dyDescent="0.35">
      <c r="B6483"/>
      <c r="C6483"/>
      <c r="H6483"/>
    </row>
    <row r="6484" spans="2:8" x14ac:dyDescent="0.35">
      <c r="B6484"/>
      <c r="C6484"/>
      <c r="H6484"/>
    </row>
    <row r="6485" spans="2:8" x14ac:dyDescent="0.35">
      <c r="B6485"/>
      <c r="C6485"/>
      <c r="H6485"/>
    </row>
    <row r="6486" spans="2:8" x14ac:dyDescent="0.35">
      <c r="B6486"/>
      <c r="C6486"/>
      <c r="H6486"/>
    </row>
    <row r="6487" spans="2:8" x14ac:dyDescent="0.35">
      <c r="B6487"/>
      <c r="C6487"/>
      <c r="H6487"/>
    </row>
    <row r="6488" spans="2:8" x14ac:dyDescent="0.35">
      <c r="B6488"/>
      <c r="C6488"/>
      <c r="H6488"/>
    </row>
    <row r="6489" spans="2:8" x14ac:dyDescent="0.35">
      <c r="B6489"/>
      <c r="C6489"/>
      <c r="H6489"/>
    </row>
    <row r="6490" spans="2:8" x14ac:dyDescent="0.35">
      <c r="B6490"/>
      <c r="C6490"/>
      <c r="H6490"/>
    </row>
    <row r="6491" spans="2:8" x14ac:dyDescent="0.35">
      <c r="B6491"/>
      <c r="C6491"/>
      <c r="H6491"/>
    </row>
    <row r="6492" spans="2:8" x14ac:dyDescent="0.35">
      <c r="B6492"/>
      <c r="C6492"/>
      <c r="H6492"/>
    </row>
    <row r="6493" spans="2:8" x14ac:dyDescent="0.35">
      <c r="B6493"/>
      <c r="C6493"/>
      <c r="H6493"/>
    </row>
    <row r="6494" spans="2:8" x14ac:dyDescent="0.35">
      <c r="B6494"/>
      <c r="C6494"/>
      <c r="H6494"/>
    </row>
    <row r="6495" spans="2:8" x14ac:dyDescent="0.35">
      <c r="B6495"/>
      <c r="C6495"/>
      <c r="H6495"/>
    </row>
    <row r="6496" spans="2:8" x14ac:dyDescent="0.35">
      <c r="B6496"/>
      <c r="C6496"/>
      <c r="H6496"/>
    </row>
    <row r="6497" spans="2:8" x14ac:dyDescent="0.35">
      <c r="B6497"/>
      <c r="C6497"/>
      <c r="H6497"/>
    </row>
    <row r="6498" spans="2:8" x14ac:dyDescent="0.35">
      <c r="B6498"/>
      <c r="C6498"/>
      <c r="H6498"/>
    </row>
    <row r="6499" spans="2:8" x14ac:dyDescent="0.35">
      <c r="B6499"/>
      <c r="C6499"/>
      <c r="H6499"/>
    </row>
    <row r="6500" spans="2:8" x14ac:dyDescent="0.35">
      <c r="B6500"/>
      <c r="C6500"/>
      <c r="H6500"/>
    </row>
    <row r="6501" spans="2:8" x14ac:dyDescent="0.35">
      <c r="B6501"/>
      <c r="C6501"/>
      <c r="H6501"/>
    </row>
    <row r="6502" spans="2:8" x14ac:dyDescent="0.35">
      <c r="B6502"/>
      <c r="C6502"/>
      <c r="H6502"/>
    </row>
    <row r="6503" spans="2:8" x14ac:dyDescent="0.35">
      <c r="B6503"/>
      <c r="C6503"/>
      <c r="H6503"/>
    </row>
    <row r="6504" spans="2:8" x14ac:dyDescent="0.35">
      <c r="B6504"/>
      <c r="C6504"/>
      <c r="H6504"/>
    </row>
    <row r="6505" spans="2:8" x14ac:dyDescent="0.35">
      <c r="B6505"/>
      <c r="C6505"/>
      <c r="H6505"/>
    </row>
    <row r="6506" spans="2:8" x14ac:dyDescent="0.35">
      <c r="B6506"/>
      <c r="C6506"/>
      <c r="H6506"/>
    </row>
    <row r="6507" spans="2:8" x14ac:dyDescent="0.35">
      <c r="B6507"/>
      <c r="C6507"/>
      <c r="H6507"/>
    </row>
    <row r="6508" spans="2:8" x14ac:dyDescent="0.35">
      <c r="B6508"/>
      <c r="C6508"/>
      <c r="H6508"/>
    </row>
    <row r="6509" spans="2:8" x14ac:dyDescent="0.35">
      <c r="B6509"/>
      <c r="C6509"/>
      <c r="H6509"/>
    </row>
    <row r="6510" spans="2:8" x14ac:dyDescent="0.35">
      <c r="B6510"/>
      <c r="C6510"/>
      <c r="H6510"/>
    </row>
    <row r="6511" spans="2:8" x14ac:dyDescent="0.35">
      <c r="B6511"/>
      <c r="C6511"/>
      <c r="H6511"/>
    </row>
    <row r="6512" spans="2:8" x14ac:dyDescent="0.35">
      <c r="B6512"/>
      <c r="C6512"/>
      <c r="H6512"/>
    </row>
    <row r="6513" spans="2:8" x14ac:dyDescent="0.35">
      <c r="B6513"/>
      <c r="C6513"/>
      <c r="H6513"/>
    </row>
    <row r="6514" spans="2:8" x14ac:dyDescent="0.35">
      <c r="B6514"/>
      <c r="C6514"/>
      <c r="H6514"/>
    </row>
    <row r="6515" spans="2:8" x14ac:dyDescent="0.35">
      <c r="B6515"/>
      <c r="C6515"/>
      <c r="H6515"/>
    </row>
    <row r="6516" spans="2:8" x14ac:dyDescent="0.35">
      <c r="B6516"/>
      <c r="C6516"/>
      <c r="H6516"/>
    </row>
    <row r="6517" spans="2:8" x14ac:dyDescent="0.35">
      <c r="B6517"/>
      <c r="C6517"/>
      <c r="H6517"/>
    </row>
    <row r="6518" spans="2:8" x14ac:dyDescent="0.35">
      <c r="B6518"/>
      <c r="C6518"/>
      <c r="H6518"/>
    </row>
    <row r="6519" spans="2:8" x14ac:dyDescent="0.35">
      <c r="B6519"/>
      <c r="C6519"/>
      <c r="H6519"/>
    </row>
    <row r="6520" spans="2:8" x14ac:dyDescent="0.35">
      <c r="B6520"/>
      <c r="C6520"/>
      <c r="H6520"/>
    </row>
    <row r="6521" spans="2:8" x14ac:dyDescent="0.35">
      <c r="B6521"/>
      <c r="C6521"/>
      <c r="H6521"/>
    </row>
    <row r="6522" spans="2:8" x14ac:dyDescent="0.35">
      <c r="B6522"/>
      <c r="C6522"/>
      <c r="H6522"/>
    </row>
    <row r="6523" spans="2:8" x14ac:dyDescent="0.35">
      <c r="B6523"/>
      <c r="C6523"/>
      <c r="H6523"/>
    </row>
    <row r="6524" spans="2:8" x14ac:dyDescent="0.35">
      <c r="B6524"/>
      <c r="C6524"/>
      <c r="H6524"/>
    </row>
    <row r="6525" spans="2:8" x14ac:dyDescent="0.35">
      <c r="B6525"/>
      <c r="C6525"/>
      <c r="H6525"/>
    </row>
    <row r="6526" spans="2:8" x14ac:dyDescent="0.35">
      <c r="B6526"/>
      <c r="C6526"/>
      <c r="H6526"/>
    </row>
    <row r="6527" spans="2:8" x14ac:dyDescent="0.35">
      <c r="B6527"/>
      <c r="C6527"/>
      <c r="H6527"/>
    </row>
    <row r="6528" spans="2:8" x14ac:dyDescent="0.35">
      <c r="B6528"/>
      <c r="C6528"/>
      <c r="H6528"/>
    </row>
    <row r="6529" spans="2:8" x14ac:dyDescent="0.35">
      <c r="B6529"/>
      <c r="C6529"/>
      <c r="H6529"/>
    </row>
    <row r="6530" spans="2:8" x14ac:dyDescent="0.35">
      <c r="B6530"/>
      <c r="C6530"/>
      <c r="H6530"/>
    </row>
    <row r="6531" spans="2:8" x14ac:dyDescent="0.35">
      <c r="B6531"/>
      <c r="C6531"/>
      <c r="H6531"/>
    </row>
    <row r="6532" spans="2:8" x14ac:dyDescent="0.35">
      <c r="B6532"/>
      <c r="C6532"/>
      <c r="H6532"/>
    </row>
    <row r="6533" spans="2:8" x14ac:dyDescent="0.35">
      <c r="B6533"/>
      <c r="C6533"/>
      <c r="H6533"/>
    </row>
    <row r="6534" spans="2:8" x14ac:dyDescent="0.35">
      <c r="B6534"/>
      <c r="C6534"/>
      <c r="H6534"/>
    </row>
    <row r="6535" spans="2:8" x14ac:dyDescent="0.35">
      <c r="B6535"/>
      <c r="C6535"/>
      <c r="H6535"/>
    </row>
    <row r="6536" spans="2:8" x14ac:dyDescent="0.35">
      <c r="B6536"/>
      <c r="C6536"/>
      <c r="H6536"/>
    </row>
    <row r="6537" spans="2:8" x14ac:dyDescent="0.35">
      <c r="B6537"/>
      <c r="C6537"/>
      <c r="H6537"/>
    </row>
    <row r="6538" spans="2:8" x14ac:dyDescent="0.35">
      <c r="B6538"/>
      <c r="C6538"/>
      <c r="H6538"/>
    </row>
    <row r="6539" spans="2:8" x14ac:dyDescent="0.35">
      <c r="B6539"/>
      <c r="C6539"/>
      <c r="H6539"/>
    </row>
    <row r="6540" spans="2:8" x14ac:dyDescent="0.35">
      <c r="B6540"/>
      <c r="C6540"/>
      <c r="H6540"/>
    </row>
    <row r="6541" spans="2:8" x14ac:dyDescent="0.35">
      <c r="B6541"/>
      <c r="C6541"/>
      <c r="H6541"/>
    </row>
    <row r="6542" spans="2:8" x14ac:dyDescent="0.35">
      <c r="B6542"/>
      <c r="C6542"/>
      <c r="H6542"/>
    </row>
    <row r="6543" spans="2:8" x14ac:dyDescent="0.35">
      <c r="B6543"/>
      <c r="C6543"/>
      <c r="H6543"/>
    </row>
    <row r="6544" spans="2:8" x14ac:dyDescent="0.35">
      <c r="B6544"/>
      <c r="C6544"/>
      <c r="H6544"/>
    </row>
    <row r="6545" spans="2:8" x14ac:dyDescent="0.35">
      <c r="B6545"/>
      <c r="C6545"/>
      <c r="H6545"/>
    </row>
    <row r="6546" spans="2:8" x14ac:dyDescent="0.35">
      <c r="B6546"/>
      <c r="C6546"/>
      <c r="H6546"/>
    </row>
    <row r="6547" spans="2:8" x14ac:dyDescent="0.35">
      <c r="B6547"/>
      <c r="C6547"/>
      <c r="H6547"/>
    </row>
    <row r="6548" spans="2:8" x14ac:dyDescent="0.35">
      <c r="B6548"/>
      <c r="C6548"/>
      <c r="H6548"/>
    </row>
    <row r="6549" spans="2:8" x14ac:dyDescent="0.35">
      <c r="B6549"/>
      <c r="C6549"/>
      <c r="H6549"/>
    </row>
    <row r="6550" spans="2:8" x14ac:dyDescent="0.35">
      <c r="B6550"/>
      <c r="C6550"/>
      <c r="H6550"/>
    </row>
    <row r="6551" spans="2:8" x14ac:dyDescent="0.35">
      <c r="B6551"/>
      <c r="C6551"/>
      <c r="H6551"/>
    </row>
    <row r="6552" spans="2:8" x14ac:dyDescent="0.35">
      <c r="B6552"/>
      <c r="C6552"/>
      <c r="H6552"/>
    </row>
    <row r="6553" spans="2:8" x14ac:dyDescent="0.35">
      <c r="B6553"/>
      <c r="C6553"/>
      <c r="H6553"/>
    </row>
    <row r="6554" spans="2:8" x14ac:dyDescent="0.35">
      <c r="B6554"/>
      <c r="C6554"/>
      <c r="H6554"/>
    </row>
    <row r="6555" spans="2:8" x14ac:dyDescent="0.35">
      <c r="B6555"/>
      <c r="C6555"/>
      <c r="H6555"/>
    </row>
    <row r="6556" spans="2:8" x14ac:dyDescent="0.35">
      <c r="B6556"/>
      <c r="C6556"/>
      <c r="H6556"/>
    </row>
    <row r="6557" spans="2:8" x14ac:dyDescent="0.35">
      <c r="B6557"/>
      <c r="C6557"/>
      <c r="H6557"/>
    </row>
    <row r="6558" spans="2:8" x14ac:dyDescent="0.35">
      <c r="B6558"/>
      <c r="C6558"/>
      <c r="H6558"/>
    </row>
    <row r="6559" spans="2:8" x14ac:dyDescent="0.35">
      <c r="B6559"/>
      <c r="C6559"/>
      <c r="H6559"/>
    </row>
    <row r="6560" spans="2:8" x14ac:dyDescent="0.35">
      <c r="B6560"/>
      <c r="C6560"/>
      <c r="H6560"/>
    </row>
    <row r="6561" spans="2:8" x14ac:dyDescent="0.35">
      <c r="B6561"/>
      <c r="C6561"/>
      <c r="H6561"/>
    </row>
    <row r="6562" spans="2:8" x14ac:dyDescent="0.35">
      <c r="B6562"/>
      <c r="C6562"/>
      <c r="H6562"/>
    </row>
    <row r="6563" spans="2:8" x14ac:dyDescent="0.35">
      <c r="B6563"/>
      <c r="C6563"/>
      <c r="H6563"/>
    </row>
    <row r="6564" spans="2:8" x14ac:dyDescent="0.35">
      <c r="B6564"/>
      <c r="C6564"/>
      <c r="H6564"/>
    </row>
    <row r="6565" spans="2:8" x14ac:dyDescent="0.35">
      <c r="B6565"/>
      <c r="C6565"/>
      <c r="H6565"/>
    </row>
    <row r="6566" spans="2:8" x14ac:dyDescent="0.35">
      <c r="B6566"/>
      <c r="C6566"/>
      <c r="H6566"/>
    </row>
    <row r="6567" spans="2:8" x14ac:dyDescent="0.35">
      <c r="B6567"/>
      <c r="C6567"/>
      <c r="H6567"/>
    </row>
    <row r="6568" spans="2:8" x14ac:dyDescent="0.35">
      <c r="B6568"/>
      <c r="C6568"/>
      <c r="H6568"/>
    </row>
    <row r="6569" spans="2:8" x14ac:dyDescent="0.35">
      <c r="B6569"/>
      <c r="C6569"/>
      <c r="H6569"/>
    </row>
    <row r="6570" spans="2:8" x14ac:dyDescent="0.35">
      <c r="B6570"/>
      <c r="C6570"/>
      <c r="H6570"/>
    </row>
    <row r="6571" spans="2:8" x14ac:dyDescent="0.35">
      <c r="B6571"/>
      <c r="C6571"/>
      <c r="H6571"/>
    </row>
    <row r="6572" spans="2:8" x14ac:dyDescent="0.35">
      <c r="B6572"/>
      <c r="C6572"/>
      <c r="H6572"/>
    </row>
    <row r="6573" spans="2:8" x14ac:dyDescent="0.35">
      <c r="B6573"/>
      <c r="C6573"/>
      <c r="H6573"/>
    </row>
    <row r="6574" spans="2:8" x14ac:dyDescent="0.35">
      <c r="B6574"/>
      <c r="C6574"/>
      <c r="H6574"/>
    </row>
    <row r="6575" spans="2:8" x14ac:dyDescent="0.35">
      <c r="B6575"/>
      <c r="C6575"/>
      <c r="H6575"/>
    </row>
    <row r="6576" spans="2:8" x14ac:dyDescent="0.35">
      <c r="B6576"/>
      <c r="C6576"/>
      <c r="H6576"/>
    </row>
    <row r="6577" spans="2:8" x14ac:dyDescent="0.35">
      <c r="B6577"/>
      <c r="C6577"/>
      <c r="H6577"/>
    </row>
    <row r="6578" spans="2:8" x14ac:dyDescent="0.35">
      <c r="B6578"/>
      <c r="C6578"/>
      <c r="H6578"/>
    </row>
    <row r="6579" spans="2:8" x14ac:dyDescent="0.35">
      <c r="B6579"/>
      <c r="C6579"/>
      <c r="H6579"/>
    </row>
    <row r="6580" spans="2:8" x14ac:dyDescent="0.35">
      <c r="B6580"/>
      <c r="C6580"/>
      <c r="H6580"/>
    </row>
    <row r="6581" spans="2:8" x14ac:dyDescent="0.35">
      <c r="B6581"/>
      <c r="C6581"/>
      <c r="H6581"/>
    </row>
    <row r="6582" spans="2:8" x14ac:dyDescent="0.35">
      <c r="B6582"/>
      <c r="C6582"/>
      <c r="H6582"/>
    </row>
    <row r="6583" spans="2:8" x14ac:dyDescent="0.35">
      <c r="B6583"/>
      <c r="C6583"/>
      <c r="H6583"/>
    </row>
    <row r="6584" spans="2:8" x14ac:dyDescent="0.35">
      <c r="B6584"/>
      <c r="C6584"/>
      <c r="H6584"/>
    </row>
    <row r="6585" spans="2:8" x14ac:dyDescent="0.35">
      <c r="B6585"/>
      <c r="C6585"/>
      <c r="H6585"/>
    </row>
    <row r="6586" spans="2:8" x14ac:dyDescent="0.35">
      <c r="B6586"/>
      <c r="C6586"/>
      <c r="H6586"/>
    </row>
    <row r="6587" spans="2:8" x14ac:dyDescent="0.35">
      <c r="B6587"/>
      <c r="C6587"/>
      <c r="H6587"/>
    </row>
    <row r="6588" spans="2:8" x14ac:dyDescent="0.35">
      <c r="B6588"/>
      <c r="C6588"/>
      <c r="H6588"/>
    </row>
    <row r="6589" spans="2:8" x14ac:dyDescent="0.35">
      <c r="B6589"/>
      <c r="C6589"/>
      <c r="H6589"/>
    </row>
    <row r="6590" spans="2:8" x14ac:dyDescent="0.35">
      <c r="B6590"/>
      <c r="C6590"/>
      <c r="H6590"/>
    </row>
    <row r="6591" spans="2:8" x14ac:dyDescent="0.35">
      <c r="B6591"/>
      <c r="C6591"/>
      <c r="H6591"/>
    </row>
    <row r="6592" spans="2:8" x14ac:dyDescent="0.35">
      <c r="B6592"/>
      <c r="C6592"/>
      <c r="H6592"/>
    </row>
    <row r="6593" spans="2:8" x14ac:dyDescent="0.35">
      <c r="B6593"/>
      <c r="C6593"/>
      <c r="H6593"/>
    </row>
    <row r="6594" spans="2:8" x14ac:dyDescent="0.35">
      <c r="B6594"/>
      <c r="C6594"/>
      <c r="H6594"/>
    </row>
    <row r="6595" spans="2:8" x14ac:dyDescent="0.35">
      <c r="B6595"/>
      <c r="C6595"/>
      <c r="H6595"/>
    </row>
    <row r="6596" spans="2:8" x14ac:dyDescent="0.35">
      <c r="B6596"/>
      <c r="C6596"/>
      <c r="H6596"/>
    </row>
    <row r="6597" spans="2:8" x14ac:dyDescent="0.35">
      <c r="B6597"/>
      <c r="C6597"/>
      <c r="H6597"/>
    </row>
    <row r="6598" spans="2:8" x14ac:dyDescent="0.35">
      <c r="B6598"/>
      <c r="C6598"/>
      <c r="H6598"/>
    </row>
    <row r="6599" spans="2:8" x14ac:dyDescent="0.35">
      <c r="B6599"/>
      <c r="C6599"/>
      <c r="H6599"/>
    </row>
    <row r="6600" spans="2:8" x14ac:dyDescent="0.35">
      <c r="B6600"/>
      <c r="C6600"/>
      <c r="H6600"/>
    </row>
    <row r="6601" spans="2:8" x14ac:dyDescent="0.35">
      <c r="B6601"/>
      <c r="C6601"/>
      <c r="H6601"/>
    </row>
    <row r="6602" spans="2:8" x14ac:dyDescent="0.35">
      <c r="B6602"/>
      <c r="C6602"/>
      <c r="H6602"/>
    </row>
    <row r="6603" spans="2:8" x14ac:dyDescent="0.35">
      <c r="B6603"/>
      <c r="C6603"/>
      <c r="H6603"/>
    </row>
    <row r="6604" spans="2:8" x14ac:dyDescent="0.35">
      <c r="B6604"/>
      <c r="C6604"/>
      <c r="H6604"/>
    </row>
    <row r="6605" spans="2:8" x14ac:dyDescent="0.35">
      <c r="B6605"/>
      <c r="C6605"/>
      <c r="H6605"/>
    </row>
    <row r="6606" spans="2:8" x14ac:dyDescent="0.35">
      <c r="B6606"/>
      <c r="C6606"/>
      <c r="H6606"/>
    </row>
    <row r="6607" spans="2:8" x14ac:dyDescent="0.35">
      <c r="B6607"/>
      <c r="C6607"/>
      <c r="H6607"/>
    </row>
    <row r="6608" spans="2:8" x14ac:dyDescent="0.35">
      <c r="B6608"/>
      <c r="C6608"/>
      <c r="H6608"/>
    </row>
    <row r="6609" spans="2:8" x14ac:dyDescent="0.35">
      <c r="B6609"/>
      <c r="C6609"/>
      <c r="H6609"/>
    </row>
    <row r="6610" spans="2:8" x14ac:dyDescent="0.35">
      <c r="B6610"/>
      <c r="C6610"/>
      <c r="H6610"/>
    </row>
    <row r="6611" spans="2:8" x14ac:dyDescent="0.35">
      <c r="B6611"/>
      <c r="C6611"/>
      <c r="H6611"/>
    </row>
    <row r="6612" spans="2:8" x14ac:dyDescent="0.35">
      <c r="B6612"/>
      <c r="C6612"/>
      <c r="H6612"/>
    </row>
    <row r="6613" spans="2:8" x14ac:dyDescent="0.35">
      <c r="B6613"/>
      <c r="C6613"/>
      <c r="H6613"/>
    </row>
    <row r="6614" spans="2:8" x14ac:dyDescent="0.35">
      <c r="B6614"/>
      <c r="C6614"/>
      <c r="H6614"/>
    </row>
    <row r="6615" spans="2:8" x14ac:dyDescent="0.35">
      <c r="B6615"/>
      <c r="C6615"/>
      <c r="H6615"/>
    </row>
    <row r="6616" spans="2:8" x14ac:dyDescent="0.35">
      <c r="B6616"/>
      <c r="C6616"/>
      <c r="H6616"/>
    </row>
    <row r="6617" spans="2:8" x14ac:dyDescent="0.35">
      <c r="B6617"/>
      <c r="C6617"/>
      <c r="H6617"/>
    </row>
    <row r="6618" spans="2:8" x14ac:dyDescent="0.35">
      <c r="B6618"/>
      <c r="C6618"/>
      <c r="H6618"/>
    </row>
    <row r="6619" spans="2:8" x14ac:dyDescent="0.35">
      <c r="B6619"/>
      <c r="C6619"/>
      <c r="H6619"/>
    </row>
    <row r="6620" spans="2:8" x14ac:dyDescent="0.35">
      <c r="B6620"/>
      <c r="C6620"/>
      <c r="H6620"/>
    </row>
    <row r="6621" spans="2:8" x14ac:dyDescent="0.35">
      <c r="B6621"/>
      <c r="C6621"/>
      <c r="H6621"/>
    </row>
    <row r="6622" spans="2:8" x14ac:dyDescent="0.35">
      <c r="B6622"/>
      <c r="C6622"/>
      <c r="H6622"/>
    </row>
    <row r="6623" spans="2:8" x14ac:dyDescent="0.35">
      <c r="B6623"/>
      <c r="C6623"/>
      <c r="H6623"/>
    </row>
    <row r="6624" spans="2:8" x14ac:dyDescent="0.35">
      <c r="B6624"/>
      <c r="C6624"/>
      <c r="H6624"/>
    </row>
    <row r="6625" spans="2:8" x14ac:dyDescent="0.35">
      <c r="B6625"/>
      <c r="C6625"/>
      <c r="H6625"/>
    </row>
    <row r="6626" spans="2:8" x14ac:dyDescent="0.35">
      <c r="B6626"/>
      <c r="C6626"/>
      <c r="H6626"/>
    </row>
    <row r="6627" spans="2:8" x14ac:dyDescent="0.35">
      <c r="B6627"/>
      <c r="C6627"/>
      <c r="H6627"/>
    </row>
    <row r="6628" spans="2:8" x14ac:dyDescent="0.35">
      <c r="B6628"/>
      <c r="C6628"/>
      <c r="H6628"/>
    </row>
    <row r="6629" spans="2:8" x14ac:dyDescent="0.35">
      <c r="B6629"/>
      <c r="C6629"/>
      <c r="H6629"/>
    </row>
    <row r="6630" spans="2:8" x14ac:dyDescent="0.35">
      <c r="B6630"/>
      <c r="C6630"/>
      <c r="H6630"/>
    </row>
    <row r="6631" spans="2:8" x14ac:dyDescent="0.35">
      <c r="B6631"/>
      <c r="C6631"/>
      <c r="H6631"/>
    </row>
    <row r="6632" spans="2:8" x14ac:dyDescent="0.35">
      <c r="B6632"/>
      <c r="C6632"/>
      <c r="H6632"/>
    </row>
    <row r="6633" spans="2:8" x14ac:dyDescent="0.35">
      <c r="B6633"/>
      <c r="C6633"/>
      <c r="H6633"/>
    </row>
    <row r="6634" spans="2:8" x14ac:dyDescent="0.35">
      <c r="B6634"/>
      <c r="C6634"/>
      <c r="H6634"/>
    </row>
    <row r="6635" spans="2:8" x14ac:dyDescent="0.35">
      <c r="B6635"/>
      <c r="C6635"/>
      <c r="H6635"/>
    </row>
    <row r="6636" spans="2:8" x14ac:dyDescent="0.35">
      <c r="B6636"/>
      <c r="C6636"/>
      <c r="H6636"/>
    </row>
    <row r="6637" spans="2:8" x14ac:dyDescent="0.35">
      <c r="B6637"/>
      <c r="C6637"/>
      <c r="H6637"/>
    </row>
    <row r="6638" spans="2:8" x14ac:dyDescent="0.35">
      <c r="B6638"/>
      <c r="C6638"/>
      <c r="H6638"/>
    </row>
    <row r="6639" spans="2:8" x14ac:dyDescent="0.35">
      <c r="B6639"/>
      <c r="C6639"/>
      <c r="H6639"/>
    </row>
    <row r="6640" spans="2:8" x14ac:dyDescent="0.35">
      <c r="B6640"/>
      <c r="C6640"/>
      <c r="H6640"/>
    </row>
    <row r="6641" spans="2:8" x14ac:dyDescent="0.35">
      <c r="B6641"/>
      <c r="C6641"/>
      <c r="H6641"/>
    </row>
    <row r="6642" spans="2:8" x14ac:dyDescent="0.35">
      <c r="B6642"/>
      <c r="C6642"/>
      <c r="H6642"/>
    </row>
    <row r="6643" spans="2:8" x14ac:dyDescent="0.35">
      <c r="B6643"/>
      <c r="C6643"/>
      <c r="H6643"/>
    </row>
    <row r="6644" spans="2:8" x14ac:dyDescent="0.35">
      <c r="B6644"/>
      <c r="C6644"/>
      <c r="H6644"/>
    </row>
    <row r="6645" spans="2:8" x14ac:dyDescent="0.35">
      <c r="B6645"/>
      <c r="C6645"/>
      <c r="H6645"/>
    </row>
    <row r="6646" spans="2:8" x14ac:dyDescent="0.35">
      <c r="B6646"/>
      <c r="C6646"/>
      <c r="H6646"/>
    </row>
    <row r="6647" spans="2:8" x14ac:dyDescent="0.35">
      <c r="B6647"/>
      <c r="C6647"/>
      <c r="H6647"/>
    </row>
    <row r="6648" spans="2:8" x14ac:dyDescent="0.35">
      <c r="B6648"/>
      <c r="C6648"/>
      <c r="H6648"/>
    </row>
    <row r="6649" spans="2:8" x14ac:dyDescent="0.35">
      <c r="B6649"/>
      <c r="C6649"/>
      <c r="H6649"/>
    </row>
    <row r="6650" spans="2:8" x14ac:dyDescent="0.35">
      <c r="B6650"/>
      <c r="C6650"/>
      <c r="H6650"/>
    </row>
    <row r="6651" spans="2:8" x14ac:dyDescent="0.35">
      <c r="B6651"/>
      <c r="C6651"/>
      <c r="H6651"/>
    </row>
    <row r="6652" spans="2:8" x14ac:dyDescent="0.35">
      <c r="B6652"/>
      <c r="C6652"/>
      <c r="H6652"/>
    </row>
    <row r="6653" spans="2:8" x14ac:dyDescent="0.35">
      <c r="B6653"/>
      <c r="C6653"/>
      <c r="H6653"/>
    </row>
    <row r="6654" spans="2:8" x14ac:dyDescent="0.35">
      <c r="B6654"/>
      <c r="C6654"/>
      <c r="H6654"/>
    </row>
    <row r="6655" spans="2:8" x14ac:dyDescent="0.35">
      <c r="B6655"/>
      <c r="C6655"/>
      <c r="H6655"/>
    </row>
    <row r="6656" spans="2:8" x14ac:dyDescent="0.35">
      <c r="B6656"/>
      <c r="C6656"/>
      <c r="H6656"/>
    </row>
    <row r="6657" spans="2:8" x14ac:dyDescent="0.35">
      <c r="B6657"/>
      <c r="C6657"/>
      <c r="H6657"/>
    </row>
    <row r="6658" spans="2:8" x14ac:dyDescent="0.35">
      <c r="B6658"/>
      <c r="C6658"/>
      <c r="H6658"/>
    </row>
    <row r="6659" spans="2:8" x14ac:dyDescent="0.35">
      <c r="B6659"/>
      <c r="C6659"/>
      <c r="H6659"/>
    </row>
    <row r="6660" spans="2:8" x14ac:dyDescent="0.35">
      <c r="B6660"/>
      <c r="C6660"/>
      <c r="H6660"/>
    </row>
    <row r="6661" spans="2:8" x14ac:dyDescent="0.35">
      <c r="B6661"/>
      <c r="C6661"/>
      <c r="H6661"/>
    </row>
    <row r="6662" spans="2:8" x14ac:dyDescent="0.35">
      <c r="B6662"/>
      <c r="C6662"/>
      <c r="H6662"/>
    </row>
    <row r="6663" spans="2:8" x14ac:dyDescent="0.35">
      <c r="B6663"/>
      <c r="C6663"/>
      <c r="H6663"/>
    </row>
    <row r="6664" spans="2:8" x14ac:dyDescent="0.35">
      <c r="B6664"/>
      <c r="C6664"/>
      <c r="H6664"/>
    </row>
    <row r="6665" spans="2:8" x14ac:dyDescent="0.35">
      <c r="B6665"/>
      <c r="C6665"/>
      <c r="H6665"/>
    </row>
    <row r="6666" spans="2:8" x14ac:dyDescent="0.35">
      <c r="B6666"/>
      <c r="C6666"/>
      <c r="H6666"/>
    </row>
    <row r="6667" spans="2:8" x14ac:dyDescent="0.35">
      <c r="B6667"/>
      <c r="C6667"/>
      <c r="H6667"/>
    </row>
    <row r="6668" spans="2:8" x14ac:dyDescent="0.35">
      <c r="B6668"/>
      <c r="C6668"/>
      <c r="H6668"/>
    </row>
    <row r="6669" spans="2:8" x14ac:dyDescent="0.35">
      <c r="B6669"/>
      <c r="C6669"/>
      <c r="H6669"/>
    </row>
    <row r="6670" spans="2:8" x14ac:dyDescent="0.35">
      <c r="B6670"/>
      <c r="C6670"/>
      <c r="H6670"/>
    </row>
    <row r="6671" spans="2:8" x14ac:dyDescent="0.35">
      <c r="B6671"/>
      <c r="C6671"/>
      <c r="H6671"/>
    </row>
    <row r="6672" spans="2:8" x14ac:dyDescent="0.35">
      <c r="B6672"/>
      <c r="C6672"/>
      <c r="H6672"/>
    </row>
    <row r="6673" spans="2:8" x14ac:dyDescent="0.35">
      <c r="B6673"/>
      <c r="C6673"/>
      <c r="H6673"/>
    </row>
    <row r="6674" spans="2:8" x14ac:dyDescent="0.35">
      <c r="B6674"/>
      <c r="C6674"/>
      <c r="H6674"/>
    </row>
    <row r="6675" spans="2:8" x14ac:dyDescent="0.35">
      <c r="B6675"/>
      <c r="C6675"/>
      <c r="H6675"/>
    </row>
    <row r="6676" spans="2:8" x14ac:dyDescent="0.35">
      <c r="B6676"/>
      <c r="C6676"/>
      <c r="H6676"/>
    </row>
    <row r="6677" spans="2:8" x14ac:dyDescent="0.35">
      <c r="B6677"/>
      <c r="C6677"/>
      <c r="H6677"/>
    </row>
    <row r="6678" spans="2:8" x14ac:dyDescent="0.35">
      <c r="B6678"/>
      <c r="C6678"/>
      <c r="H6678"/>
    </row>
    <row r="6679" spans="2:8" x14ac:dyDescent="0.35">
      <c r="B6679"/>
      <c r="C6679"/>
      <c r="H6679"/>
    </row>
    <row r="6680" spans="2:8" x14ac:dyDescent="0.35">
      <c r="B6680"/>
      <c r="C6680"/>
      <c r="H6680"/>
    </row>
    <row r="6681" spans="2:8" x14ac:dyDescent="0.35">
      <c r="B6681"/>
      <c r="C6681"/>
      <c r="H6681"/>
    </row>
    <row r="6682" spans="2:8" x14ac:dyDescent="0.35">
      <c r="B6682"/>
      <c r="C6682"/>
      <c r="H6682"/>
    </row>
    <row r="6683" spans="2:8" x14ac:dyDescent="0.35">
      <c r="B6683"/>
      <c r="C6683"/>
      <c r="H6683"/>
    </row>
    <row r="6684" spans="2:8" x14ac:dyDescent="0.35">
      <c r="B6684"/>
      <c r="C6684"/>
      <c r="H6684"/>
    </row>
    <row r="6685" spans="2:8" x14ac:dyDescent="0.35">
      <c r="B6685"/>
      <c r="C6685"/>
      <c r="H6685"/>
    </row>
    <row r="6686" spans="2:8" x14ac:dyDescent="0.35">
      <c r="B6686"/>
      <c r="C6686"/>
      <c r="H6686"/>
    </row>
    <row r="6687" spans="2:8" x14ac:dyDescent="0.35">
      <c r="B6687"/>
      <c r="C6687"/>
      <c r="H6687"/>
    </row>
    <row r="6688" spans="2:8" x14ac:dyDescent="0.35">
      <c r="B6688"/>
      <c r="C6688"/>
      <c r="H6688"/>
    </row>
    <row r="6689" spans="2:8" x14ac:dyDescent="0.35">
      <c r="B6689"/>
      <c r="C6689"/>
      <c r="H6689"/>
    </row>
    <row r="6690" spans="2:8" x14ac:dyDescent="0.35">
      <c r="B6690"/>
      <c r="C6690"/>
      <c r="H6690"/>
    </row>
    <row r="6691" spans="2:8" x14ac:dyDescent="0.35">
      <c r="B6691"/>
      <c r="C6691"/>
      <c r="H6691"/>
    </row>
    <row r="6692" spans="2:8" x14ac:dyDescent="0.35">
      <c r="B6692"/>
      <c r="C6692"/>
      <c r="H6692"/>
    </row>
    <row r="6693" spans="2:8" x14ac:dyDescent="0.35">
      <c r="B6693"/>
      <c r="C6693"/>
      <c r="H6693"/>
    </row>
    <row r="6694" spans="2:8" x14ac:dyDescent="0.35">
      <c r="B6694"/>
      <c r="C6694"/>
      <c r="H6694"/>
    </row>
    <row r="6695" spans="2:8" x14ac:dyDescent="0.35">
      <c r="B6695"/>
      <c r="C6695"/>
      <c r="H6695"/>
    </row>
    <row r="6696" spans="2:8" x14ac:dyDescent="0.35">
      <c r="B6696"/>
      <c r="C6696"/>
      <c r="H6696"/>
    </row>
    <row r="6697" spans="2:8" x14ac:dyDescent="0.35">
      <c r="B6697"/>
      <c r="C6697"/>
      <c r="H6697"/>
    </row>
    <row r="6698" spans="2:8" x14ac:dyDescent="0.35">
      <c r="B6698"/>
      <c r="C6698"/>
      <c r="H6698"/>
    </row>
    <row r="6699" spans="2:8" x14ac:dyDescent="0.35">
      <c r="B6699"/>
      <c r="C6699"/>
      <c r="H6699"/>
    </row>
    <row r="6700" spans="2:8" x14ac:dyDescent="0.35">
      <c r="B6700"/>
      <c r="C6700"/>
      <c r="H6700"/>
    </row>
    <row r="6701" spans="2:8" x14ac:dyDescent="0.35">
      <c r="B6701"/>
      <c r="C6701"/>
      <c r="H6701"/>
    </row>
    <row r="6702" spans="2:8" x14ac:dyDescent="0.35">
      <c r="B6702"/>
      <c r="C6702"/>
      <c r="H6702"/>
    </row>
    <row r="6703" spans="2:8" x14ac:dyDescent="0.35">
      <c r="B6703"/>
      <c r="C6703"/>
      <c r="H6703"/>
    </row>
    <row r="6704" spans="2:8" x14ac:dyDescent="0.35">
      <c r="B6704"/>
      <c r="C6704"/>
      <c r="H6704"/>
    </row>
    <row r="6705" spans="2:8" x14ac:dyDescent="0.35">
      <c r="B6705"/>
      <c r="C6705"/>
      <c r="H6705"/>
    </row>
    <row r="6706" spans="2:8" x14ac:dyDescent="0.35">
      <c r="B6706"/>
      <c r="C6706"/>
      <c r="H6706"/>
    </row>
    <row r="6707" spans="2:8" x14ac:dyDescent="0.35">
      <c r="B6707"/>
      <c r="C6707"/>
      <c r="H6707"/>
    </row>
    <row r="6708" spans="2:8" x14ac:dyDescent="0.35">
      <c r="B6708"/>
      <c r="C6708"/>
      <c r="H6708"/>
    </row>
    <row r="6709" spans="2:8" x14ac:dyDescent="0.35">
      <c r="B6709"/>
      <c r="C6709"/>
      <c r="H6709"/>
    </row>
    <row r="6710" spans="2:8" x14ac:dyDescent="0.35">
      <c r="B6710"/>
      <c r="C6710"/>
      <c r="H6710"/>
    </row>
    <row r="6711" spans="2:8" x14ac:dyDescent="0.35">
      <c r="B6711"/>
      <c r="C6711"/>
      <c r="H6711"/>
    </row>
    <row r="6712" spans="2:8" x14ac:dyDescent="0.35">
      <c r="B6712"/>
      <c r="C6712"/>
      <c r="H6712"/>
    </row>
    <row r="6713" spans="2:8" x14ac:dyDescent="0.35">
      <c r="B6713"/>
      <c r="C6713"/>
      <c r="H6713"/>
    </row>
    <row r="6714" spans="2:8" x14ac:dyDescent="0.35">
      <c r="B6714"/>
      <c r="C6714"/>
      <c r="H6714"/>
    </row>
    <row r="6715" spans="2:8" x14ac:dyDescent="0.35">
      <c r="B6715"/>
      <c r="C6715"/>
      <c r="H6715"/>
    </row>
    <row r="6716" spans="2:8" x14ac:dyDescent="0.35">
      <c r="B6716"/>
      <c r="C6716"/>
      <c r="H6716"/>
    </row>
    <row r="6717" spans="2:8" x14ac:dyDescent="0.35">
      <c r="B6717"/>
      <c r="C6717"/>
      <c r="H6717"/>
    </row>
    <row r="6718" spans="2:8" x14ac:dyDescent="0.35">
      <c r="B6718"/>
      <c r="C6718"/>
      <c r="H6718"/>
    </row>
    <row r="6719" spans="2:8" x14ac:dyDescent="0.35">
      <c r="B6719"/>
      <c r="C6719"/>
      <c r="H6719"/>
    </row>
    <row r="6720" spans="2:8" x14ac:dyDescent="0.35">
      <c r="B6720"/>
      <c r="C6720"/>
      <c r="H6720"/>
    </row>
    <row r="6721" spans="2:8" x14ac:dyDescent="0.35">
      <c r="B6721"/>
      <c r="C6721"/>
      <c r="H6721"/>
    </row>
    <row r="6722" spans="2:8" x14ac:dyDescent="0.35">
      <c r="B6722"/>
      <c r="C6722"/>
      <c r="H6722"/>
    </row>
    <row r="6723" spans="2:8" x14ac:dyDescent="0.35">
      <c r="B6723"/>
      <c r="C6723"/>
      <c r="H6723"/>
    </row>
    <row r="6724" spans="2:8" x14ac:dyDescent="0.35">
      <c r="B6724"/>
      <c r="C6724"/>
      <c r="H6724"/>
    </row>
    <row r="6725" spans="2:8" x14ac:dyDescent="0.35">
      <c r="B6725"/>
      <c r="C6725"/>
      <c r="H6725"/>
    </row>
    <row r="6726" spans="2:8" x14ac:dyDescent="0.35">
      <c r="B6726"/>
      <c r="C6726"/>
      <c r="H6726"/>
    </row>
    <row r="6727" spans="2:8" x14ac:dyDescent="0.35">
      <c r="B6727"/>
      <c r="C6727"/>
      <c r="H6727"/>
    </row>
    <row r="6728" spans="2:8" x14ac:dyDescent="0.35">
      <c r="B6728"/>
      <c r="C6728"/>
      <c r="H6728"/>
    </row>
    <row r="6729" spans="2:8" x14ac:dyDescent="0.35">
      <c r="B6729"/>
      <c r="C6729"/>
      <c r="H6729"/>
    </row>
    <row r="6730" spans="2:8" x14ac:dyDescent="0.35">
      <c r="B6730"/>
      <c r="C6730"/>
      <c r="H6730"/>
    </row>
    <row r="6731" spans="2:8" x14ac:dyDescent="0.35">
      <c r="B6731"/>
      <c r="C6731"/>
      <c r="H6731"/>
    </row>
    <row r="6732" spans="2:8" x14ac:dyDescent="0.35">
      <c r="B6732"/>
      <c r="C6732"/>
      <c r="H6732"/>
    </row>
    <row r="6733" spans="2:8" x14ac:dyDescent="0.35">
      <c r="B6733"/>
      <c r="C6733"/>
      <c r="H6733"/>
    </row>
    <row r="6734" spans="2:8" x14ac:dyDescent="0.35">
      <c r="B6734"/>
      <c r="C6734"/>
      <c r="H6734"/>
    </row>
    <row r="6735" spans="2:8" x14ac:dyDescent="0.35">
      <c r="B6735"/>
      <c r="C6735"/>
      <c r="H6735"/>
    </row>
    <row r="6736" spans="2:8" x14ac:dyDescent="0.35">
      <c r="B6736"/>
      <c r="C6736"/>
      <c r="H6736"/>
    </row>
    <row r="6737" spans="2:8" x14ac:dyDescent="0.35">
      <c r="B6737"/>
      <c r="C6737"/>
      <c r="H6737"/>
    </row>
    <row r="6738" spans="2:8" x14ac:dyDescent="0.35">
      <c r="B6738"/>
      <c r="C6738"/>
      <c r="H6738"/>
    </row>
    <row r="6739" spans="2:8" x14ac:dyDescent="0.35">
      <c r="B6739"/>
      <c r="C6739"/>
      <c r="H6739"/>
    </row>
    <row r="6740" spans="2:8" x14ac:dyDescent="0.35">
      <c r="B6740"/>
      <c r="C6740"/>
      <c r="H6740"/>
    </row>
    <row r="6741" spans="2:8" x14ac:dyDescent="0.35">
      <c r="B6741"/>
      <c r="C6741"/>
      <c r="H6741"/>
    </row>
    <row r="6742" spans="2:8" x14ac:dyDescent="0.35">
      <c r="B6742"/>
      <c r="C6742"/>
      <c r="H6742"/>
    </row>
    <row r="6743" spans="2:8" x14ac:dyDescent="0.35">
      <c r="B6743"/>
      <c r="C6743"/>
      <c r="H6743"/>
    </row>
    <row r="6744" spans="2:8" x14ac:dyDescent="0.35">
      <c r="B6744"/>
      <c r="C6744"/>
      <c r="H6744"/>
    </row>
    <row r="6745" spans="2:8" x14ac:dyDescent="0.35">
      <c r="B6745"/>
      <c r="C6745"/>
      <c r="H6745"/>
    </row>
    <row r="6746" spans="2:8" x14ac:dyDescent="0.35">
      <c r="B6746"/>
      <c r="C6746"/>
      <c r="H6746"/>
    </row>
    <row r="6747" spans="2:8" x14ac:dyDescent="0.35">
      <c r="B6747"/>
      <c r="C6747"/>
      <c r="H6747"/>
    </row>
    <row r="6748" spans="2:8" x14ac:dyDescent="0.35">
      <c r="B6748"/>
      <c r="C6748"/>
      <c r="H6748"/>
    </row>
    <row r="6749" spans="2:8" x14ac:dyDescent="0.35">
      <c r="B6749"/>
      <c r="C6749"/>
      <c r="H6749"/>
    </row>
    <row r="6750" spans="2:8" x14ac:dyDescent="0.35">
      <c r="B6750"/>
      <c r="C6750"/>
      <c r="H6750"/>
    </row>
    <row r="6751" spans="2:8" x14ac:dyDescent="0.35">
      <c r="B6751"/>
      <c r="C6751"/>
      <c r="H6751"/>
    </row>
    <row r="6752" spans="2:8" x14ac:dyDescent="0.35">
      <c r="B6752"/>
      <c r="C6752"/>
      <c r="H6752"/>
    </row>
    <row r="6753" spans="2:8" x14ac:dyDescent="0.35">
      <c r="B6753"/>
      <c r="C6753"/>
      <c r="H6753"/>
    </row>
    <row r="6754" spans="2:8" x14ac:dyDescent="0.35">
      <c r="B6754"/>
      <c r="C6754"/>
      <c r="H6754"/>
    </row>
    <row r="6755" spans="2:8" x14ac:dyDescent="0.35">
      <c r="B6755"/>
      <c r="C6755"/>
      <c r="H6755"/>
    </row>
    <row r="6756" spans="2:8" x14ac:dyDescent="0.35">
      <c r="B6756"/>
      <c r="C6756"/>
      <c r="H6756"/>
    </row>
    <row r="6757" spans="2:8" x14ac:dyDescent="0.35">
      <c r="B6757"/>
      <c r="C6757"/>
      <c r="H6757"/>
    </row>
    <row r="6758" spans="2:8" x14ac:dyDescent="0.35">
      <c r="B6758"/>
      <c r="C6758"/>
      <c r="H6758"/>
    </row>
    <row r="6759" spans="2:8" x14ac:dyDescent="0.35">
      <c r="B6759"/>
      <c r="C6759"/>
      <c r="H6759"/>
    </row>
    <row r="6760" spans="2:8" x14ac:dyDescent="0.35">
      <c r="B6760"/>
      <c r="C6760"/>
      <c r="H6760"/>
    </row>
    <row r="6761" spans="2:8" x14ac:dyDescent="0.35">
      <c r="B6761"/>
      <c r="C6761"/>
      <c r="H6761"/>
    </row>
    <row r="6762" spans="2:8" x14ac:dyDescent="0.35">
      <c r="B6762"/>
      <c r="C6762"/>
      <c r="H6762"/>
    </row>
    <row r="6763" spans="2:8" x14ac:dyDescent="0.35">
      <c r="B6763"/>
      <c r="C6763"/>
      <c r="H6763"/>
    </row>
    <row r="6764" spans="2:8" x14ac:dyDescent="0.35">
      <c r="B6764"/>
      <c r="C6764"/>
      <c r="H6764"/>
    </row>
    <row r="6765" spans="2:8" x14ac:dyDescent="0.35">
      <c r="B6765"/>
      <c r="C6765"/>
      <c r="H6765"/>
    </row>
    <row r="6766" spans="2:8" x14ac:dyDescent="0.35">
      <c r="B6766"/>
      <c r="C6766"/>
      <c r="H6766"/>
    </row>
    <row r="6767" spans="2:8" x14ac:dyDescent="0.35">
      <c r="B6767"/>
      <c r="C6767"/>
      <c r="H6767"/>
    </row>
    <row r="6768" spans="2:8" x14ac:dyDescent="0.35">
      <c r="B6768"/>
      <c r="C6768"/>
      <c r="H6768"/>
    </row>
    <row r="6769" spans="2:8" x14ac:dyDescent="0.35">
      <c r="B6769"/>
      <c r="C6769"/>
      <c r="H6769"/>
    </row>
    <row r="6770" spans="2:8" x14ac:dyDescent="0.35">
      <c r="B6770"/>
      <c r="C6770"/>
      <c r="H6770"/>
    </row>
    <row r="6771" spans="2:8" x14ac:dyDescent="0.35">
      <c r="B6771"/>
      <c r="C6771"/>
      <c r="H6771"/>
    </row>
    <row r="6772" spans="2:8" x14ac:dyDescent="0.35">
      <c r="B6772"/>
      <c r="C6772"/>
      <c r="H6772"/>
    </row>
    <row r="6773" spans="2:8" x14ac:dyDescent="0.35">
      <c r="B6773"/>
      <c r="C6773"/>
      <c r="H6773"/>
    </row>
    <row r="6774" spans="2:8" x14ac:dyDescent="0.35">
      <c r="B6774"/>
      <c r="C6774"/>
      <c r="H6774"/>
    </row>
    <row r="6775" spans="2:8" x14ac:dyDescent="0.35">
      <c r="B6775"/>
      <c r="C6775"/>
      <c r="H6775"/>
    </row>
    <row r="6776" spans="2:8" x14ac:dyDescent="0.35">
      <c r="B6776"/>
      <c r="C6776"/>
      <c r="H6776"/>
    </row>
    <row r="6777" spans="2:8" x14ac:dyDescent="0.35">
      <c r="B6777"/>
      <c r="C6777"/>
      <c r="H6777"/>
    </row>
    <row r="6778" spans="2:8" x14ac:dyDescent="0.35">
      <c r="B6778"/>
      <c r="C6778"/>
      <c r="H6778"/>
    </row>
    <row r="6779" spans="2:8" x14ac:dyDescent="0.35">
      <c r="B6779"/>
      <c r="C6779"/>
      <c r="H6779"/>
    </row>
    <row r="6780" spans="2:8" x14ac:dyDescent="0.35">
      <c r="B6780"/>
      <c r="C6780"/>
      <c r="H6780"/>
    </row>
    <row r="6781" spans="2:8" x14ac:dyDescent="0.35">
      <c r="B6781"/>
      <c r="C6781"/>
      <c r="H6781"/>
    </row>
    <row r="6782" spans="2:8" x14ac:dyDescent="0.35">
      <c r="B6782"/>
      <c r="C6782"/>
      <c r="H6782"/>
    </row>
    <row r="6783" spans="2:8" x14ac:dyDescent="0.35">
      <c r="B6783"/>
      <c r="C6783"/>
      <c r="H6783"/>
    </row>
    <row r="6784" spans="2:8" x14ac:dyDescent="0.35">
      <c r="B6784"/>
      <c r="C6784"/>
      <c r="H6784"/>
    </row>
    <row r="6785" spans="2:8" x14ac:dyDescent="0.35">
      <c r="B6785"/>
      <c r="C6785"/>
      <c r="H6785"/>
    </row>
    <row r="6786" spans="2:8" x14ac:dyDescent="0.35">
      <c r="B6786"/>
      <c r="C6786"/>
      <c r="H6786"/>
    </row>
    <row r="6787" spans="2:8" x14ac:dyDescent="0.35">
      <c r="B6787"/>
      <c r="C6787"/>
      <c r="H6787"/>
    </row>
    <row r="6788" spans="2:8" x14ac:dyDescent="0.35">
      <c r="B6788"/>
      <c r="C6788"/>
      <c r="H6788"/>
    </row>
    <row r="6789" spans="2:8" x14ac:dyDescent="0.35">
      <c r="B6789"/>
      <c r="C6789"/>
      <c r="H6789"/>
    </row>
    <row r="6790" spans="2:8" x14ac:dyDescent="0.35">
      <c r="B6790"/>
      <c r="C6790"/>
      <c r="H6790"/>
    </row>
    <row r="6791" spans="2:8" x14ac:dyDescent="0.35">
      <c r="B6791"/>
      <c r="C6791"/>
      <c r="H6791"/>
    </row>
    <row r="6792" spans="2:8" x14ac:dyDescent="0.35">
      <c r="B6792"/>
      <c r="C6792"/>
      <c r="H6792"/>
    </row>
    <row r="6793" spans="2:8" x14ac:dyDescent="0.35">
      <c r="B6793"/>
      <c r="C6793"/>
      <c r="H6793"/>
    </row>
    <row r="6794" spans="2:8" x14ac:dyDescent="0.35">
      <c r="B6794"/>
      <c r="C6794"/>
      <c r="H6794"/>
    </row>
    <row r="6795" spans="2:8" x14ac:dyDescent="0.35">
      <c r="B6795"/>
      <c r="C6795"/>
      <c r="H6795"/>
    </row>
    <row r="6796" spans="2:8" x14ac:dyDescent="0.35">
      <c r="B6796"/>
      <c r="C6796"/>
      <c r="H6796"/>
    </row>
    <row r="6797" spans="2:8" x14ac:dyDescent="0.35">
      <c r="B6797"/>
      <c r="C6797"/>
      <c r="H6797"/>
    </row>
    <row r="6798" spans="2:8" x14ac:dyDescent="0.35">
      <c r="B6798"/>
      <c r="C6798"/>
      <c r="H6798"/>
    </row>
    <row r="6799" spans="2:8" x14ac:dyDescent="0.35">
      <c r="B6799"/>
      <c r="C6799"/>
      <c r="H6799"/>
    </row>
    <row r="6800" spans="2:8" x14ac:dyDescent="0.35">
      <c r="B6800"/>
      <c r="C6800"/>
      <c r="H6800"/>
    </row>
    <row r="6801" spans="2:8" x14ac:dyDescent="0.35">
      <c r="B6801"/>
      <c r="C6801"/>
      <c r="H6801"/>
    </row>
    <row r="6802" spans="2:8" x14ac:dyDescent="0.35">
      <c r="B6802"/>
      <c r="C6802"/>
      <c r="H6802"/>
    </row>
    <row r="6803" spans="2:8" x14ac:dyDescent="0.35">
      <c r="B6803"/>
      <c r="C6803"/>
      <c r="H6803"/>
    </row>
    <row r="6804" spans="2:8" x14ac:dyDescent="0.35">
      <c r="B6804"/>
      <c r="C6804"/>
      <c r="H6804"/>
    </row>
    <row r="6805" spans="2:8" x14ac:dyDescent="0.35">
      <c r="B6805"/>
      <c r="C6805"/>
      <c r="H6805"/>
    </row>
    <row r="6806" spans="2:8" x14ac:dyDescent="0.35">
      <c r="B6806"/>
      <c r="C6806"/>
      <c r="H6806"/>
    </row>
    <row r="6807" spans="2:8" x14ac:dyDescent="0.35">
      <c r="B6807"/>
      <c r="C6807"/>
      <c r="H6807"/>
    </row>
    <row r="6808" spans="2:8" x14ac:dyDescent="0.35">
      <c r="B6808"/>
      <c r="C6808"/>
      <c r="H6808"/>
    </row>
    <row r="6809" spans="2:8" x14ac:dyDescent="0.35">
      <c r="B6809"/>
      <c r="C6809"/>
      <c r="H6809"/>
    </row>
    <row r="6810" spans="2:8" x14ac:dyDescent="0.35">
      <c r="B6810"/>
      <c r="C6810"/>
      <c r="H6810"/>
    </row>
    <row r="6811" spans="2:8" x14ac:dyDescent="0.35">
      <c r="B6811"/>
      <c r="C6811"/>
      <c r="H6811"/>
    </row>
    <row r="6812" spans="2:8" x14ac:dyDescent="0.35">
      <c r="B6812"/>
      <c r="C6812"/>
      <c r="H6812"/>
    </row>
    <row r="6813" spans="2:8" x14ac:dyDescent="0.35">
      <c r="B6813"/>
      <c r="C6813"/>
      <c r="H6813"/>
    </row>
    <row r="6814" spans="2:8" x14ac:dyDescent="0.35">
      <c r="B6814"/>
      <c r="C6814"/>
      <c r="H6814"/>
    </row>
    <row r="6815" spans="2:8" x14ac:dyDescent="0.35">
      <c r="B6815"/>
      <c r="C6815"/>
      <c r="H6815"/>
    </row>
    <row r="6816" spans="2:8" x14ac:dyDescent="0.35">
      <c r="B6816"/>
      <c r="C6816"/>
      <c r="H6816"/>
    </row>
    <row r="6817" spans="2:8" x14ac:dyDescent="0.35">
      <c r="B6817"/>
      <c r="C6817"/>
      <c r="H6817"/>
    </row>
    <row r="6818" spans="2:8" x14ac:dyDescent="0.35">
      <c r="B6818"/>
      <c r="C6818"/>
      <c r="H6818"/>
    </row>
    <row r="6819" spans="2:8" x14ac:dyDescent="0.35">
      <c r="B6819"/>
      <c r="C6819"/>
      <c r="H6819"/>
    </row>
    <row r="6820" spans="2:8" x14ac:dyDescent="0.35">
      <c r="B6820"/>
      <c r="C6820"/>
      <c r="H6820"/>
    </row>
    <row r="6821" spans="2:8" x14ac:dyDescent="0.35">
      <c r="B6821"/>
      <c r="C6821"/>
      <c r="H6821"/>
    </row>
    <row r="6822" spans="2:8" x14ac:dyDescent="0.35">
      <c r="B6822"/>
      <c r="C6822"/>
      <c r="H6822"/>
    </row>
    <row r="6823" spans="2:8" x14ac:dyDescent="0.35">
      <c r="B6823"/>
      <c r="C6823"/>
      <c r="H6823"/>
    </row>
    <row r="6824" spans="2:8" x14ac:dyDescent="0.35">
      <c r="B6824"/>
      <c r="C6824"/>
      <c r="H6824"/>
    </row>
    <row r="6825" spans="2:8" x14ac:dyDescent="0.35">
      <c r="B6825"/>
      <c r="C6825"/>
      <c r="H6825"/>
    </row>
    <row r="6826" spans="2:8" x14ac:dyDescent="0.35">
      <c r="B6826"/>
      <c r="C6826"/>
      <c r="H6826"/>
    </row>
    <row r="6827" spans="2:8" x14ac:dyDescent="0.35">
      <c r="B6827"/>
      <c r="C6827"/>
      <c r="H6827"/>
    </row>
    <row r="6828" spans="2:8" x14ac:dyDescent="0.35">
      <c r="B6828"/>
      <c r="C6828"/>
      <c r="H6828"/>
    </row>
    <row r="6829" spans="2:8" x14ac:dyDescent="0.35">
      <c r="B6829"/>
      <c r="C6829"/>
      <c r="H6829"/>
    </row>
    <row r="6830" spans="2:8" x14ac:dyDescent="0.35">
      <c r="B6830"/>
      <c r="C6830"/>
      <c r="H6830"/>
    </row>
    <row r="6831" spans="2:8" x14ac:dyDescent="0.35">
      <c r="B6831"/>
      <c r="C6831"/>
      <c r="H6831"/>
    </row>
    <row r="6832" spans="2:8" x14ac:dyDescent="0.35">
      <c r="B6832"/>
      <c r="C6832"/>
      <c r="H6832"/>
    </row>
    <row r="6833" spans="2:8" x14ac:dyDescent="0.35">
      <c r="B6833"/>
      <c r="C6833"/>
      <c r="H6833"/>
    </row>
    <row r="6834" spans="2:8" x14ac:dyDescent="0.35">
      <c r="B6834"/>
      <c r="C6834"/>
      <c r="H6834"/>
    </row>
    <row r="6835" spans="2:8" x14ac:dyDescent="0.35">
      <c r="B6835"/>
      <c r="C6835"/>
      <c r="H6835"/>
    </row>
    <row r="6836" spans="2:8" x14ac:dyDescent="0.35">
      <c r="B6836"/>
      <c r="C6836"/>
      <c r="H6836"/>
    </row>
    <row r="6837" spans="2:8" x14ac:dyDescent="0.35">
      <c r="B6837"/>
      <c r="C6837"/>
      <c r="H6837"/>
    </row>
    <row r="6838" spans="2:8" x14ac:dyDescent="0.35">
      <c r="B6838"/>
      <c r="C6838"/>
      <c r="H6838"/>
    </row>
    <row r="6839" spans="2:8" x14ac:dyDescent="0.35">
      <c r="B6839"/>
      <c r="C6839"/>
      <c r="H6839"/>
    </row>
    <row r="6840" spans="2:8" x14ac:dyDescent="0.35">
      <c r="B6840"/>
      <c r="C6840"/>
      <c r="H6840"/>
    </row>
    <row r="6841" spans="2:8" x14ac:dyDescent="0.35">
      <c r="B6841"/>
      <c r="C6841"/>
      <c r="H6841"/>
    </row>
    <row r="6842" spans="2:8" x14ac:dyDescent="0.35">
      <c r="B6842"/>
      <c r="C6842"/>
      <c r="H6842"/>
    </row>
    <row r="6843" spans="2:8" x14ac:dyDescent="0.35">
      <c r="B6843"/>
      <c r="C6843"/>
      <c r="H6843"/>
    </row>
    <row r="6844" spans="2:8" x14ac:dyDescent="0.35">
      <c r="B6844"/>
      <c r="C6844"/>
      <c r="H6844"/>
    </row>
    <row r="6845" spans="2:8" x14ac:dyDescent="0.35">
      <c r="B6845"/>
      <c r="C6845"/>
      <c r="H6845"/>
    </row>
    <row r="6846" spans="2:8" x14ac:dyDescent="0.35">
      <c r="B6846"/>
      <c r="C6846"/>
      <c r="H6846"/>
    </row>
    <row r="6847" spans="2:8" x14ac:dyDescent="0.35">
      <c r="B6847"/>
      <c r="C6847"/>
      <c r="H6847"/>
    </row>
    <row r="6848" spans="2:8" x14ac:dyDescent="0.35">
      <c r="B6848"/>
      <c r="C6848"/>
      <c r="H6848"/>
    </row>
    <row r="6849" spans="2:8" x14ac:dyDescent="0.35">
      <c r="B6849"/>
      <c r="C6849"/>
      <c r="H6849"/>
    </row>
    <row r="6850" spans="2:8" x14ac:dyDescent="0.35">
      <c r="B6850"/>
      <c r="C6850"/>
      <c r="H6850"/>
    </row>
    <row r="6851" spans="2:8" x14ac:dyDescent="0.35">
      <c r="B6851"/>
      <c r="C6851"/>
      <c r="H6851"/>
    </row>
    <row r="6852" spans="2:8" x14ac:dyDescent="0.35">
      <c r="B6852"/>
      <c r="C6852"/>
      <c r="H6852"/>
    </row>
    <row r="6853" spans="2:8" x14ac:dyDescent="0.35">
      <c r="B6853"/>
      <c r="C6853"/>
      <c r="H6853"/>
    </row>
    <row r="6854" spans="2:8" x14ac:dyDescent="0.35">
      <c r="B6854"/>
      <c r="C6854"/>
      <c r="H6854"/>
    </row>
    <row r="6855" spans="2:8" x14ac:dyDescent="0.35">
      <c r="B6855"/>
      <c r="C6855"/>
      <c r="H6855"/>
    </row>
    <row r="6856" spans="2:8" x14ac:dyDescent="0.35">
      <c r="B6856"/>
      <c r="C6856"/>
      <c r="H6856"/>
    </row>
    <row r="6857" spans="2:8" x14ac:dyDescent="0.35">
      <c r="B6857"/>
      <c r="C6857"/>
      <c r="H6857"/>
    </row>
    <row r="6858" spans="2:8" x14ac:dyDescent="0.35">
      <c r="B6858"/>
      <c r="C6858"/>
      <c r="H6858"/>
    </row>
    <row r="6859" spans="2:8" x14ac:dyDescent="0.35">
      <c r="B6859"/>
      <c r="C6859"/>
      <c r="H6859"/>
    </row>
    <row r="6860" spans="2:8" x14ac:dyDescent="0.35">
      <c r="B6860"/>
      <c r="C6860"/>
      <c r="H6860"/>
    </row>
    <row r="6861" spans="2:8" x14ac:dyDescent="0.35">
      <c r="B6861"/>
      <c r="C6861"/>
      <c r="H6861"/>
    </row>
    <row r="6862" spans="2:8" x14ac:dyDescent="0.35">
      <c r="B6862"/>
      <c r="C6862"/>
      <c r="H6862"/>
    </row>
    <row r="6863" spans="2:8" x14ac:dyDescent="0.35">
      <c r="B6863"/>
      <c r="C6863"/>
      <c r="H6863"/>
    </row>
    <row r="6864" spans="2:8" x14ac:dyDescent="0.35">
      <c r="B6864"/>
      <c r="C6864"/>
      <c r="H6864"/>
    </row>
    <row r="6865" spans="2:8" x14ac:dyDescent="0.35">
      <c r="B6865"/>
      <c r="C6865"/>
      <c r="H6865"/>
    </row>
    <row r="6866" spans="2:8" x14ac:dyDescent="0.35">
      <c r="B6866"/>
      <c r="C6866"/>
      <c r="H6866"/>
    </row>
    <row r="6867" spans="2:8" x14ac:dyDescent="0.35">
      <c r="B6867"/>
      <c r="C6867"/>
      <c r="H6867"/>
    </row>
    <row r="6868" spans="2:8" x14ac:dyDescent="0.35">
      <c r="B6868"/>
      <c r="C6868"/>
      <c r="H6868"/>
    </row>
    <row r="6869" spans="2:8" x14ac:dyDescent="0.35">
      <c r="B6869"/>
      <c r="C6869"/>
      <c r="H6869"/>
    </row>
    <row r="6870" spans="2:8" x14ac:dyDescent="0.35">
      <c r="B6870"/>
      <c r="C6870"/>
      <c r="H6870"/>
    </row>
    <row r="6871" spans="2:8" x14ac:dyDescent="0.35">
      <c r="B6871"/>
      <c r="C6871"/>
      <c r="H6871"/>
    </row>
    <row r="6872" spans="2:8" x14ac:dyDescent="0.35">
      <c r="B6872"/>
      <c r="C6872"/>
      <c r="H6872"/>
    </row>
    <row r="6873" spans="2:8" x14ac:dyDescent="0.35">
      <c r="B6873"/>
      <c r="C6873"/>
      <c r="H6873"/>
    </row>
    <row r="6874" spans="2:8" x14ac:dyDescent="0.35">
      <c r="B6874"/>
      <c r="C6874"/>
      <c r="H6874"/>
    </row>
    <row r="6875" spans="2:8" x14ac:dyDescent="0.35">
      <c r="B6875"/>
      <c r="C6875"/>
      <c r="H6875"/>
    </row>
    <row r="6876" spans="2:8" x14ac:dyDescent="0.35">
      <c r="B6876"/>
      <c r="C6876"/>
      <c r="H6876"/>
    </row>
    <row r="6877" spans="2:8" x14ac:dyDescent="0.35">
      <c r="B6877"/>
      <c r="C6877"/>
      <c r="H6877"/>
    </row>
    <row r="6878" spans="2:8" x14ac:dyDescent="0.35">
      <c r="B6878"/>
      <c r="C6878"/>
      <c r="H6878"/>
    </row>
    <row r="6879" spans="2:8" x14ac:dyDescent="0.35">
      <c r="B6879"/>
      <c r="C6879"/>
      <c r="H6879"/>
    </row>
    <row r="6880" spans="2:8" x14ac:dyDescent="0.35">
      <c r="B6880"/>
      <c r="C6880"/>
      <c r="H6880"/>
    </row>
    <row r="6881" spans="2:8" x14ac:dyDescent="0.35">
      <c r="B6881"/>
      <c r="C6881"/>
      <c r="H6881"/>
    </row>
    <row r="6882" spans="2:8" x14ac:dyDescent="0.35">
      <c r="B6882"/>
      <c r="C6882"/>
      <c r="H6882"/>
    </row>
    <row r="6883" spans="2:8" x14ac:dyDescent="0.35">
      <c r="B6883"/>
      <c r="C6883"/>
      <c r="H6883"/>
    </row>
    <row r="6884" spans="2:8" x14ac:dyDescent="0.35">
      <c r="B6884"/>
      <c r="C6884"/>
      <c r="H6884"/>
    </row>
    <row r="6885" spans="2:8" x14ac:dyDescent="0.35">
      <c r="B6885"/>
      <c r="C6885"/>
      <c r="H6885"/>
    </row>
    <row r="6886" spans="2:8" x14ac:dyDescent="0.35">
      <c r="B6886"/>
      <c r="C6886"/>
      <c r="H6886"/>
    </row>
    <row r="6887" spans="2:8" x14ac:dyDescent="0.35">
      <c r="B6887"/>
      <c r="C6887"/>
      <c r="H6887"/>
    </row>
    <row r="6888" spans="2:8" x14ac:dyDescent="0.35">
      <c r="B6888"/>
      <c r="C6888"/>
      <c r="H6888"/>
    </row>
    <row r="6889" spans="2:8" x14ac:dyDescent="0.35">
      <c r="B6889"/>
      <c r="C6889"/>
      <c r="H6889"/>
    </row>
    <row r="6890" spans="2:8" x14ac:dyDescent="0.35">
      <c r="B6890"/>
      <c r="C6890"/>
      <c r="H6890"/>
    </row>
    <row r="6891" spans="2:8" x14ac:dyDescent="0.35">
      <c r="B6891"/>
      <c r="C6891"/>
      <c r="H6891"/>
    </row>
    <row r="6892" spans="2:8" x14ac:dyDescent="0.35">
      <c r="B6892"/>
      <c r="C6892"/>
      <c r="H6892"/>
    </row>
    <row r="6893" spans="2:8" x14ac:dyDescent="0.35">
      <c r="B6893"/>
      <c r="C6893"/>
      <c r="H6893"/>
    </row>
    <row r="6894" spans="2:8" x14ac:dyDescent="0.35">
      <c r="B6894"/>
      <c r="C6894"/>
      <c r="H6894"/>
    </row>
    <row r="6895" spans="2:8" x14ac:dyDescent="0.35">
      <c r="B6895"/>
      <c r="C6895"/>
      <c r="H6895"/>
    </row>
    <row r="6896" spans="2:8" x14ac:dyDescent="0.35">
      <c r="B6896"/>
      <c r="C6896"/>
      <c r="H6896"/>
    </row>
    <row r="6897" spans="2:8" x14ac:dyDescent="0.35">
      <c r="B6897"/>
      <c r="C6897"/>
      <c r="H6897"/>
    </row>
    <row r="6898" spans="2:8" x14ac:dyDescent="0.35">
      <c r="B6898"/>
      <c r="C6898"/>
      <c r="H6898"/>
    </row>
    <row r="6899" spans="2:8" x14ac:dyDescent="0.35">
      <c r="B6899"/>
      <c r="C6899"/>
      <c r="H6899"/>
    </row>
    <row r="6900" spans="2:8" x14ac:dyDescent="0.35">
      <c r="B6900"/>
      <c r="C6900"/>
      <c r="H6900"/>
    </row>
    <row r="6901" spans="2:8" x14ac:dyDescent="0.35">
      <c r="B6901"/>
      <c r="C6901"/>
      <c r="H6901"/>
    </row>
    <row r="6902" spans="2:8" x14ac:dyDescent="0.35">
      <c r="B6902"/>
      <c r="C6902"/>
      <c r="H6902"/>
    </row>
    <row r="6903" spans="2:8" x14ac:dyDescent="0.35">
      <c r="B6903"/>
      <c r="C6903"/>
      <c r="H6903"/>
    </row>
    <row r="6904" spans="2:8" x14ac:dyDescent="0.35">
      <c r="B6904"/>
      <c r="C6904"/>
      <c r="H6904"/>
    </row>
    <row r="6905" spans="2:8" x14ac:dyDescent="0.35">
      <c r="B6905"/>
      <c r="C6905"/>
      <c r="H6905"/>
    </row>
    <row r="6906" spans="2:8" x14ac:dyDescent="0.35">
      <c r="B6906"/>
      <c r="C6906"/>
      <c r="H6906"/>
    </row>
    <row r="6907" spans="2:8" x14ac:dyDescent="0.35">
      <c r="B6907"/>
      <c r="C6907"/>
      <c r="H6907"/>
    </row>
    <row r="6908" spans="2:8" x14ac:dyDescent="0.35">
      <c r="B6908"/>
      <c r="C6908"/>
      <c r="H6908"/>
    </row>
    <row r="6909" spans="2:8" x14ac:dyDescent="0.35">
      <c r="B6909"/>
      <c r="C6909"/>
      <c r="H6909"/>
    </row>
    <row r="6910" spans="2:8" x14ac:dyDescent="0.35">
      <c r="B6910"/>
      <c r="C6910"/>
      <c r="H6910"/>
    </row>
    <row r="6911" spans="2:8" x14ac:dyDescent="0.35">
      <c r="B6911"/>
      <c r="C6911"/>
      <c r="H6911"/>
    </row>
    <row r="6912" spans="2:8" x14ac:dyDescent="0.35">
      <c r="B6912"/>
      <c r="C6912"/>
      <c r="H6912"/>
    </row>
    <row r="6913" spans="2:8" x14ac:dyDescent="0.35">
      <c r="B6913"/>
      <c r="C6913"/>
      <c r="H6913"/>
    </row>
    <row r="6914" spans="2:8" x14ac:dyDescent="0.35">
      <c r="B6914"/>
      <c r="C6914"/>
      <c r="H6914"/>
    </row>
    <row r="6915" spans="2:8" x14ac:dyDescent="0.35">
      <c r="B6915"/>
      <c r="C6915"/>
      <c r="H6915"/>
    </row>
    <row r="6916" spans="2:8" x14ac:dyDescent="0.35">
      <c r="B6916"/>
      <c r="C6916"/>
      <c r="H6916"/>
    </row>
    <row r="6917" spans="2:8" x14ac:dyDescent="0.35">
      <c r="B6917"/>
      <c r="C6917"/>
      <c r="H6917"/>
    </row>
    <row r="6918" spans="2:8" x14ac:dyDescent="0.35">
      <c r="B6918"/>
      <c r="C6918"/>
      <c r="H6918"/>
    </row>
    <row r="6919" spans="2:8" x14ac:dyDescent="0.35">
      <c r="B6919"/>
      <c r="C6919"/>
      <c r="H6919"/>
    </row>
    <row r="6920" spans="2:8" x14ac:dyDescent="0.35">
      <c r="B6920"/>
      <c r="C6920"/>
      <c r="H6920"/>
    </row>
    <row r="6921" spans="2:8" x14ac:dyDescent="0.35">
      <c r="B6921"/>
      <c r="C6921"/>
      <c r="H6921"/>
    </row>
    <row r="6922" spans="2:8" x14ac:dyDescent="0.35">
      <c r="B6922"/>
      <c r="C6922"/>
      <c r="H6922"/>
    </row>
    <row r="6923" spans="2:8" x14ac:dyDescent="0.35">
      <c r="B6923"/>
      <c r="C6923"/>
      <c r="H6923"/>
    </row>
    <row r="6924" spans="2:8" x14ac:dyDescent="0.35">
      <c r="B6924"/>
      <c r="C6924"/>
      <c r="H6924"/>
    </row>
    <row r="6925" spans="2:8" x14ac:dyDescent="0.35">
      <c r="B6925"/>
      <c r="C6925"/>
      <c r="H6925"/>
    </row>
    <row r="6926" spans="2:8" x14ac:dyDescent="0.35">
      <c r="B6926"/>
      <c r="C6926"/>
      <c r="H6926"/>
    </row>
    <row r="6927" spans="2:8" x14ac:dyDescent="0.35">
      <c r="B6927"/>
      <c r="C6927"/>
      <c r="H6927"/>
    </row>
    <row r="6928" spans="2:8" x14ac:dyDescent="0.35">
      <c r="B6928"/>
      <c r="C6928"/>
      <c r="H6928"/>
    </row>
    <row r="6929" spans="2:8" x14ac:dyDescent="0.35">
      <c r="B6929"/>
      <c r="C6929"/>
      <c r="H6929"/>
    </row>
    <row r="6930" spans="2:8" x14ac:dyDescent="0.35">
      <c r="B6930"/>
      <c r="C6930"/>
      <c r="H6930"/>
    </row>
    <row r="6931" spans="2:8" x14ac:dyDescent="0.35">
      <c r="B6931"/>
      <c r="C6931"/>
      <c r="H6931"/>
    </row>
    <row r="6932" spans="2:8" x14ac:dyDescent="0.35">
      <c r="B6932"/>
      <c r="C6932"/>
      <c r="H6932"/>
    </row>
    <row r="6933" spans="2:8" x14ac:dyDescent="0.35">
      <c r="B6933"/>
      <c r="C6933"/>
      <c r="H6933"/>
    </row>
    <row r="6934" spans="2:8" x14ac:dyDescent="0.35">
      <c r="B6934"/>
      <c r="C6934"/>
      <c r="H6934"/>
    </row>
    <row r="6935" spans="2:8" x14ac:dyDescent="0.35">
      <c r="B6935"/>
      <c r="C6935"/>
      <c r="H6935"/>
    </row>
    <row r="6936" spans="2:8" x14ac:dyDescent="0.35">
      <c r="B6936"/>
      <c r="C6936"/>
      <c r="H6936"/>
    </row>
    <row r="6937" spans="2:8" x14ac:dyDescent="0.35">
      <c r="B6937"/>
      <c r="C6937"/>
      <c r="H6937"/>
    </row>
    <row r="6938" spans="2:8" x14ac:dyDescent="0.35">
      <c r="B6938"/>
      <c r="C6938"/>
      <c r="H6938"/>
    </row>
    <row r="6939" spans="2:8" x14ac:dyDescent="0.35">
      <c r="B6939"/>
      <c r="C6939"/>
      <c r="H6939"/>
    </row>
    <row r="6940" spans="2:8" x14ac:dyDescent="0.35">
      <c r="B6940"/>
      <c r="C6940"/>
      <c r="H6940"/>
    </row>
    <row r="6941" spans="2:8" x14ac:dyDescent="0.35">
      <c r="B6941"/>
      <c r="C6941"/>
      <c r="H6941"/>
    </row>
    <row r="6942" spans="2:8" x14ac:dyDescent="0.35">
      <c r="B6942"/>
      <c r="C6942"/>
      <c r="H6942"/>
    </row>
    <row r="6943" spans="2:8" x14ac:dyDescent="0.35">
      <c r="B6943"/>
      <c r="C6943"/>
      <c r="H6943"/>
    </row>
    <row r="6944" spans="2:8" x14ac:dyDescent="0.35">
      <c r="B6944"/>
      <c r="C6944"/>
      <c r="H6944"/>
    </row>
    <row r="6945" spans="2:8" x14ac:dyDescent="0.35">
      <c r="B6945"/>
      <c r="C6945"/>
      <c r="H6945"/>
    </row>
    <row r="6946" spans="2:8" x14ac:dyDescent="0.35">
      <c r="B6946"/>
      <c r="C6946"/>
      <c r="H6946"/>
    </row>
    <row r="6947" spans="2:8" x14ac:dyDescent="0.35">
      <c r="B6947"/>
      <c r="C6947"/>
      <c r="H6947"/>
    </row>
    <row r="6948" spans="2:8" x14ac:dyDescent="0.35">
      <c r="B6948"/>
      <c r="C6948"/>
      <c r="H6948"/>
    </row>
    <row r="6949" spans="2:8" x14ac:dyDescent="0.35">
      <c r="B6949"/>
      <c r="C6949"/>
      <c r="H6949"/>
    </row>
    <row r="6950" spans="2:8" x14ac:dyDescent="0.35">
      <c r="B6950"/>
      <c r="C6950"/>
      <c r="H6950"/>
    </row>
    <row r="6951" spans="2:8" x14ac:dyDescent="0.35">
      <c r="B6951"/>
      <c r="C6951"/>
      <c r="H6951"/>
    </row>
    <row r="6952" spans="2:8" x14ac:dyDescent="0.35">
      <c r="B6952"/>
      <c r="C6952"/>
      <c r="H6952"/>
    </row>
    <row r="6953" spans="2:8" x14ac:dyDescent="0.35">
      <c r="B6953"/>
      <c r="C6953"/>
      <c r="H6953"/>
    </row>
    <row r="6954" spans="2:8" x14ac:dyDescent="0.35">
      <c r="B6954"/>
      <c r="C6954"/>
      <c r="H6954"/>
    </row>
    <row r="6955" spans="2:8" x14ac:dyDescent="0.35">
      <c r="B6955"/>
      <c r="C6955"/>
      <c r="H6955"/>
    </row>
    <row r="6956" spans="2:8" x14ac:dyDescent="0.35">
      <c r="B6956"/>
      <c r="C6956"/>
      <c r="H6956"/>
    </row>
    <row r="6957" spans="2:8" x14ac:dyDescent="0.35">
      <c r="B6957"/>
      <c r="C6957"/>
      <c r="H6957"/>
    </row>
    <row r="6958" spans="2:8" x14ac:dyDescent="0.35">
      <c r="B6958"/>
      <c r="C6958"/>
      <c r="H6958"/>
    </row>
    <row r="6959" spans="2:8" x14ac:dyDescent="0.35">
      <c r="B6959"/>
      <c r="C6959"/>
      <c r="H6959"/>
    </row>
    <row r="6960" spans="2:8" x14ac:dyDescent="0.35">
      <c r="B6960"/>
      <c r="C6960"/>
      <c r="H6960"/>
    </row>
    <row r="6961" spans="2:8" x14ac:dyDescent="0.35">
      <c r="B6961"/>
      <c r="C6961"/>
      <c r="H6961"/>
    </row>
    <row r="6962" spans="2:8" x14ac:dyDescent="0.35">
      <c r="B6962"/>
      <c r="C6962"/>
      <c r="H6962"/>
    </row>
    <row r="6963" spans="2:8" x14ac:dyDescent="0.35">
      <c r="B6963"/>
      <c r="C6963"/>
      <c r="H6963"/>
    </row>
    <row r="6964" spans="2:8" x14ac:dyDescent="0.35">
      <c r="B6964"/>
      <c r="C6964"/>
      <c r="H6964"/>
    </row>
    <row r="6965" spans="2:8" x14ac:dyDescent="0.35">
      <c r="B6965"/>
      <c r="C6965"/>
      <c r="H6965"/>
    </row>
    <row r="6966" spans="2:8" x14ac:dyDescent="0.35">
      <c r="B6966"/>
      <c r="C6966"/>
      <c r="H6966"/>
    </row>
    <row r="6967" spans="2:8" x14ac:dyDescent="0.35">
      <c r="B6967"/>
      <c r="C6967"/>
      <c r="H6967"/>
    </row>
    <row r="6968" spans="2:8" x14ac:dyDescent="0.35">
      <c r="B6968"/>
      <c r="C6968"/>
      <c r="H6968"/>
    </row>
    <row r="6969" spans="2:8" x14ac:dyDescent="0.35">
      <c r="B6969"/>
      <c r="C6969"/>
      <c r="H6969"/>
    </row>
    <row r="6970" spans="2:8" x14ac:dyDescent="0.35">
      <c r="B6970"/>
      <c r="C6970"/>
      <c r="H6970"/>
    </row>
    <row r="6971" spans="2:8" x14ac:dyDescent="0.35">
      <c r="B6971"/>
      <c r="C6971"/>
      <c r="H6971"/>
    </row>
    <row r="6972" spans="2:8" x14ac:dyDescent="0.35">
      <c r="B6972"/>
      <c r="C6972"/>
      <c r="H6972"/>
    </row>
    <row r="6973" spans="2:8" x14ac:dyDescent="0.35">
      <c r="B6973"/>
      <c r="C6973"/>
      <c r="H6973"/>
    </row>
    <row r="6974" spans="2:8" x14ac:dyDescent="0.35">
      <c r="B6974"/>
      <c r="C6974"/>
      <c r="H6974"/>
    </row>
    <row r="6975" spans="2:8" x14ac:dyDescent="0.35">
      <c r="B6975"/>
      <c r="C6975"/>
      <c r="H6975"/>
    </row>
    <row r="6976" spans="2:8" x14ac:dyDescent="0.35">
      <c r="B6976"/>
      <c r="C6976"/>
      <c r="H6976"/>
    </row>
    <row r="6977" spans="2:8" x14ac:dyDescent="0.35">
      <c r="B6977"/>
      <c r="C6977"/>
      <c r="H6977"/>
    </row>
    <row r="6978" spans="2:8" x14ac:dyDescent="0.35">
      <c r="B6978"/>
      <c r="C6978"/>
      <c r="H6978"/>
    </row>
    <row r="6979" spans="2:8" x14ac:dyDescent="0.35">
      <c r="B6979"/>
      <c r="C6979"/>
      <c r="H6979"/>
    </row>
    <row r="6980" spans="2:8" x14ac:dyDescent="0.35">
      <c r="B6980"/>
      <c r="C6980"/>
      <c r="H6980"/>
    </row>
    <row r="6981" spans="2:8" x14ac:dyDescent="0.35">
      <c r="B6981"/>
      <c r="C6981"/>
      <c r="H6981"/>
    </row>
    <row r="6982" spans="2:8" x14ac:dyDescent="0.35">
      <c r="B6982"/>
      <c r="C6982"/>
      <c r="H6982"/>
    </row>
    <row r="6983" spans="2:8" x14ac:dyDescent="0.35">
      <c r="B6983"/>
      <c r="C6983"/>
      <c r="H6983"/>
    </row>
    <row r="6984" spans="2:8" x14ac:dyDescent="0.35">
      <c r="B6984"/>
      <c r="C6984"/>
      <c r="H6984"/>
    </row>
    <row r="6985" spans="2:8" x14ac:dyDescent="0.35">
      <c r="B6985"/>
      <c r="C6985"/>
      <c r="H6985"/>
    </row>
    <row r="6986" spans="2:8" x14ac:dyDescent="0.35">
      <c r="B6986"/>
      <c r="C6986"/>
      <c r="H6986"/>
    </row>
    <row r="6987" spans="2:8" x14ac:dyDescent="0.35">
      <c r="B6987"/>
      <c r="C6987"/>
      <c r="H6987"/>
    </row>
    <row r="6988" spans="2:8" x14ac:dyDescent="0.35">
      <c r="B6988"/>
      <c r="C6988"/>
      <c r="H6988"/>
    </row>
    <row r="6989" spans="2:8" x14ac:dyDescent="0.35">
      <c r="B6989"/>
      <c r="C6989"/>
      <c r="H6989"/>
    </row>
    <row r="6990" spans="2:8" x14ac:dyDescent="0.35">
      <c r="B6990"/>
      <c r="C6990"/>
      <c r="H6990"/>
    </row>
    <row r="6991" spans="2:8" x14ac:dyDescent="0.35">
      <c r="B6991"/>
      <c r="C6991"/>
      <c r="H6991"/>
    </row>
    <row r="6992" spans="2:8" x14ac:dyDescent="0.35">
      <c r="B6992"/>
      <c r="C6992"/>
      <c r="H6992"/>
    </row>
    <row r="6993" spans="2:8" x14ac:dyDescent="0.35">
      <c r="B6993"/>
      <c r="C6993"/>
      <c r="H6993"/>
    </row>
    <row r="6994" spans="2:8" x14ac:dyDescent="0.35">
      <c r="B6994"/>
      <c r="C6994"/>
      <c r="H6994"/>
    </row>
    <row r="6995" spans="2:8" x14ac:dyDescent="0.35">
      <c r="B6995"/>
      <c r="C6995"/>
      <c r="H6995"/>
    </row>
    <row r="6996" spans="2:8" x14ac:dyDescent="0.35">
      <c r="B6996"/>
      <c r="C6996"/>
      <c r="H6996"/>
    </row>
    <row r="6997" spans="2:8" x14ac:dyDescent="0.35">
      <c r="B6997"/>
      <c r="C6997"/>
      <c r="H6997"/>
    </row>
    <row r="6998" spans="2:8" x14ac:dyDescent="0.35">
      <c r="B6998"/>
      <c r="C6998"/>
      <c r="H6998"/>
    </row>
    <row r="6999" spans="2:8" x14ac:dyDescent="0.35">
      <c r="B6999"/>
      <c r="C6999"/>
      <c r="H6999"/>
    </row>
    <row r="7000" spans="2:8" x14ac:dyDescent="0.35">
      <c r="B7000"/>
      <c r="C7000"/>
      <c r="H7000"/>
    </row>
    <row r="7001" spans="2:8" x14ac:dyDescent="0.35">
      <c r="B7001"/>
      <c r="C7001"/>
      <c r="H7001"/>
    </row>
    <row r="7002" spans="2:8" x14ac:dyDescent="0.35">
      <c r="B7002"/>
      <c r="C7002"/>
      <c r="H7002"/>
    </row>
    <row r="7003" spans="2:8" x14ac:dyDescent="0.35">
      <c r="B7003"/>
      <c r="C7003"/>
      <c r="H7003"/>
    </row>
    <row r="7004" spans="2:8" x14ac:dyDescent="0.35">
      <c r="B7004"/>
      <c r="C7004"/>
      <c r="H7004"/>
    </row>
    <row r="7005" spans="2:8" x14ac:dyDescent="0.35">
      <c r="B7005"/>
      <c r="C7005"/>
      <c r="H7005"/>
    </row>
    <row r="7006" spans="2:8" x14ac:dyDescent="0.35">
      <c r="B7006"/>
      <c r="C7006"/>
      <c r="H7006"/>
    </row>
    <row r="7007" spans="2:8" x14ac:dyDescent="0.35">
      <c r="B7007"/>
      <c r="C7007"/>
      <c r="H7007"/>
    </row>
    <row r="7008" spans="2:8" x14ac:dyDescent="0.35">
      <c r="B7008"/>
      <c r="C7008"/>
      <c r="H7008"/>
    </row>
    <row r="7009" spans="2:8" x14ac:dyDescent="0.35">
      <c r="B7009"/>
      <c r="C7009"/>
      <c r="H7009"/>
    </row>
    <row r="7010" spans="2:8" x14ac:dyDescent="0.35">
      <c r="B7010"/>
      <c r="C7010"/>
      <c r="H7010"/>
    </row>
    <row r="7011" spans="2:8" x14ac:dyDescent="0.35">
      <c r="B7011"/>
      <c r="C7011"/>
      <c r="H7011"/>
    </row>
    <row r="7012" spans="2:8" x14ac:dyDescent="0.35">
      <c r="B7012"/>
      <c r="C7012"/>
      <c r="H7012"/>
    </row>
    <row r="7013" spans="2:8" x14ac:dyDescent="0.35">
      <c r="B7013"/>
      <c r="C7013"/>
      <c r="H7013"/>
    </row>
    <row r="7014" spans="2:8" x14ac:dyDescent="0.35">
      <c r="B7014"/>
      <c r="C7014"/>
      <c r="H7014"/>
    </row>
    <row r="7015" spans="2:8" x14ac:dyDescent="0.35">
      <c r="B7015"/>
      <c r="C7015"/>
      <c r="H7015"/>
    </row>
    <row r="7016" spans="2:8" x14ac:dyDescent="0.35">
      <c r="B7016"/>
      <c r="C7016"/>
      <c r="H7016"/>
    </row>
    <row r="7017" spans="2:8" x14ac:dyDescent="0.35">
      <c r="B7017"/>
      <c r="C7017"/>
      <c r="H7017"/>
    </row>
    <row r="7018" spans="2:8" x14ac:dyDescent="0.35">
      <c r="B7018"/>
      <c r="C7018"/>
      <c r="H7018"/>
    </row>
    <row r="7019" spans="2:8" x14ac:dyDescent="0.35">
      <c r="B7019"/>
      <c r="C7019"/>
      <c r="H7019"/>
    </row>
    <row r="7020" spans="2:8" x14ac:dyDescent="0.35">
      <c r="B7020"/>
      <c r="C7020"/>
      <c r="H7020"/>
    </row>
    <row r="7021" spans="2:8" x14ac:dyDescent="0.35">
      <c r="B7021"/>
      <c r="C7021"/>
      <c r="H7021"/>
    </row>
    <row r="7022" spans="2:8" x14ac:dyDescent="0.35">
      <c r="B7022"/>
      <c r="C7022"/>
      <c r="H7022"/>
    </row>
    <row r="7023" spans="2:8" x14ac:dyDescent="0.35">
      <c r="B7023"/>
      <c r="C7023"/>
      <c r="H7023"/>
    </row>
    <row r="7024" spans="2:8" x14ac:dyDescent="0.35">
      <c r="B7024"/>
      <c r="C7024"/>
      <c r="H7024"/>
    </row>
    <row r="7025" spans="2:8" x14ac:dyDescent="0.35">
      <c r="B7025"/>
      <c r="C7025"/>
      <c r="H7025"/>
    </row>
    <row r="7026" spans="2:8" x14ac:dyDescent="0.35">
      <c r="B7026"/>
      <c r="C7026"/>
      <c r="H7026"/>
    </row>
    <row r="7027" spans="2:8" x14ac:dyDescent="0.35">
      <c r="B7027"/>
      <c r="C7027"/>
      <c r="H7027"/>
    </row>
    <row r="7028" spans="2:8" x14ac:dyDescent="0.35">
      <c r="B7028"/>
      <c r="C7028"/>
      <c r="H7028"/>
    </row>
    <row r="7029" spans="2:8" x14ac:dyDescent="0.35">
      <c r="B7029"/>
      <c r="C7029"/>
      <c r="H7029"/>
    </row>
    <row r="7030" spans="2:8" x14ac:dyDescent="0.35">
      <c r="B7030"/>
      <c r="C7030"/>
      <c r="H7030"/>
    </row>
    <row r="7031" spans="2:8" x14ac:dyDescent="0.35">
      <c r="B7031"/>
      <c r="C7031"/>
      <c r="H7031"/>
    </row>
    <row r="7032" spans="2:8" x14ac:dyDescent="0.35">
      <c r="B7032"/>
      <c r="C7032"/>
      <c r="H7032"/>
    </row>
    <row r="7033" spans="2:8" x14ac:dyDescent="0.35">
      <c r="B7033"/>
      <c r="C7033"/>
      <c r="H7033"/>
    </row>
    <row r="7034" spans="2:8" x14ac:dyDescent="0.35">
      <c r="B7034"/>
      <c r="C7034"/>
      <c r="H7034"/>
    </row>
    <row r="7035" spans="2:8" x14ac:dyDescent="0.35">
      <c r="B7035"/>
      <c r="C7035"/>
      <c r="H7035"/>
    </row>
    <row r="7036" spans="2:8" x14ac:dyDescent="0.35">
      <c r="B7036"/>
      <c r="C7036"/>
      <c r="H7036"/>
    </row>
    <row r="7037" spans="2:8" x14ac:dyDescent="0.35">
      <c r="B7037"/>
      <c r="C7037"/>
      <c r="H7037"/>
    </row>
    <row r="7038" spans="2:8" x14ac:dyDescent="0.35">
      <c r="B7038"/>
      <c r="C7038"/>
      <c r="H7038"/>
    </row>
    <row r="7039" spans="2:8" x14ac:dyDescent="0.35">
      <c r="B7039"/>
      <c r="C7039"/>
      <c r="H7039"/>
    </row>
    <row r="7040" spans="2:8" x14ac:dyDescent="0.35">
      <c r="B7040"/>
      <c r="C7040"/>
      <c r="H7040"/>
    </row>
    <row r="7041" spans="2:8" x14ac:dyDescent="0.35">
      <c r="B7041"/>
      <c r="C7041"/>
      <c r="H7041"/>
    </row>
    <row r="7042" spans="2:8" x14ac:dyDescent="0.35">
      <c r="B7042"/>
      <c r="C7042"/>
      <c r="H7042"/>
    </row>
    <row r="7043" spans="2:8" x14ac:dyDescent="0.35">
      <c r="B7043"/>
      <c r="C7043"/>
      <c r="H7043"/>
    </row>
    <row r="7044" spans="2:8" x14ac:dyDescent="0.35">
      <c r="B7044"/>
      <c r="C7044"/>
      <c r="H7044"/>
    </row>
    <row r="7045" spans="2:8" x14ac:dyDescent="0.35">
      <c r="B7045"/>
      <c r="C7045"/>
      <c r="H7045"/>
    </row>
    <row r="7046" spans="2:8" x14ac:dyDescent="0.35">
      <c r="B7046"/>
      <c r="C7046"/>
      <c r="H7046"/>
    </row>
    <row r="7047" spans="2:8" x14ac:dyDescent="0.35">
      <c r="B7047"/>
      <c r="C7047"/>
      <c r="H7047"/>
    </row>
    <row r="7048" spans="2:8" x14ac:dyDescent="0.35">
      <c r="B7048"/>
      <c r="C7048"/>
      <c r="H7048"/>
    </row>
    <row r="7049" spans="2:8" x14ac:dyDescent="0.35">
      <c r="B7049"/>
      <c r="C7049"/>
      <c r="H7049"/>
    </row>
    <row r="7050" spans="2:8" x14ac:dyDescent="0.35">
      <c r="B7050"/>
      <c r="C7050"/>
      <c r="H7050"/>
    </row>
    <row r="7051" spans="2:8" x14ac:dyDescent="0.35">
      <c r="B7051"/>
      <c r="C7051"/>
      <c r="H7051"/>
    </row>
    <row r="7052" spans="2:8" x14ac:dyDescent="0.35">
      <c r="B7052"/>
      <c r="C7052"/>
      <c r="H7052"/>
    </row>
    <row r="7053" spans="2:8" x14ac:dyDescent="0.35">
      <c r="B7053"/>
      <c r="C7053"/>
      <c r="H7053"/>
    </row>
    <row r="7054" spans="2:8" x14ac:dyDescent="0.35">
      <c r="B7054"/>
      <c r="C7054"/>
      <c r="H7054"/>
    </row>
    <row r="7055" spans="2:8" x14ac:dyDescent="0.35">
      <c r="B7055"/>
      <c r="C7055"/>
      <c r="H7055"/>
    </row>
    <row r="7056" spans="2:8" x14ac:dyDescent="0.35">
      <c r="B7056"/>
      <c r="C7056"/>
      <c r="H7056"/>
    </row>
    <row r="7057" spans="2:8" x14ac:dyDescent="0.35">
      <c r="B7057"/>
      <c r="C7057"/>
      <c r="H7057"/>
    </row>
    <row r="7058" spans="2:8" x14ac:dyDescent="0.35">
      <c r="B7058"/>
      <c r="C7058"/>
      <c r="H7058"/>
    </row>
    <row r="7059" spans="2:8" x14ac:dyDescent="0.35">
      <c r="B7059"/>
      <c r="C7059"/>
      <c r="H7059"/>
    </row>
    <row r="7060" spans="2:8" x14ac:dyDescent="0.35">
      <c r="B7060"/>
      <c r="C7060"/>
      <c r="H7060"/>
    </row>
    <row r="7061" spans="2:8" x14ac:dyDescent="0.35">
      <c r="B7061"/>
      <c r="C7061"/>
      <c r="H7061"/>
    </row>
    <row r="7062" spans="2:8" x14ac:dyDescent="0.35">
      <c r="B7062"/>
      <c r="C7062"/>
      <c r="H7062"/>
    </row>
    <row r="7063" spans="2:8" x14ac:dyDescent="0.35">
      <c r="B7063"/>
      <c r="C7063"/>
      <c r="H7063"/>
    </row>
    <row r="7064" spans="2:8" x14ac:dyDescent="0.35">
      <c r="B7064"/>
      <c r="C7064"/>
      <c r="H7064"/>
    </row>
    <row r="7065" spans="2:8" x14ac:dyDescent="0.35">
      <c r="B7065"/>
      <c r="C7065"/>
      <c r="H7065"/>
    </row>
    <row r="7066" spans="2:8" x14ac:dyDescent="0.35">
      <c r="B7066"/>
      <c r="C7066"/>
      <c r="H7066"/>
    </row>
    <row r="7067" spans="2:8" x14ac:dyDescent="0.35">
      <c r="B7067"/>
      <c r="C7067"/>
      <c r="H7067"/>
    </row>
    <row r="7068" spans="2:8" x14ac:dyDescent="0.35">
      <c r="B7068"/>
      <c r="C7068"/>
      <c r="H7068"/>
    </row>
    <row r="7069" spans="2:8" x14ac:dyDescent="0.35">
      <c r="B7069"/>
      <c r="C7069"/>
      <c r="H7069"/>
    </row>
    <row r="7070" spans="2:8" x14ac:dyDescent="0.35">
      <c r="B7070"/>
      <c r="C7070"/>
      <c r="H7070"/>
    </row>
    <row r="7071" spans="2:8" x14ac:dyDescent="0.35">
      <c r="B7071"/>
      <c r="C7071"/>
      <c r="H7071"/>
    </row>
    <row r="7072" spans="2:8" x14ac:dyDescent="0.35">
      <c r="B7072"/>
      <c r="C7072"/>
      <c r="H7072"/>
    </row>
    <row r="7073" spans="2:8" x14ac:dyDescent="0.35">
      <c r="B7073"/>
      <c r="C7073"/>
      <c r="H7073"/>
    </row>
    <row r="7074" spans="2:8" x14ac:dyDescent="0.35">
      <c r="B7074"/>
      <c r="C7074"/>
      <c r="H7074"/>
    </row>
    <row r="7075" spans="2:8" x14ac:dyDescent="0.35">
      <c r="B7075"/>
      <c r="C7075"/>
      <c r="H7075"/>
    </row>
    <row r="7076" spans="2:8" x14ac:dyDescent="0.35">
      <c r="B7076"/>
      <c r="C7076"/>
      <c r="H7076"/>
    </row>
    <row r="7077" spans="2:8" x14ac:dyDescent="0.35">
      <c r="B7077"/>
      <c r="C7077"/>
      <c r="H7077"/>
    </row>
    <row r="7078" spans="2:8" x14ac:dyDescent="0.35">
      <c r="B7078"/>
      <c r="C7078"/>
      <c r="H7078"/>
    </row>
    <row r="7079" spans="2:8" x14ac:dyDescent="0.35">
      <c r="B7079"/>
      <c r="C7079"/>
      <c r="H7079"/>
    </row>
    <row r="7080" spans="2:8" x14ac:dyDescent="0.35">
      <c r="B7080"/>
      <c r="C7080"/>
      <c r="H7080"/>
    </row>
    <row r="7081" spans="2:8" x14ac:dyDescent="0.35">
      <c r="B7081"/>
      <c r="C7081"/>
      <c r="H7081"/>
    </row>
    <row r="7082" spans="2:8" x14ac:dyDescent="0.35">
      <c r="B7082"/>
      <c r="C7082"/>
      <c r="H7082"/>
    </row>
    <row r="7083" spans="2:8" x14ac:dyDescent="0.35">
      <c r="B7083"/>
      <c r="C7083"/>
      <c r="H7083"/>
    </row>
    <row r="7084" spans="2:8" x14ac:dyDescent="0.35">
      <c r="B7084"/>
      <c r="C7084"/>
      <c r="H7084"/>
    </row>
    <row r="7085" spans="2:8" x14ac:dyDescent="0.35">
      <c r="B7085"/>
      <c r="C7085"/>
      <c r="H7085"/>
    </row>
    <row r="7086" spans="2:8" x14ac:dyDescent="0.35">
      <c r="B7086"/>
      <c r="C7086"/>
      <c r="H7086"/>
    </row>
    <row r="7087" spans="2:8" x14ac:dyDescent="0.35">
      <c r="B7087"/>
      <c r="C7087"/>
      <c r="H7087"/>
    </row>
    <row r="7088" spans="2:8" x14ac:dyDescent="0.35">
      <c r="B7088"/>
      <c r="C7088"/>
      <c r="H7088"/>
    </row>
    <row r="7089" spans="2:8" x14ac:dyDescent="0.35">
      <c r="B7089"/>
      <c r="C7089"/>
      <c r="H7089"/>
    </row>
    <row r="7090" spans="2:8" x14ac:dyDescent="0.35">
      <c r="B7090"/>
      <c r="C7090"/>
      <c r="H7090"/>
    </row>
    <row r="7091" spans="2:8" x14ac:dyDescent="0.35">
      <c r="B7091"/>
      <c r="C7091"/>
      <c r="H7091"/>
    </row>
    <row r="7092" spans="2:8" x14ac:dyDescent="0.35">
      <c r="B7092"/>
      <c r="C7092"/>
      <c r="H7092"/>
    </row>
    <row r="7093" spans="2:8" x14ac:dyDescent="0.35">
      <c r="B7093"/>
      <c r="C7093"/>
      <c r="H7093"/>
    </row>
    <row r="7094" spans="2:8" x14ac:dyDescent="0.35">
      <c r="B7094"/>
      <c r="C7094"/>
      <c r="H7094"/>
    </row>
    <row r="7095" spans="2:8" x14ac:dyDescent="0.35">
      <c r="B7095"/>
      <c r="C7095"/>
      <c r="H7095"/>
    </row>
    <row r="7096" spans="2:8" x14ac:dyDescent="0.35">
      <c r="B7096"/>
      <c r="C7096"/>
      <c r="H7096"/>
    </row>
    <row r="7097" spans="2:8" x14ac:dyDescent="0.35">
      <c r="B7097"/>
      <c r="C7097"/>
      <c r="H7097"/>
    </row>
    <row r="7098" spans="2:8" x14ac:dyDescent="0.35">
      <c r="B7098"/>
      <c r="C7098"/>
      <c r="H7098"/>
    </row>
    <row r="7099" spans="2:8" x14ac:dyDescent="0.35">
      <c r="B7099"/>
      <c r="C7099"/>
      <c r="H7099"/>
    </row>
    <row r="7100" spans="2:8" x14ac:dyDescent="0.35">
      <c r="B7100"/>
      <c r="C7100"/>
      <c r="H7100"/>
    </row>
    <row r="7101" spans="2:8" x14ac:dyDescent="0.35">
      <c r="B7101"/>
      <c r="C7101"/>
      <c r="H7101"/>
    </row>
    <row r="7102" spans="2:8" x14ac:dyDescent="0.35">
      <c r="B7102"/>
      <c r="C7102"/>
      <c r="H7102"/>
    </row>
    <row r="7103" spans="2:8" x14ac:dyDescent="0.35">
      <c r="B7103"/>
      <c r="C7103"/>
      <c r="H7103"/>
    </row>
    <row r="7104" spans="2:8" x14ac:dyDescent="0.35">
      <c r="B7104"/>
      <c r="C7104"/>
      <c r="H7104"/>
    </row>
    <row r="7105" spans="2:8" x14ac:dyDescent="0.35">
      <c r="B7105"/>
      <c r="C7105"/>
      <c r="H7105"/>
    </row>
    <row r="7106" spans="2:8" x14ac:dyDescent="0.35">
      <c r="B7106"/>
      <c r="C7106"/>
      <c r="H7106"/>
    </row>
    <row r="7107" spans="2:8" x14ac:dyDescent="0.35">
      <c r="B7107"/>
      <c r="C7107"/>
      <c r="H7107"/>
    </row>
    <row r="7108" spans="2:8" x14ac:dyDescent="0.35">
      <c r="B7108"/>
      <c r="C7108"/>
      <c r="H7108"/>
    </row>
    <row r="7109" spans="2:8" x14ac:dyDescent="0.35">
      <c r="B7109"/>
      <c r="C7109"/>
      <c r="H7109"/>
    </row>
    <row r="7110" spans="2:8" x14ac:dyDescent="0.35">
      <c r="B7110"/>
      <c r="C7110"/>
      <c r="H7110"/>
    </row>
    <row r="7111" spans="2:8" x14ac:dyDescent="0.35">
      <c r="B7111"/>
      <c r="C7111"/>
      <c r="H7111"/>
    </row>
    <row r="7112" spans="2:8" x14ac:dyDescent="0.35">
      <c r="B7112"/>
      <c r="C7112"/>
      <c r="H7112"/>
    </row>
    <row r="7113" spans="2:8" x14ac:dyDescent="0.35">
      <c r="B7113"/>
      <c r="C7113"/>
      <c r="H7113"/>
    </row>
    <row r="7114" spans="2:8" x14ac:dyDescent="0.35">
      <c r="B7114"/>
      <c r="C7114"/>
      <c r="H7114"/>
    </row>
    <row r="7115" spans="2:8" x14ac:dyDescent="0.35">
      <c r="B7115"/>
      <c r="C7115"/>
      <c r="H7115"/>
    </row>
    <row r="7116" spans="2:8" x14ac:dyDescent="0.35">
      <c r="B7116"/>
      <c r="C7116"/>
      <c r="H7116"/>
    </row>
    <row r="7117" spans="2:8" x14ac:dyDescent="0.35">
      <c r="B7117"/>
      <c r="C7117"/>
      <c r="H7117"/>
    </row>
    <row r="7118" spans="2:8" x14ac:dyDescent="0.35">
      <c r="B7118"/>
      <c r="C7118"/>
      <c r="H7118"/>
    </row>
    <row r="7119" spans="2:8" x14ac:dyDescent="0.35">
      <c r="B7119"/>
      <c r="C7119"/>
      <c r="H7119"/>
    </row>
    <row r="7120" spans="2:8" x14ac:dyDescent="0.35">
      <c r="B7120"/>
      <c r="C7120"/>
      <c r="H7120"/>
    </row>
    <row r="7121" spans="2:8" x14ac:dyDescent="0.35">
      <c r="B7121"/>
      <c r="C7121"/>
      <c r="H7121"/>
    </row>
    <row r="7122" spans="2:8" x14ac:dyDescent="0.35">
      <c r="B7122"/>
      <c r="C7122"/>
      <c r="H7122"/>
    </row>
    <row r="7123" spans="2:8" x14ac:dyDescent="0.35">
      <c r="B7123"/>
      <c r="C7123"/>
      <c r="H7123"/>
    </row>
    <row r="7124" spans="2:8" x14ac:dyDescent="0.35">
      <c r="B7124"/>
      <c r="C7124"/>
      <c r="H7124"/>
    </row>
    <row r="7125" spans="2:8" x14ac:dyDescent="0.35">
      <c r="B7125"/>
      <c r="C7125"/>
      <c r="H7125"/>
    </row>
    <row r="7126" spans="2:8" x14ac:dyDescent="0.35">
      <c r="B7126"/>
      <c r="C7126"/>
      <c r="H7126"/>
    </row>
    <row r="7127" spans="2:8" x14ac:dyDescent="0.35">
      <c r="B7127"/>
      <c r="C7127"/>
      <c r="H7127"/>
    </row>
    <row r="7128" spans="2:8" x14ac:dyDescent="0.35">
      <c r="B7128"/>
      <c r="C7128"/>
      <c r="H7128"/>
    </row>
    <row r="7129" spans="2:8" x14ac:dyDescent="0.35">
      <c r="B7129"/>
      <c r="C7129"/>
      <c r="H7129"/>
    </row>
    <row r="7130" spans="2:8" x14ac:dyDescent="0.35">
      <c r="B7130"/>
      <c r="C7130"/>
      <c r="H7130"/>
    </row>
    <row r="7131" spans="2:8" x14ac:dyDescent="0.35">
      <c r="B7131"/>
      <c r="C7131"/>
      <c r="H7131"/>
    </row>
    <row r="7132" spans="2:8" x14ac:dyDescent="0.35">
      <c r="B7132"/>
      <c r="C7132"/>
      <c r="H7132"/>
    </row>
    <row r="7133" spans="2:8" x14ac:dyDescent="0.35">
      <c r="B7133"/>
      <c r="C7133"/>
      <c r="H7133"/>
    </row>
    <row r="7134" spans="2:8" x14ac:dyDescent="0.35">
      <c r="B7134"/>
      <c r="C7134"/>
      <c r="H7134"/>
    </row>
    <row r="7135" spans="2:8" x14ac:dyDescent="0.35">
      <c r="B7135"/>
      <c r="C7135"/>
      <c r="H7135"/>
    </row>
    <row r="7136" spans="2:8" x14ac:dyDescent="0.35">
      <c r="B7136"/>
      <c r="C7136"/>
      <c r="H7136"/>
    </row>
    <row r="7137" spans="2:8" x14ac:dyDescent="0.35">
      <c r="B7137"/>
      <c r="C7137"/>
      <c r="H7137"/>
    </row>
    <row r="7138" spans="2:8" x14ac:dyDescent="0.35">
      <c r="B7138"/>
      <c r="C7138"/>
      <c r="H7138"/>
    </row>
    <row r="7139" spans="2:8" x14ac:dyDescent="0.35">
      <c r="B7139"/>
      <c r="C7139"/>
      <c r="H7139"/>
    </row>
    <row r="7140" spans="2:8" x14ac:dyDescent="0.35">
      <c r="B7140"/>
      <c r="C7140"/>
      <c r="H7140"/>
    </row>
    <row r="7141" spans="2:8" x14ac:dyDescent="0.35">
      <c r="B7141"/>
      <c r="C7141"/>
      <c r="H7141"/>
    </row>
    <row r="7142" spans="2:8" x14ac:dyDescent="0.35">
      <c r="B7142"/>
      <c r="C7142"/>
      <c r="H7142"/>
    </row>
    <row r="7143" spans="2:8" x14ac:dyDescent="0.35">
      <c r="B7143"/>
      <c r="C7143"/>
      <c r="H7143"/>
    </row>
    <row r="7144" spans="2:8" x14ac:dyDescent="0.35">
      <c r="B7144"/>
      <c r="C7144"/>
      <c r="H7144"/>
    </row>
    <row r="7145" spans="2:8" x14ac:dyDescent="0.35">
      <c r="B7145"/>
      <c r="C7145"/>
      <c r="H7145"/>
    </row>
    <row r="7146" spans="2:8" x14ac:dyDescent="0.35">
      <c r="B7146"/>
      <c r="C7146"/>
      <c r="H7146"/>
    </row>
    <row r="7147" spans="2:8" x14ac:dyDescent="0.35">
      <c r="B7147"/>
      <c r="C7147"/>
      <c r="H7147"/>
    </row>
    <row r="7148" spans="2:8" x14ac:dyDescent="0.35">
      <c r="B7148"/>
      <c r="C7148"/>
      <c r="H7148"/>
    </row>
    <row r="7149" spans="2:8" x14ac:dyDescent="0.35">
      <c r="B7149"/>
      <c r="C7149"/>
      <c r="H7149"/>
    </row>
    <row r="7150" spans="2:8" x14ac:dyDescent="0.35">
      <c r="B7150"/>
      <c r="C7150"/>
      <c r="H7150"/>
    </row>
    <row r="7151" spans="2:8" x14ac:dyDescent="0.35">
      <c r="B7151"/>
      <c r="C7151"/>
      <c r="H7151"/>
    </row>
    <row r="7152" spans="2:8" x14ac:dyDescent="0.35">
      <c r="B7152"/>
      <c r="C7152"/>
      <c r="H7152"/>
    </row>
    <row r="7153" spans="2:8" x14ac:dyDescent="0.35">
      <c r="B7153"/>
      <c r="C7153"/>
      <c r="H7153"/>
    </row>
    <row r="7154" spans="2:8" x14ac:dyDescent="0.35">
      <c r="B7154"/>
      <c r="C7154"/>
      <c r="H7154"/>
    </row>
    <row r="7155" spans="2:8" x14ac:dyDescent="0.35">
      <c r="B7155"/>
      <c r="C7155"/>
      <c r="H7155"/>
    </row>
    <row r="7156" spans="2:8" x14ac:dyDescent="0.35">
      <c r="B7156"/>
      <c r="C7156"/>
      <c r="H7156"/>
    </row>
    <row r="7157" spans="2:8" x14ac:dyDescent="0.35">
      <c r="B7157"/>
      <c r="C7157"/>
      <c r="H7157"/>
    </row>
    <row r="7158" spans="2:8" x14ac:dyDescent="0.35">
      <c r="B7158"/>
      <c r="C7158"/>
      <c r="H7158"/>
    </row>
    <row r="7159" spans="2:8" x14ac:dyDescent="0.35">
      <c r="B7159"/>
      <c r="C7159"/>
      <c r="H7159"/>
    </row>
    <row r="7160" spans="2:8" x14ac:dyDescent="0.35">
      <c r="B7160"/>
      <c r="C7160"/>
      <c r="H7160"/>
    </row>
    <row r="7161" spans="2:8" x14ac:dyDescent="0.35">
      <c r="B7161"/>
      <c r="C7161"/>
      <c r="H7161"/>
    </row>
    <row r="7162" spans="2:8" x14ac:dyDescent="0.35">
      <c r="B7162"/>
      <c r="C7162"/>
      <c r="H7162"/>
    </row>
    <row r="7163" spans="2:8" x14ac:dyDescent="0.35">
      <c r="B7163"/>
      <c r="C7163"/>
      <c r="H7163"/>
    </row>
    <row r="7164" spans="2:8" x14ac:dyDescent="0.35">
      <c r="B7164"/>
      <c r="C7164"/>
      <c r="H7164"/>
    </row>
    <row r="7165" spans="2:8" x14ac:dyDescent="0.35">
      <c r="B7165"/>
      <c r="C7165"/>
      <c r="H7165"/>
    </row>
    <row r="7166" spans="2:8" x14ac:dyDescent="0.35">
      <c r="B7166"/>
      <c r="C7166"/>
      <c r="H7166"/>
    </row>
    <row r="7167" spans="2:8" x14ac:dyDescent="0.35">
      <c r="B7167"/>
      <c r="C7167"/>
      <c r="H7167"/>
    </row>
    <row r="7168" spans="2:8" x14ac:dyDescent="0.35">
      <c r="B7168"/>
      <c r="C7168"/>
      <c r="H7168"/>
    </row>
    <row r="7169" spans="2:8" x14ac:dyDescent="0.35">
      <c r="B7169"/>
      <c r="C7169"/>
      <c r="H7169"/>
    </row>
    <row r="7170" spans="2:8" x14ac:dyDescent="0.35">
      <c r="B7170"/>
      <c r="C7170"/>
      <c r="H7170"/>
    </row>
    <row r="7171" spans="2:8" x14ac:dyDescent="0.35">
      <c r="B7171"/>
      <c r="C7171"/>
      <c r="H7171"/>
    </row>
    <row r="7172" spans="2:8" x14ac:dyDescent="0.35">
      <c r="B7172"/>
      <c r="C7172"/>
      <c r="H7172"/>
    </row>
    <row r="7173" spans="2:8" x14ac:dyDescent="0.35">
      <c r="B7173"/>
      <c r="C7173"/>
      <c r="H7173"/>
    </row>
    <row r="7174" spans="2:8" x14ac:dyDescent="0.35">
      <c r="B7174"/>
      <c r="C7174"/>
      <c r="H7174"/>
    </row>
    <row r="7175" spans="2:8" x14ac:dyDescent="0.35">
      <c r="B7175"/>
      <c r="C7175"/>
      <c r="H7175"/>
    </row>
    <row r="7176" spans="2:8" x14ac:dyDescent="0.35">
      <c r="B7176"/>
      <c r="C7176"/>
      <c r="H7176"/>
    </row>
    <row r="7177" spans="2:8" x14ac:dyDescent="0.35">
      <c r="B7177"/>
      <c r="C7177"/>
      <c r="H7177"/>
    </row>
    <row r="7178" spans="2:8" x14ac:dyDescent="0.35">
      <c r="B7178"/>
      <c r="C7178"/>
      <c r="H7178"/>
    </row>
    <row r="7179" spans="2:8" x14ac:dyDescent="0.35">
      <c r="B7179"/>
      <c r="C7179"/>
      <c r="H7179"/>
    </row>
    <row r="7180" spans="2:8" x14ac:dyDescent="0.35">
      <c r="B7180"/>
      <c r="C7180"/>
      <c r="H7180"/>
    </row>
    <row r="7181" spans="2:8" x14ac:dyDescent="0.35">
      <c r="B7181"/>
      <c r="C7181"/>
      <c r="H7181"/>
    </row>
    <row r="7182" spans="2:8" x14ac:dyDescent="0.35">
      <c r="B7182"/>
      <c r="C7182"/>
      <c r="H7182"/>
    </row>
    <row r="7183" spans="2:8" x14ac:dyDescent="0.35">
      <c r="B7183"/>
      <c r="C7183"/>
      <c r="H7183"/>
    </row>
    <row r="7184" spans="2:8" x14ac:dyDescent="0.35">
      <c r="B7184"/>
      <c r="C7184"/>
      <c r="H7184"/>
    </row>
    <row r="7185" spans="2:8" x14ac:dyDescent="0.35">
      <c r="B7185"/>
      <c r="C7185"/>
      <c r="H7185"/>
    </row>
    <row r="7186" spans="2:8" x14ac:dyDescent="0.35">
      <c r="B7186"/>
      <c r="C7186"/>
      <c r="H7186"/>
    </row>
    <row r="7187" spans="2:8" x14ac:dyDescent="0.35">
      <c r="B7187"/>
      <c r="C7187"/>
      <c r="H7187"/>
    </row>
    <row r="7188" spans="2:8" x14ac:dyDescent="0.35">
      <c r="B7188"/>
      <c r="C7188"/>
      <c r="H7188"/>
    </row>
    <row r="7189" spans="2:8" x14ac:dyDescent="0.35">
      <c r="B7189"/>
      <c r="C7189"/>
      <c r="H7189"/>
    </row>
    <row r="7190" spans="2:8" x14ac:dyDescent="0.35">
      <c r="B7190"/>
      <c r="C7190"/>
      <c r="H7190"/>
    </row>
    <row r="7191" spans="2:8" x14ac:dyDescent="0.35">
      <c r="B7191"/>
      <c r="C7191"/>
      <c r="H7191"/>
    </row>
    <row r="7192" spans="2:8" x14ac:dyDescent="0.35">
      <c r="B7192"/>
      <c r="C7192"/>
      <c r="H7192"/>
    </row>
    <row r="7193" spans="2:8" x14ac:dyDescent="0.35">
      <c r="B7193"/>
      <c r="C7193"/>
      <c r="H7193"/>
    </row>
    <row r="7194" spans="2:8" x14ac:dyDescent="0.35">
      <c r="B7194"/>
      <c r="C7194"/>
      <c r="H7194"/>
    </row>
    <row r="7195" spans="2:8" x14ac:dyDescent="0.35">
      <c r="B7195"/>
      <c r="C7195"/>
      <c r="H7195"/>
    </row>
    <row r="7196" spans="2:8" x14ac:dyDescent="0.35">
      <c r="B7196"/>
      <c r="C7196"/>
      <c r="H7196"/>
    </row>
    <row r="7197" spans="2:8" x14ac:dyDescent="0.35">
      <c r="B7197"/>
      <c r="C7197"/>
      <c r="H7197"/>
    </row>
    <row r="7198" spans="2:8" x14ac:dyDescent="0.35">
      <c r="B7198"/>
      <c r="C7198"/>
      <c r="H7198"/>
    </row>
    <row r="7199" spans="2:8" x14ac:dyDescent="0.35">
      <c r="B7199"/>
      <c r="C7199"/>
      <c r="H7199"/>
    </row>
    <row r="7200" spans="2:8" x14ac:dyDescent="0.35">
      <c r="B7200"/>
      <c r="C7200"/>
      <c r="H7200"/>
    </row>
    <row r="7201" spans="2:8" x14ac:dyDescent="0.35">
      <c r="B7201"/>
      <c r="C7201"/>
      <c r="H7201"/>
    </row>
    <row r="7202" spans="2:8" x14ac:dyDescent="0.35">
      <c r="B7202"/>
      <c r="C7202"/>
      <c r="H7202"/>
    </row>
    <row r="7203" spans="2:8" x14ac:dyDescent="0.35">
      <c r="B7203"/>
      <c r="C7203"/>
      <c r="H7203"/>
    </row>
    <row r="7204" spans="2:8" x14ac:dyDescent="0.35">
      <c r="B7204"/>
      <c r="C7204"/>
      <c r="H7204"/>
    </row>
    <row r="7205" spans="2:8" x14ac:dyDescent="0.35">
      <c r="B7205"/>
      <c r="C7205"/>
      <c r="H7205"/>
    </row>
    <row r="7206" spans="2:8" x14ac:dyDescent="0.35">
      <c r="B7206"/>
      <c r="C7206"/>
      <c r="H7206"/>
    </row>
    <row r="7207" spans="2:8" x14ac:dyDescent="0.35">
      <c r="B7207"/>
      <c r="C7207"/>
      <c r="H7207"/>
    </row>
    <row r="7208" spans="2:8" x14ac:dyDescent="0.35">
      <c r="B7208"/>
      <c r="C7208"/>
      <c r="H7208"/>
    </row>
    <row r="7209" spans="2:8" x14ac:dyDescent="0.35">
      <c r="B7209"/>
      <c r="C7209"/>
      <c r="H7209"/>
    </row>
    <row r="7210" spans="2:8" x14ac:dyDescent="0.35">
      <c r="B7210"/>
      <c r="C7210"/>
      <c r="H7210"/>
    </row>
    <row r="7211" spans="2:8" x14ac:dyDescent="0.35">
      <c r="B7211"/>
      <c r="C7211"/>
      <c r="H7211"/>
    </row>
    <row r="7212" spans="2:8" x14ac:dyDescent="0.35">
      <c r="B7212"/>
      <c r="C7212"/>
      <c r="H7212"/>
    </row>
    <row r="7213" spans="2:8" x14ac:dyDescent="0.35">
      <c r="B7213"/>
      <c r="C7213"/>
      <c r="H7213"/>
    </row>
    <row r="7214" spans="2:8" x14ac:dyDescent="0.35">
      <c r="B7214"/>
      <c r="C7214"/>
      <c r="H7214"/>
    </row>
    <row r="7215" spans="2:8" x14ac:dyDescent="0.35">
      <c r="B7215"/>
      <c r="C7215"/>
      <c r="H7215"/>
    </row>
    <row r="7216" spans="2:8" x14ac:dyDescent="0.35">
      <c r="B7216"/>
      <c r="C7216"/>
      <c r="H7216"/>
    </row>
    <row r="7217" spans="2:8" x14ac:dyDescent="0.35">
      <c r="B7217"/>
      <c r="C7217"/>
      <c r="H7217"/>
    </row>
    <row r="7218" spans="2:8" x14ac:dyDescent="0.35">
      <c r="B7218"/>
      <c r="C7218"/>
      <c r="H7218"/>
    </row>
    <row r="7219" spans="2:8" x14ac:dyDescent="0.35">
      <c r="B7219"/>
      <c r="C7219"/>
      <c r="H7219"/>
    </row>
    <row r="7220" spans="2:8" x14ac:dyDescent="0.35">
      <c r="B7220"/>
      <c r="C7220"/>
      <c r="H7220"/>
    </row>
    <row r="7221" spans="2:8" x14ac:dyDescent="0.35">
      <c r="B7221"/>
      <c r="C7221"/>
      <c r="H7221"/>
    </row>
    <row r="7222" spans="2:8" x14ac:dyDescent="0.35">
      <c r="B7222"/>
      <c r="C7222"/>
      <c r="H7222"/>
    </row>
    <row r="7223" spans="2:8" x14ac:dyDescent="0.35">
      <c r="B7223"/>
      <c r="C7223"/>
      <c r="H7223"/>
    </row>
    <row r="7224" spans="2:8" x14ac:dyDescent="0.35">
      <c r="B7224"/>
      <c r="C7224"/>
      <c r="H7224"/>
    </row>
    <row r="7225" spans="2:8" x14ac:dyDescent="0.35">
      <c r="B7225"/>
      <c r="C7225"/>
      <c r="H7225"/>
    </row>
    <row r="7226" spans="2:8" x14ac:dyDescent="0.35">
      <c r="B7226"/>
      <c r="C7226"/>
      <c r="H7226"/>
    </row>
    <row r="7227" spans="2:8" x14ac:dyDescent="0.35">
      <c r="B7227"/>
      <c r="C7227"/>
      <c r="H7227"/>
    </row>
    <row r="7228" spans="2:8" x14ac:dyDescent="0.35">
      <c r="B7228"/>
      <c r="C7228"/>
      <c r="H7228"/>
    </row>
    <row r="7229" spans="2:8" x14ac:dyDescent="0.35">
      <c r="B7229"/>
      <c r="C7229"/>
      <c r="H7229"/>
    </row>
    <row r="7230" spans="2:8" x14ac:dyDescent="0.35">
      <c r="B7230"/>
      <c r="C7230"/>
      <c r="H7230"/>
    </row>
    <row r="7231" spans="2:8" x14ac:dyDescent="0.35">
      <c r="B7231"/>
      <c r="C7231"/>
      <c r="H7231"/>
    </row>
    <row r="7232" spans="2:8" x14ac:dyDescent="0.35">
      <c r="B7232"/>
      <c r="C7232"/>
      <c r="H7232"/>
    </row>
    <row r="7233" spans="2:8" x14ac:dyDescent="0.35">
      <c r="B7233"/>
      <c r="C7233"/>
      <c r="H7233"/>
    </row>
    <row r="7234" spans="2:8" x14ac:dyDescent="0.35">
      <c r="B7234"/>
      <c r="C7234"/>
      <c r="H7234"/>
    </row>
    <row r="7235" spans="2:8" x14ac:dyDescent="0.35">
      <c r="B7235"/>
      <c r="C7235"/>
      <c r="H7235"/>
    </row>
    <row r="7236" spans="2:8" x14ac:dyDescent="0.35">
      <c r="B7236"/>
      <c r="C7236"/>
      <c r="H7236"/>
    </row>
    <row r="7237" spans="2:8" x14ac:dyDescent="0.35">
      <c r="B7237"/>
      <c r="C7237"/>
      <c r="H7237"/>
    </row>
    <row r="7238" spans="2:8" x14ac:dyDescent="0.35">
      <c r="B7238"/>
      <c r="C7238"/>
      <c r="H7238"/>
    </row>
    <row r="7239" spans="2:8" x14ac:dyDescent="0.35">
      <c r="B7239"/>
      <c r="C7239"/>
      <c r="H7239"/>
    </row>
    <row r="7240" spans="2:8" x14ac:dyDescent="0.35">
      <c r="B7240"/>
      <c r="C7240"/>
      <c r="H7240"/>
    </row>
    <row r="7241" spans="2:8" x14ac:dyDescent="0.35">
      <c r="B7241"/>
      <c r="C7241"/>
      <c r="H7241"/>
    </row>
    <row r="7242" spans="2:8" x14ac:dyDescent="0.35">
      <c r="B7242"/>
      <c r="C7242"/>
      <c r="H7242"/>
    </row>
    <row r="7243" spans="2:8" x14ac:dyDescent="0.35">
      <c r="B7243"/>
      <c r="C7243"/>
      <c r="H7243"/>
    </row>
    <row r="7244" spans="2:8" x14ac:dyDescent="0.35">
      <c r="B7244"/>
      <c r="C7244"/>
      <c r="H7244"/>
    </row>
    <row r="7245" spans="2:8" x14ac:dyDescent="0.35">
      <c r="B7245"/>
      <c r="C7245"/>
      <c r="H7245"/>
    </row>
    <row r="7246" spans="2:8" x14ac:dyDescent="0.35">
      <c r="B7246"/>
      <c r="C7246"/>
      <c r="H7246"/>
    </row>
    <row r="7247" spans="2:8" x14ac:dyDescent="0.35">
      <c r="B7247"/>
      <c r="C7247"/>
      <c r="H7247"/>
    </row>
    <row r="7248" spans="2:8" x14ac:dyDescent="0.35">
      <c r="B7248"/>
      <c r="C7248"/>
      <c r="H7248"/>
    </row>
    <row r="7249" spans="2:8" x14ac:dyDescent="0.35">
      <c r="B7249"/>
      <c r="C7249"/>
      <c r="H7249"/>
    </row>
    <row r="7250" spans="2:8" x14ac:dyDescent="0.35">
      <c r="B7250"/>
      <c r="C7250"/>
      <c r="H7250"/>
    </row>
    <row r="7251" spans="2:8" x14ac:dyDescent="0.35">
      <c r="B7251"/>
      <c r="C7251"/>
      <c r="H7251"/>
    </row>
    <row r="7252" spans="2:8" x14ac:dyDescent="0.35">
      <c r="B7252"/>
      <c r="C7252"/>
      <c r="H7252"/>
    </row>
    <row r="7253" spans="2:8" x14ac:dyDescent="0.35">
      <c r="B7253"/>
      <c r="C7253"/>
      <c r="H7253"/>
    </row>
    <row r="7254" spans="2:8" x14ac:dyDescent="0.35">
      <c r="B7254"/>
      <c r="C7254"/>
      <c r="H7254"/>
    </row>
    <row r="7255" spans="2:8" x14ac:dyDescent="0.35">
      <c r="B7255"/>
      <c r="C7255"/>
      <c r="H7255"/>
    </row>
    <row r="7256" spans="2:8" x14ac:dyDescent="0.35">
      <c r="B7256"/>
      <c r="C7256"/>
      <c r="H7256"/>
    </row>
    <row r="7257" spans="2:8" x14ac:dyDescent="0.35">
      <c r="B7257"/>
      <c r="C7257"/>
      <c r="H7257"/>
    </row>
    <row r="7258" spans="2:8" x14ac:dyDescent="0.35">
      <c r="B7258"/>
      <c r="C7258"/>
      <c r="H7258"/>
    </row>
    <row r="7259" spans="2:8" x14ac:dyDescent="0.35">
      <c r="B7259"/>
      <c r="C7259"/>
      <c r="H7259"/>
    </row>
    <row r="7260" spans="2:8" x14ac:dyDescent="0.35">
      <c r="B7260"/>
      <c r="C7260"/>
      <c r="H7260"/>
    </row>
    <row r="7261" spans="2:8" x14ac:dyDescent="0.35">
      <c r="B7261"/>
      <c r="C7261"/>
      <c r="H7261"/>
    </row>
    <row r="7262" spans="2:8" x14ac:dyDescent="0.35">
      <c r="B7262"/>
      <c r="C7262"/>
      <c r="H7262"/>
    </row>
    <row r="7263" spans="2:8" x14ac:dyDescent="0.35">
      <c r="B7263"/>
      <c r="C7263"/>
      <c r="H7263"/>
    </row>
    <row r="7264" spans="2:8" x14ac:dyDescent="0.35">
      <c r="B7264"/>
      <c r="C7264"/>
      <c r="H7264"/>
    </row>
    <row r="7265" spans="2:8" x14ac:dyDescent="0.35">
      <c r="B7265"/>
      <c r="C7265"/>
      <c r="H7265"/>
    </row>
    <row r="7266" spans="2:8" x14ac:dyDescent="0.35">
      <c r="B7266"/>
      <c r="C7266"/>
      <c r="H7266"/>
    </row>
    <row r="7267" spans="2:8" x14ac:dyDescent="0.35">
      <c r="B7267"/>
      <c r="C7267"/>
      <c r="H7267"/>
    </row>
    <row r="7268" spans="2:8" x14ac:dyDescent="0.35">
      <c r="B7268"/>
      <c r="C7268"/>
      <c r="H7268"/>
    </row>
    <row r="7269" spans="2:8" x14ac:dyDescent="0.35">
      <c r="B7269"/>
      <c r="C7269"/>
      <c r="H7269"/>
    </row>
    <row r="7270" spans="2:8" x14ac:dyDescent="0.35">
      <c r="B7270"/>
      <c r="C7270"/>
      <c r="H7270"/>
    </row>
    <row r="7271" spans="2:8" x14ac:dyDescent="0.35">
      <c r="B7271"/>
      <c r="C7271"/>
      <c r="H7271"/>
    </row>
    <row r="7272" spans="2:8" x14ac:dyDescent="0.35">
      <c r="B7272"/>
      <c r="C7272"/>
      <c r="H7272"/>
    </row>
    <row r="7273" spans="2:8" x14ac:dyDescent="0.35">
      <c r="B7273"/>
      <c r="C7273"/>
      <c r="H7273"/>
    </row>
    <row r="7274" spans="2:8" x14ac:dyDescent="0.35">
      <c r="B7274"/>
      <c r="C7274"/>
      <c r="H7274"/>
    </row>
    <row r="7275" spans="2:8" x14ac:dyDescent="0.35">
      <c r="B7275"/>
      <c r="C7275"/>
      <c r="H7275"/>
    </row>
    <row r="7276" spans="2:8" x14ac:dyDescent="0.35">
      <c r="B7276"/>
      <c r="C7276"/>
      <c r="H7276"/>
    </row>
    <row r="7277" spans="2:8" x14ac:dyDescent="0.35">
      <c r="B7277"/>
      <c r="C7277"/>
      <c r="H7277"/>
    </row>
    <row r="7278" spans="2:8" x14ac:dyDescent="0.35">
      <c r="B7278"/>
      <c r="C7278"/>
      <c r="H7278"/>
    </row>
    <row r="7279" spans="2:8" x14ac:dyDescent="0.35">
      <c r="B7279"/>
      <c r="C7279"/>
      <c r="H7279"/>
    </row>
    <row r="7280" spans="2:8" x14ac:dyDescent="0.35">
      <c r="B7280"/>
      <c r="C7280"/>
      <c r="H7280"/>
    </row>
    <row r="7281" spans="2:8" x14ac:dyDescent="0.35">
      <c r="B7281"/>
      <c r="C7281"/>
      <c r="H7281"/>
    </row>
    <row r="7282" spans="2:8" x14ac:dyDescent="0.35">
      <c r="B7282"/>
      <c r="C7282"/>
      <c r="H7282"/>
    </row>
    <row r="7283" spans="2:8" x14ac:dyDescent="0.35">
      <c r="B7283"/>
      <c r="C7283"/>
      <c r="H7283"/>
    </row>
    <row r="7284" spans="2:8" x14ac:dyDescent="0.35">
      <c r="B7284"/>
      <c r="C7284"/>
      <c r="H7284"/>
    </row>
    <row r="7285" spans="2:8" x14ac:dyDescent="0.35">
      <c r="B7285"/>
      <c r="C7285"/>
      <c r="H7285"/>
    </row>
    <row r="7286" spans="2:8" x14ac:dyDescent="0.35">
      <c r="B7286"/>
      <c r="C7286"/>
      <c r="H7286"/>
    </row>
    <row r="7287" spans="2:8" x14ac:dyDescent="0.35">
      <c r="B7287"/>
      <c r="C7287"/>
      <c r="H7287"/>
    </row>
    <row r="7288" spans="2:8" x14ac:dyDescent="0.35">
      <c r="B7288"/>
      <c r="C7288"/>
      <c r="H7288"/>
    </row>
    <row r="7289" spans="2:8" x14ac:dyDescent="0.35">
      <c r="B7289"/>
      <c r="C7289"/>
      <c r="H7289"/>
    </row>
    <row r="7290" spans="2:8" x14ac:dyDescent="0.35">
      <c r="B7290"/>
      <c r="C7290"/>
      <c r="H7290"/>
    </row>
    <row r="7291" spans="2:8" x14ac:dyDescent="0.35">
      <c r="B7291"/>
      <c r="C7291"/>
      <c r="H7291"/>
    </row>
    <row r="7292" spans="2:8" x14ac:dyDescent="0.35">
      <c r="B7292"/>
      <c r="C7292"/>
      <c r="H7292"/>
    </row>
    <row r="7293" spans="2:8" x14ac:dyDescent="0.35">
      <c r="B7293"/>
      <c r="C7293"/>
      <c r="H7293"/>
    </row>
    <row r="7294" spans="2:8" x14ac:dyDescent="0.35">
      <c r="B7294"/>
      <c r="C7294"/>
      <c r="H7294"/>
    </row>
    <row r="7295" spans="2:8" x14ac:dyDescent="0.35">
      <c r="B7295"/>
      <c r="C7295"/>
      <c r="H7295"/>
    </row>
    <row r="7296" spans="2:8" x14ac:dyDescent="0.35">
      <c r="B7296"/>
      <c r="C7296"/>
      <c r="H7296"/>
    </row>
    <row r="7297" spans="2:8" x14ac:dyDescent="0.35">
      <c r="B7297"/>
      <c r="C7297"/>
      <c r="H7297"/>
    </row>
    <row r="7298" spans="2:8" x14ac:dyDescent="0.35">
      <c r="B7298"/>
      <c r="C7298"/>
      <c r="H7298"/>
    </row>
    <row r="7299" spans="2:8" x14ac:dyDescent="0.35">
      <c r="B7299"/>
      <c r="C7299"/>
      <c r="H7299"/>
    </row>
    <row r="7300" spans="2:8" x14ac:dyDescent="0.35">
      <c r="B7300"/>
      <c r="C7300"/>
      <c r="H7300"/>
    </row>
    <row r="7301" spans="2:8" x14ac:dyDescent="0.35">
      <c r="B7301"/>
      <c r="C7301"/>
      <c r="H7301"/>
    </row>
    <row r="7302" spans="2:8" x14ac:dyDescent="0.35">
      <c r="B7302"/>
      <c r="C7302"/>
      <c r="H7302"/>
    </row>
    <row r="7303" spans="2:8" x14ac:dyDescent="0.35">
      <c r="B7303"/>
      <c r="C7303"/>
      <c r="H7303"/>
    </row>
    <row r="7304" spans="2:8" x14ac:dyDescent="0.35">
      <c r="B7304"/>
      <c r="C7304"/>
      <c r="H7304"/>
    </row>
    <row r="7305" spans="2:8" x14ac:dyDescent="0.35">
      <c r="B7305"/>
      <c r="C7305"/>
      <c r="H7305"/>
    </row>
    <row r="7306" spans="2:8" x14ac:dyDescent="0.35">
      <c r="B7306"/>
      <c r="C7306"/>
      <c r="H7306"/>
    </row>
    <row r="7307" spans="2:8" x14ac:dyDescent="0.35">
      <c r="B7307"/>
      <c r="C7307"/>
      <c r="H7307"/>
    </row>
    <row r="7308" spans="2:8" x14ac:dyDescent="0.35">
      <c r="B7308"/>
      <c r="C7308"/>
      <c r="H7308"/>
    </row>
    <row r="7309" spans="2:8" x14ac:dyDescent="0.35">
      <c r="B7309"/>
      <c r="C7309"/>
      <c r="H7309"/>
    </row>
    <row r="7310" spans="2:8" x14ac:dyDescent="0.35">
      <c r="B7310"/>
      <c r="C7310"/>
      <c r="H7310"/>
    </row>
    <row r="7311" spans="2:8" x14ac:dyDescent="0.35">
      <c r="B7311"/>
      <c r="C7311"/>
      <c r="H7311"/>
    </row>
    <row r="7312" spans="2:8" x14ac:dyDescent="0.35">
      <c r="B7312"/>
      <c r="C7312"/>
      <c r="H7312"/>
    </row>
    <row r="7313" spans="2:8" x14ac:dyDescent="0.35">
      <c r="B7313"/>
      <c r="C7313"/>
      <c r="H7313"/>
    </row>
    <row r="7314" spans="2:8" x14ac:dyDescent="0.35">
      <c r="B7314"/>
      <c r="C7314"/>
      <c r="H7314"/>
    </row>
    <row r="7315" spans="2:8" x14ac:dyDescent="0.35">
      <c r="B7315"/>
      <c r="C7315"/>
      <c r="H7315"/>
    </row>
    <row r="7316" spans="2:8" x14ac:dyDescent="0.35">
      <c r="B7316"/>
      <c r="C7316"/>
      <c r="H7316"/>
    </row>
    <row r="7317" spans="2:8" x14ac:dyDescent="0.35">
      <c r="B7317"/>
      <c r="C7317"/>
      <c r="H7317"/>
    </row>
    <row r="7318" spans="2:8" x14ac:dyDescent="0.35">
      <c r="B7318"/>
      <c r="C7318"/>
      <c r="H7318"/>
    </row>
    <row r="7319" spans="2:8" x14ac:dyDescent="0.35">
      <c r="B7319"/>
      <c r="C7319"/>
      <c r="H7319"/>
    </row>
    <row r="7320" spans="2:8" x14ac:dyDescent="0.35">
      <c r="B7320"/>
      <c r="C7320"/>
      <c r="H7320"/>
    </row>
    <row r="7321" spans="2:8" x14ac:dyDescent="0.35">
      <c r="B7321"/>
      <c r="C7321"/>
      <c r="H7321"/>
    </row>
    <row r="7322" spans="2:8" x14ac:dyDescent="0.35">
      <c r="B7322"/>
      <c r="C7322"/>
      <c r="H7322"/>
    </row>
    <row r="7323" spans="2:8" x14ac:dyDescent="0.35">
      <c r="B7323"/>
      <c r="C7323"/>
      <c r="H7323"/>
    </row>
    <row r="7324" spans="2:8" x14ac:dyDescent="0.35">
      <c r="B7324"/>
      <c r="C7324"/>
      <c r="H7324"/>
    </row>
    <row r="7325" spans="2:8" x14ac:dyDescent="0.35">
      <c r="B7325"/>
      <c r="C7325"/>
      <c r="H7325"/>
    </row>
    <row r="7326" spans="2:8" x14ac:dyDescent="0.35">
      <c r="B7326"/>
      <c r="C7326"/>
      <c r="H7326"/>
    </row>
    <row r="7327" spans="2:8" x14ac:dyDescent="0.35">
      <c r="B7327"/>
      <c r="C7327"/>
      <c r="H7327"/>
    </row>
    <row r="7328" spans="2:8" x14ac:dyDescent="0.35">
      <c r="B7328"/>
      <c r="C7328"/>
      <c r="H7328"/>
    </row>
    <row r="7329" spans="2:8" x14ac:dyDescent="0.35">
      <c r="B7329"/>
      <c r="C7329"/>
      <c r="H7329"/>
    </row>
    <row r="7330" spans="2:8" x14ac:dyDescent="0.35">
      <c r="B7330"/>
      <c r="C7330"/>
      <c r="H7330"/>
    </row>
    <row r="7331" spans="2:8" x14ac:dyDescent="0.35">
      <c r="B7331"/>
      <c r="C7331"/>
      <c r="H7331"/>
    </row>
    <row r="7332" spans="2:8" x14ac:dyDescent="0.35">
      <c r="B7332"/>
      <c r="C7332"/>
      <c r="H7332"/>
    </row>
    <row r="7333" spans="2:8" x14ac:dyDescent="0.35">
      <c r="B7333"/>
      <c r="C7333"/>
      <c r="H7333"/>
    </row>
    <row r="7334" spans="2:8" x14ac:dyDescent="0.35">
      <c r="B7334"/>
      <c r="C7334"/>
      <c r="H7334"/>
    </row>
    <row r="7335" spans="2:8" x14ac:dyDescent="0.35">
      <c r="B7335"/>
      <c r="C7335"/>
      <c r="H7335"/>
    </row>
    <row r="7336" spans="2:8" x14ac:dyDescent="0.35">
      <c r="B7336"/>
      <c r="C7336"/>
      <c r="H7336"/>
    </row>
    <row r="7337" spans="2:8" x14ac:dyDescent="0.35">
      <c r="B7337"/>
      <c r="C7337"/>
      <c r="H7337"/>
    </row>
    <row r="7338" spans="2:8" x14ac:dyDescent="0.35">
      <c r="B7338"/>
      <c r="C7338"/>
      <c r="H7338"/>
    </row>
    <row r="7339" spans="2:8" x14ac:dyDescent="0.35">
      <c r="B7339"/>
      <c r="C7339"/>
      <c r="H7339"/>
    </row>
    <row r="7340" spans="2:8" x14ac:dyDescent="0.35">
      <c r="B7340"/>
      <c r="C7340"/>
      <c r="H7340"/>
    </row>
    <row r="7341" spans="2:8" x14ac:dyDescent="0.35">
      <c r="B7341"/>
      <c r="C7341"/>
      <c r="H7341"/>
    </row>
    <row r="7342" spans="2:8" x14ac:dyDescent="0.35">
      <c r="B7342"/>
      <c r="C7342"/>
      <c r="H7342"/>
    </row>
    <row r="7343" spans="2:8" x14ac:dyDescent="0.35">
      <c r="B7343"/>
      <c r="C7343"/>
      <c r="H7343"/>
    </row>
    <row r="7344" spans="2:8" x14ac:dyDescent="0.35">
      <c r="B7344"/>
      <c r="C7344"/>
      <c r="H7344"/>
    </row>
    <row r="7345" spans="2:8" x14ac:dyDescent="0.35">
      <c r="B7345"/>
      <c r="C7345"/>
      <c r="H7345"/>
    </row>
    <row r="7346" spans="2:8" x14ac:dyDescent="0.35">
      <c r="B7346"/>
      <c r="C7346"/>
      <c r="H7346"/>
    </row>
    <row r="7347" spans="2:8" x14ac:dyDescent="0.35">
      <c r="B7347"/>
      <c r="C7347"/>
      <c r="H7347"/>
    </row>
    <row r="7348" spans="2:8" x14ac:dyDescent="0.35">
      <c r="B7348"/>
      <c r="C7348"/>
      <c r="H7348"/>
    </row>
    <row r="7349" spans="2:8" x14ac:dyDescent="0.35">
      <c r="B7349"/>
      <c r="C7349"/>
      <c r="H7349"/>
    </row>
    <row r="7350" spans="2:8" x14ac:dyDescent="0.35">
      <c r="B7350"/>
      <c r="C7350"/>
      <c r="H7350"/>
    </row>
    <row r="7351" spans="2:8" x14ac:dyDescent="0.35">
      <c r="B7351"/>
      <c r="C7351"/>
      <c r="H7351"/>
    </row>
    <row r="7352" spans="2:8" x14ac:dyDescent="0.35">
      <c r="B7352"/>
      <c r="C7352"/>
      <c r="H7352"/>
    </row>
    <row r="7353" spans="2:8" x14ac:dyDescent="0.35">
      <c r="B7353"/>
      <c r="C7353"/>
      <c r="H7353"/>
    </row>
    <row r="7354" spans="2:8" x14ac:dyDescent="0.35">
      <c r="B7354"/>
      <c r="C7354"/>
      <c r="H7354"/>
    </row>
    <row r="7355" spans="2:8" x14ac:dyDescent="0.35">
      <c r="B7355"/>
      <c r="C7355"/>
      <c r="H7355"/>
    </row>
    <row r="7356" spans="2:8" x14ac:dyDescent="0.35">
      <c r="B7356"/>
      <c r="C7356"/>
      <c r="H7356"/>
    </row>
    <row r="7357" spans="2:8" x14ac:dyDescent="0.35">
      <c r="B7357"/>
      <c r="C7357"/>
      <c r="H7357"/>
    </row>
    <row r="7358" spans="2:8" x14ac:dyDescent="0.35">
      <c r="B7358"/>
      <c r="C7358"/>
      <c r="H7358"/>
    </row>
    <row r="7359" spans="2:8" x14ac:dyDescent="0.35">
      <c r="B7359"/>
      <c r="C7359"/>
      <c r="H7359"/>
    </row>
    <row r="7360" spans="2:8" x14ac:dyDescent="0.35">
      <c r="B7360"/>
      <c r="C7360"/>
      <c r="H7360"/>
    </row>
    <row r="7361" spans="2:8" x14ac:dyDescent="0.35">
      <c r="B7361"/>
      <c r="C7361"/>
      <c r="H7361"/>
    </row>
    <row r="7362" spans="2:8" x14ac:dyDescent="0.35">
      <c r="B7362"/>
      <c r="C7362"/>
      <c r="H7362"/>
    </row>
    <row r="7363" spans="2:8" x14ac:dyDescent="0.35">
      <c r="B7363"/>
      <c r="C7363"/>
      <c r="H7363"/>
    </row>
    <row r="7364" spans="2:8" x14ac:dyDescent="0.35">
      <c r="B7364"/>
      <c r="C7364"/>
      <c r="H7364"/>
    </row>
    <row r="7365" spans="2:8" x14ac:dyDescent="0.35">
      <c r="B7365"/>
      <c r="C7365"/>
      <c r="H7365"/>
    </row>
    <row r="7366" spans="2:8" x14ac:dyDescent="0.35">
      <c r="B7366"/>
      <c r="C7366"/>
      <c r="H7366"/>
    </row>
    <row r="7367" spans="2:8" x14ac:dyDescent="0.35">
      <c r="B7367"/>
      <c r="C7367"/>
      <c r="H7367"/>
    </row>
    <row r="7368" spans="2:8" x14ac:dyDescent="0.35">
      <c r="B7368"/>
      <c r="C7368"/>
      <c r="H7368"/>
    </row>
    <row r="7369" spans="2:8" x14ac:dyDescent="0.35">
      <c r="B7369"/>
      <c r="C7369"/>
      <c r="H7369"/>
    </row>
    <row r="7370" spans="2:8" x14ac:dyDescent="0.35">
      <c r="B7370"/>
      <c r="C7370"/>
      <c r="H7370"/>
    </row>
    <row r="7371" spans="2:8" x14ac:dyDescent="0.35">
      <c r="B7371"/>
      <c r="C7371"/>
      <c r="H7371"/>
    </row>
    <row r="7372" spans="2:8" x14ac:dyDescent="0.35">
      <c r="B7372"/>
      <c r="C7372"/>
      <c r="H7372"/>
    </row>
    <row r="7373" spans="2:8" x14ac:dyDescent="0.35">
      <c r="B7373"/>
      <c r="C7373"/>
      <c r="H7373"/>
    </row>
    <row r="7374" spans="2:8" x14ac:dyDescent="0.35">
      <c r="B7374"/>
      <c r="C7374"/>
      <c r="H7374"/>
    </row>
    <row r="7375" spans="2:8" x14ac:dyDescent="0.35">
      <c r="B7375"/>
      <c r="C7375"/>
      <c r="H7375"/>
    </row>
    <row r="7376" spans="2:8" x14ac:dyDescent="0.35">
      <c r="B7376"/>
      <c r="C7376"/>
      <c r="H7376"/>
    </row>
    <row r="7377" spans="2:8" x14ac:dyDescent="0.35">
      <c r="B7377"/>
      <c r="C7377"/>
      <c r="H7377"/>
    </row>
    <row r="7378" spans="2:8" x14ac:dyDescent="0.35">
      <c r="B7378"/>
      <c r="C7378"/>
      <c r="H7378"/>
    </row>
    <row r="7379" spans="2:8" x14ac:dyDescent="0.35">
      <c r="B7379"/>
      <c r="C7379"/>
      <c r="H7379"/>
    </row>
    <row r="7380" spans="2:8" x14ac:dyDescent="0.35">
      <c r="B7380"/>
      <c r="C7380"/>
      <c r="H7380"/>
    </row>
    <row r="7381" spans="2:8" x14ac:dyDescent="0.35">
      <c r="B7381"/>
      <c r="C7381"/>
      <c r="H7381"/>
    </row>
    <row r="7382" spans="2:8" x14ac:dyDescent="0.35">
      <c r="B7382"/>
      <c r="C7382"/>
      <c r="H7382"/>
    </row>
    <row r="7383" spans="2:8" x14ac:dyDescent="0.35">
      <c r="B7383"/>
      <c r="C7383"/>
      <c r="H7383"/>
    </row>
    <row r="7384" spans="2:8" x14ac:dyDescent="0.35">
      <c r="B7384"/>
      <c r="C7384"/>
      <c r="H7384"/>
    </row>
    <row r="7385" spans="2:8" x14ac:dyDescent="0.35">
      <c r="B7385"/>
      <c r="C7385"/>
      <c r="H7385"/>
    </row>
    <row r="7386" spans="2:8" x14ac:dyDescent="0.35">
      <c r="B7386"/>
      <c r="C7386"/>
      <c r="H7386"/>
    </row>
    <row r="7387" spans="2:8" x14ac:dyDescent="0.35">
      <c r="B7387"/>
      <c r="C7387"/>
      <c r="H7387"/>
    </row>
    <row r="7388" spans="2:8" x14ac:dyDescent="0.35">
      <c r="B7388"/>
      <c r="C7388"/>
      <c r="H7388"/>
    </row>
    <row r="7389" spans="2:8" x14ac:dyDescent="0.35">
      <c r="B7389"/>
      <c r="C7389"/>
      <c r="H7389"/>
    </row>
    <row r="7390" spans="2:8" x14ac:dyDescent="0.35">
      <c r="B7390"/>
      <c r="C7390"/>
      <c r="H7390"/>
    </row>
    <row r="7391" spans="2:8" x14ac:dyDescent="0.35">
      <c r="B7391"/>
      <c r="C7391"/>
      <c r="H7391"/>
    </row>
    <row r="7392" spans="2:8" x14ac:dyDescent="0.35">
      <c r="B7392"/>
      <c r="C7392"/>
      <c r="H7392"/>
    </row>
    <row r="7393" spans="2:8" x14ac:dyDescent="0.35">
      <c r="B7393"/>
      <c r="C7393"/>
      <c r="H7393"/>
    </row>
    <row r="7394" spans="2:8" x14ac:dyDescent="0.35">
      <c r="B7394"/>
      <c r="C7394"/>
      <c r="H7394"/>
    </row>
    <row r="7395" spans="2:8" x14ac:dyDescent="0.35">
      <c r="B7395"/>
      <c r="C7395"/>
      <c r="H7395"/>
    </row>
    <row r="7396" spans="2:8" x14ac:dyDescent="0.35">
      <c r="B7396"/>
      <c r="C7396"/>
      <c r="H7396"/>
    </row>
    <row r="7397" spans="2:8" x14ac:dyDescent="0.35">
      <c r="B7397"/>
      <c r="C7397"/>
      <c r="H7397"/>
    </row>
    <row r="7398" spans="2:8" x14ac:dyDescent="0.35">
      <c r="B7398"/>
      <c r="C7398"/>
      <c r="H7398"/>
    </row>
    <row r="7399" spans="2:8" x14ac:dyDescent="0.35">
      <c r="B7399"/>
      <c r="C7399"/>
      <c r="H7399"/>
    </row>
    <row r="7400" spans="2:8" x14ac:dyDescent="0.35">
      <c r="B7400"/>
      <c r="C7400"/>
      <c r="H7400"/>
    </row>
    <row r="7401" spans="2:8" x14ac:dyDescent="0.35">
      <c r="B7401"/>
      <c r="C7401"/>
      <c r="H7401"/>
    </row>
    <row r="7402" spans="2:8" x14ac:dyDescent="0.35">
      <c r="B7402"/>
      <c r="C7402"/>
      <c r="H7402"/>
    </row>
    <row r="7403" spans="2:8" x14ac:dyDescent="0.35">
      <c r="B7403"/>
      <c r="C7403"/>
      <c r="H7403"/>
    </row>
    <row r="7404" spans="2:8" x14ac:dyDescent="0.35">
      <c r="B7404"/>
      <c r="C7404"/>
      <c r="H7404"/>
    </row>
    <row r="7405" spans="2:8" x14ac:dyDescent="0.35">
      <c r="B7405"/>
      <c r="C7405"/>
      <c r="H7405"/>
    </row>
    <row r="7406" spans="2:8" x14ac:dyDescent="0.35">
      <c r="B7406"/>
      <c r="C7406"/>
      <c r="H7406"/>
    </row>
    <row r="7407" spans="2:8" x14ac:dyDescent="0.35">
      <c r="B7407"/>
      <c r="C7407"/>
      <c r="H7407"/>
    </row>
    <row r="7408" spans="2:8" x14ac:dyDescent="0.35">
      <c r="B7408"/>
      <c r="C7408"/>
      <c r="H7408"/>
    </row>
    <row r="7409" spans="2:8" x14ac:dyDescent="0.35">
      <c r="B7409"/>
      <c r="C7409"/>
      <c r="H7409"/>
    </row>
    <row r="7410" spans="2:8" x14ac:dyDescent="0.35">
      <c r="B7410"/>
      <c r="C7410"/>
      <c r="H7410"/>
    </row>
    <row r="7411" spans="2:8" x14ac:dyDescent="0.35">
      <c r="B7411"/>
      <c r="C7411"/>
      <c r="H7411"/>
    </row>
    <row r="7412" spans="2:8" x14ac:dyDescent="0.35">
      <c r="B7412"/>
      <c r="C7412"/>
      <c r="H7412"/>
    </row>
    <row r="7413" spans="2:8" x14ac:dyDescent="0.35">
      <c r="B7413"/>
      <c r="C7413"/>
      <c r="H7413"/>
    </row>
    <row r="7414" spans="2:8" x14ac:dyDescent="0.35">
      <c r="B7414"/>
      <c r="C7414"/>
      <c r="H7414"/>
    </row>
    <row r="7415" spans="2:8" x14ac:dyDescent="0.35">
      <c r="B7415"/>
      <c r="C7415"/>
      <c r="H7415"/>
    </row>
    <row r="7416" spans="2:8" x14ac:dyDescent="0.35">
      <c r="B7416"/>
      <c r="C7416"/>
      <c r="H7416"/>
    </row>
    <row r="7417" spans="2:8" x14ac:dyDescent="0.35">
      <c r="B7417"/>
      <c r="C7417"/>
      <c r="H7417"/>
    </row>
    <row r="7418" spans="2:8" x14ac:dyDescent="0.35">
      <c r="B7418"/>
      <c r="C7418"/>
      <c r="H7418"/>
    </row>
    <row r="7419" spans="2:8" x14ac:dyDescent="0.35">
      <c r="B7419"/>
      <c r="C7419"/>
      <c r="H7419"/>
    </row>
    <row r="7420" spans="2:8" x14ac:dyDescent="0.35">
      <c r="B7420"/>
      <c r="C7420"/>
      <c r="H7420"/>
    </row>
    <row r="7421" spans="2:8" x14ac:dyDescent="0.35">
      <c r="B7421"/>
      <c r="C7421"/>
      <c r="H7421"/>
    </row>
    <row r="7422" spans="2:8" x14ac:dyDescent="0.35">
      <c r="B7422"/>
      <c r="C7422"/>
      <c r="H7422"/>
    </row>
    <row r="7423" spans="2:8" x14ac:dyDescent="0.35">
      <c r="B7423"/>
      <c r="C7423"/>
      <c r="H7423"/>
    </row>
    <row r="7424" spans="2:8" x14ac:dyDescent="0.35">
      <c r="B7424"/>
      <c r="C7424"/>
      <c r="H7424"/>
    </row>
    <row r="7425" spans="2:8" x14ac:dyDescent="0.35">
      <c r="B7425"/>
      <c r="C7425"/>
      <c r="H7425"/>
    </row>
    <row r="7426" spans="2:8" x14ac:dyDescent="0.35">
      <c r="B7426"/>
      <c r="C7426"/>
      <c r="H7426"/>
    </row>
    <row r="7427" spans="2:8" x14ac:dyDescent="0.35">
      <c r="B7427"/>
      <c r="C7427"/>
      <c r="H7427"/>
    </row>
    <row r="7428" spans="2:8" x14ac:dyDescent="0.35">
      <c r="B7428"/>
      <c r="C7428"/>
      <c r="H7428"/>
    </row>
    <row r="7429" spans="2:8" x14ac:dyDescent="0.35">
      <c r="B7429"/>
      <c r="C7429"/>
      <c r="H7429"/>
    </row>
    <row r="7430" spans="2:8" x14ac:dyDescent="0.35">
      <c r="B7430"/>
      <c r="C7430"/>
      <c r="H7430"/>
    </row>
    <row r="7431" spans="2:8" x14ac:dyDescent="0.35">
      <c r="B7431"/>
      <c r="C7431"/>
      <c r="H7431"/>
    </row>
    <row r="7432" spans="2:8" x14ac:dyDescent="0.35">
      <c r="B7432"/>
      <c r="C7432"/>
      <c r="H7432"/>
    </row>
    <row r="7433" spans="2:8" x14ac:dyDescent="0.35">
      <c r="B7433"/>
      <c r="C7433"/>
      <c r="H7433"/>
    </row>
    <row r="7434" spans="2:8" x14ac:dyDescent="0.35">
      <c r="B7434"/>
      <c r="C7434"/>
      <c r="H7434"/>
    </row>
    <row r="7435" spans="2:8" x14ac:dyDescent="0.35">
      <c r="B7435"/>
      <c r="C7435"/>
      <c r="H7435"/>
    </row>
    <row r="7436" spans="2:8" x14ac:dyDescent="0.35">
      <c r="B7436"/>
      <c r="C7436"/>
      <c r="H7436"/>
    </row>
    <row r="7437" spans="2:8" x14ac:dyDescent="0.35">
      <c r="B7437"/>
      <c r="C7437"/>
      <c r="H7437"/>
    </row>
    <row r="7438" spans="2:8" x14ac:dyDescent="0.35">
      <c r="B7438"/>
      <c r="C7438"/>
      <c r="H7438"/>
    </row>
    <row r="7439" spans="2:8" x14ac:dyDescent="0.35">
      <c r="B7439"/>
      <c r="C7439"/>
      <c r="H7439"/>
    </row>
    <row r="7440" spans="2:8" x14ac:dyDescent="0.35">
      <c r="B7440"/>
      <c r="C7440"/>
      <c r="H7440"/>
    </row>
    <row r="7441" spans="2:8" x14ac:dyDescent="0.35">
      <c r="B7441"/>
      <c r="C7441"/>
      <c r="H7441"/>
    </row>
    <row r="7442" spans="2:8" x14ac:dyDescent="0.35">
      <c r="B7442"/>
      <c r="C7442"/>
      <c r="H7442"/>
    </row>
    <row r="7443" spans="2:8" x14ac:dyDescent="0.35">
      <c r="B7443"/>
      <c r="C7443"/>
      <c r="H7443"/>
    </row>
    <row r="7444" spans="2:8" x14ac:dyDescent="0.35">
      <c r="B7444"/>
      <c r="C7444"/>
      <c r="H7444"/>
    </row>
    <row r="7445" spans="2:8" x14ac:dyDescent="0.35">
      <c r="B7445"/>
      <c r="C7445"/>
      <c r="H7445"/>
    </row>
    <row r="7446" spans="2:8" x14ac:dyDescent="0.35">
      <c r="B7446"/>
      <c r="C7446"/>
      <c r="H7446"/>
    </row>
    <row r="7447" spans="2:8" x14ac:dyDescent="0.35">
      <c r="B7447"/>
      <c r="C7447"/>
      <c r="H7447"/>
    </row>
    <row r="7448" spans="2:8" x14ac:dyDescent="0.35">
      <c r="B7448"/>
      <c r="C7448"/>
      <c r="H7448"/>
    </row>
    <row r="7449" spans="2:8" x14ac:dyDescent="0.35">
      <c r="B7449"/>
      <c r="C7449"/>
      <c r="H7449"/>
    </row>
    <row r="7450" spans="2:8" x14ac:dyDescent="0.35">
      <c r="B7450"/>
      <c r="C7450"/>
      <c r="H7450"/>
    </row>
    <row r="7451" spans="2:8" x14ac:dyDescent="0.35">
      <c r="B7451"/>
      <c r="C7451"/>
      <c r="H7451"/>
    </row>
    <row r="7452" spans="2:8" x14ac:dyDescent="0.35">
      <c r="B7452"/>
      <c r="C7452"/>
      <c r="H7452"/>
    </row>
    <row r="7453" spans="2:8" x14ac:dyDescent="0.35">
      <c r="B7453"/>
      <c r="C7453"/>
      <c r="H7453"/>
    </row>
    <row r="7454" spans="2:8" x14ac:dyDescent="0.35">
      <c r="B7454"/>
      <c r="C7454"/>
      <c r="H7454"/>
    </row>
    <row r="7455" spans="2:8" x14ac:dyDescent="0.35">
      <c r="B7455"/>
      <c r="C7455"/>
      <c r="H7455"/>
    </row>
    <row r="7456" spans="2:8" x14ac:dyDescent="0.35">
      <c r="B7456"/>
      <c r="C7456"/>
      <c r="H7456"/>
    </row>
    <row r="7457" spans="2:8" x14ac:dyDescent="0.35">
      <c r="B7457"/>
      <c r="C7457"/>
      <c r="H7457"/>
    </row>
    <row r="7458" spans="2:8" x14ac:dyDescent="0.35">
      <c r="B7458"/>
      <c r="C7458"/>
      <c r="H7458"/>
    </row>
    <row r="7459" spans="2:8" x14ac:dyDescent="0.35">
      <c r="B7459"/>
      <c r="C7459"/>
      <c r="H7459"/>
    </row>
    <row r="7460" spans="2:8" x14ac:dyDescent="0.35">
      <c r="B7460"/>
      <c r="C7460"/>
      <c r="H7460"/>
    </row>
    <row r="7461" spans="2:8" x14ac:dyDescent="0.35">
      <c r="B7461"/>
      <c r="C7461"/>
      <c r="H7461"/>
    </row>
    <row r="7462" spans="2:8" x14ac:dyDescent="0.35">
      <c r="B7462"/>
      <c r="C7462"/>
      <c r="H7462"/>
    </row>
    <row r="7463" spans="2:8" x14ac:dyDescent="0.35">
      <c r="B7463"/>
      <c r="C7463"/>
      <c r="H7463"/>
    </row>
    <row r="7464" spans="2:8" x14ac:dyDescent="0.35">
      <c r="B7464"/>
      <c r="C7464"/>
      <c r="H7464"/>
    </row>
    <row r="7465" spans="2:8" x14ac:dyDescent="0.35">
      <c r="B7465"/>
      <c r="C7465"/>
      <c r="H7465"/>
    </row>
    <row r="7466" spans="2:8" x14ac:dyDescent="0.35">
      <c r="B7466"/>
      <c r="C7466"/>
      <c r="H7466"/>
    </row>
    <row r="7467" spans="2:8" x14ac:dyDescent="0.35">
      <c r="B7467"/>
      <c r="C7467"/>
      <c r="H7467"/>
    </row>
    <row r="7468" spans="2:8" x14ac:dyDescent="0.35">
      <c r="B7468"/>
      <c r="C7468"/>
      <c r="H7468"/>
    </row>
    <row r="7469" spans="2:8" x14ac:dyDescent="0.35">
      <c r="B7469"/>
      <c r="C7469"/>
      <c r="H7469"/>
    </row>
    <row r="7470" spans="2:8" x14ac:dyDescent="0.35">
      <c r="B7470"/>
      <c r="C7470"/>
      <c r="H7470"/>
    </row>
    <row r="7471" spans="2:8" x14ac:dyDescent="0.35">
      <c r="B7471"/>
      <c r="C7471"/>
      <c r="H7471"/>
    </row>
    <row r="7472" spans="2:8" x14ac:dyDescent="0.35">
      <c r="B7472"/>
      <c r="C7472"/>
      <c r="H7472"/>
    </row>
    <row r="7473" spans="2:8" x14ac:dyDescent="0.35">
      <c r="B7473"/>
      <c r="C7473"/>
      <c r="H7473"/>
    </row>
    <row r="7474" spans="2:8" x14ac:dyDescent="0.35">
      <c r="B7474"/>
      <c r="C7474"/>
      <c r="H7474"/>
    </row>
    <row r="7475" spans="2:8" x14ac:dyDescent="0.35">
      <c r="B7475"/>
      <c r="C7475"/>
      <c r="H7475"/>
    </row>
    <row r="7476" spans="2:8" x14ac:dyDescent="0.35">
      <c r="B7476"/>
      <c r="C7476"/>
      <c r="H7476"/>
    </row>
    <row r="7477" spans="2:8" x14ac:dyDescent="0.35">
      <c r="B7477"/>
      <c r="C7477"/>
      <c r="H7477"/>
    </row>
    <row r="7478" spans="2:8" x14ac:dyDescent="0.35">
      <c r="B7478"/>
      <c r="C7478"/>
      <c r="H7478"/>
    </row>
    <row r="7479" spans="2:8" x14ac:dyDescent="0.35">
      <c r="B7479"/>
      <c r="C7479"/>
      <c r="H7479"/>
    </row>
    <row r="7480" spans="2:8" x14ac:dyDescent="0.35">
      <c r="B7480"/>
      <c r="C7480"/>
      <c r="H7480"/>
    </row>
    <row r="7481" spans="2:8" x14ac:dyDescent="0.35">
      <c r="B7481"/>
      <c r="C7481"/>
      <c r="H7481"/>
    </row>
    <row r="7482" spans="2:8" x14ac:dyDescent="0.35">
      <c r="B7482"/>
      <c r="C7482"/>
      <c r="H7482"/>
    </row>
    <row r="7483" spans="2:8" x14ac:dyDescent="0.35">
      <c r="B7483"/>
      <c r="C7483"/>
      <c r="H7483"/>
    </row>
    <row r="7484" spans="2:8" x14ac:dyDescent="0.35">
      <c r="B7484"/>
      <c r="C7484"/>
      <c r="H7484"/>
    </row>
    <row r="7485" spans="2:8" x14ac:dyDescent="0.35">
      <c r="B7485"/>
      <c r="C7485"/>
      <c r="H7485"/>
    </row>
    <row r="7486" spans="2:8" x14ac:dyDescent="0.35">
      <c r="B7486"/>
      <c r="C7486"/>
      <c r="H7486"/>
    </row>
    <row r="7487" spans="2:8" x14ac:dyDescent="0.35">
      <c r="B7487"/>
      <c r="C7487"/>
      <c r="H7487"/>
    </row>
    <row r="7488" spans="2:8" x14ac:dyDescent="0.35">
      <c r="B7488"/>
      <c r="C7488"/>
      <c r="H7488"/>
    </row>
    <row r="7489" spans="2:8" x14ac:dyDescent="0.35">
      <c r="B7489"/>
      <c r="C7489"/>
      <c r="H7489"/>
    </row>
    <row r="7490" spans="2:8" x14ac:dyDescent="0.35">
      <c r="B7490"/>
      <c r="C7490"/>
      <c r="H7490"/>
    </row>
    <row r="7491" spans="2:8" x14ac:dyDescent="0.35">
      <c r="B7491"/>
      <c r="C7491"/>
      <c r="H7491"/>
    </row>
    <row r="7492" spans="2:8" x14ac:dyDescent="0.35">
      <c r="B7492"/>
      <c r="C7492"/>
      <c r="H7492"/>
    </row>
    <row r="7493" spans="2:8" x14ac:dyDescent="0.35">
      <c r="B7493"/>
      <c r="C7493"/>
      <c r="H7493"/>
    </row>
    <row r="7494" spans="2:8" x14ac:dyDescent="0.35">
      <c r="B7494"/>
      <c r="C7494"/>
      <c r="H7494"/>
    </row>
    <row r="7495" spans="2:8" x14ac:dyDescent="0.35">
      <c r="B7495"/>
      <c r="C7495"/>
      <c r="H7495"/>
    </row>
    <row r="7496" spans="2:8" x14ac:dyDescent="0.35">
      <c r="B7496"/>
      <c r="C7496"/>
      <c r="H7496"/>
    </row>
    <row r="7497" spans="2:8" x14ac:dyDescent="0.35">
      <c r="B7497"/>
      <c r="C7497"/>
      <c r="H7497"/>
    </row>
    <row r="7498" spans="2:8" x14ac:dyDescent="0.35">
      <c r="B7498"/>
      <c r="C7498"/>
      <c r="H7498"/>
    </row>
    <row r="7499" spans="2:8" x14ac:dyDescent="0.35">
      <c r="B7499"/>
      <c r="C7499"/>
      <c r="H7499"/>
    </row>
    <row r="7500" spans="2:8" x14ac:dyDescent="0.35">
      <c r="B7500"/>
      <c r="C7500"/>
      <c r="H7500"/>
    </row>
    <row r="7501" spans="2:8" x14ac:dyDescent="0.35">
      <c r="B7501"/>
      <c r="C7501"/>
      <c r="H7501"/>
    </row>
    <row r="7502" spans="2:8" x14ac:dyDescent="0.35">
      <c r="B7502"/>
      <c r="C7502"/>
      <c r="H7502"/>
    </row>
    <row r="7503" spans="2:8" x14ac:dyDescent="0.35">
      <c r="B7503"/>
      <c r="C7503"/>
      <c r="H7503"/>
    </row>
    <row r="7504" spans="2:8" x14ac:dyDescent="0.35">
      <c r="B7504"/>
      <c r="C7504"/>
      <c r="H7504"/>
    </row>
    <row r="7505" spans="2:8" x14ac:dyDescent="0.35">
      <c r="B7505"/>
      <c r="C7505"/>
      <c r="H7505"/>
    </row>
    <row r="7506" spans="2:8" x14ac:dyDescent="0.35">
      <c r="B7506"/>
      <c r="C7506"/>
      <c r="H7506"/>
    </row>
    <row r="7507" spans="2:8" x14ac:dyDescent="0.35">
      <c r="B7507"/>
      <c r="C7507"/>
      <c r="H7507"/>
    </row>
    <row r="7508" spans="2:8" x14ac:dyDescent="0.35">
      <c r="B7508"/>
      <c r="C7508"/>
      <c r="H7508"/>
    </row>
    <row r="7509" spans="2:8" x14ac:dyDescent="0.35">
      <c r="B7509"/>
      <c r="C7509"/>
      <c r="H7509"/>
    </row>
    <row r="7510" spans="2:8" x14ac:dyDescent="0.35">
      <c r="B7510"/>
      <c r="C7510"/>
      <c r="H7510"/>
    </row>
    <row r="7511" spans="2:8" x14ac:dyDescent="0.35">
      <c r="B7511"/>
      <c r="C7511"/>
      <c r="H7511"/>
    </row>
    <row r="7512" spans="2:8" x14ac:dyDescent="0.35">
      <c r="B7512"/>
      <c r="C7512"/>
      <c r="H7512"/>
    </row>
    <row r="7513" spans="2:8" x14ac:dyDescent="0.35">
      <c r="B7513"/>
      <c r="C7513"/>
      <c r="H7513"/>
    </row>
    <row r="7514" spans="2:8" x14ac:dyDescent="0.35">
      <c r="B7514"/>
      <c r="C7514"/>
      <c r="H7514"/>
    </row>
    <row r="7515" spans="2:8" x14ac:dyDescent="0.35">
      <c r="B7515"/>
      <c r="C7515"/>
      <c r="H7515"/>
    </row>
    <row r="7516" spans="2:8" x14ac:dyDescent="0.35">
      <c r="B7516"/>
      <c r="C7516"/>
      <c r="H7516"/>
    </row>
    <row r="7517" spans="2:8" x14ac:dyDescent="0.35">
      <c r="B7517"/>
      <c r="C7517"/>
      <c r="H7517"/>
    </row>
    <row r="7518" spans="2:8" x14ac:dyDescent="0.35">
      <c r="B7518"/>
      <c r="C7518"/>
      <c r="H7518"/>
    </row>
    <row r="7519" spans="2:8" x14ac:dyDescent="0.35">
      <c r="B7519"/>
      <c r="C7519"/>
      <c r="H7519"/>
    </row>
    <row r="7520" spans="2:8" x14ac:dyDescent="0.35">
      <c r="B7520"/>
      <c r="C7520"/>
      <c r="H7520"/>
    </row>
    <row r="7521" spans="2:8" x14ac:dyDescent="0.35">
      <c r="B7521"/>
      <c r="C7521"/>
      <c r="H7521"/>
    </row>
    <row r="7522" spans="2:8" x14ac:dyDescent="0.35">
      <c r="B7522"/>
      <c r="C7522"/>
      <c r="H7522"/>
    </row>
    <row r="7523" spans="2:8" x14ac:dyDescent="0.35">
      <c r="B7523"/>
      <c r="C7523"/>
      <c r="H7523"/>
    </row>
    <row r="7524" spans="2:8" x14ac:dyDescent="0.35">
      <c r="B7524"/>
      <c r="C7524"/>
      <c r="H7524"/>
    </row>
    <row r="7525" spans="2:8" x14ac:dyDescent="0.35">
      <c r="B7525"/>
      <c r="C7525"/>
      <c r="H7525"/>
    </row>
    <row r="7526" spans="2:8" x14ac:dyDescent="0.35">
      <c r="B7526"/>
      <c r="C7526"/>
      <c r="H7526"/>
    </row>
    <row r="7527" spans="2:8" x14ac:dyDescent="0.35">
      <c r="B7527"/>
      <c r="C7527"/>
      <c r="H7527"/>
    </row>
    <row r="7528" spans="2:8" x14ac:dyDescent="0.35">
      <c r="B7528"/>
      <c r="C7528"/>
      <c r="H7528"/>
    </row>
    <row r="7529" spans="2:8" x14ac:dyDescent="0.35">
      <c r="B7529"/>
      <c r="C7529"/>
      <c r="H7529"/>
    </row>
    <row r="7530" spans="2:8" x14ac:dyDescent="0.35">
      <c r="B7530"/>
      <c r="C7530"/>
      <c r="H7530"/>
    </row>
    <row r="7531" spans="2:8" x14ac:dyDescent="0.35">
      <c r="B7531"/>
      <c r="C7531"/>
      <c r="H7531"/>
    </row>
    <row r="7532" spans="2:8" x14ac:dyDescent="0.35">
      <c r="B7532"/>
      <c r="C7532"/>
      <c r="H7532"/>
    </row>
    <row r="7533" spans="2:8" x14ac:dyDescent="0.35">
      <c r="B7533"/>
      <c r="C7533"/>
      <c r="H7533"/>
    </row>
    <row r="7534" spans="2:8" x14ac:dyDescent="0.35">
      <c r="B7534"/>
      <c r="C7534"/>
      <c r="H7534"/>
    </row>
    <row r="7535" spans="2:8" x14ac:dyDescent="0.35">
      <c r="B7535"/>
      <c r="C7535"/>
      <c r="H7535"/>
    </row>
    <row r="7536" spans="2:8" x14ac:dyDescent="0.35">
      <c r="B7536"/>
      <c r="C7536"/>
      <c r="H7536"/>
    </row>
    <row r="7537" spans="2:8" x14ac:dyDescent="0.35">
      <c r="B7537"/>
      <c r="C7537"/>
      <c r="H7537"/>
    </row>
    <row r="7538" spans="2:8" x14ac:dyDescent="0.35">
      <c r="B7538"/>
      <c r="C7538"/>
      <c r="H7538"/>
    </row>
    <row r="7539" spans="2:8" x14ac:dyDescent="0.35">
      <c r="B7539"/>
      <c r="C7539"/>
      <c r="H7539"/>
    </row>
    <row r="7540" spans="2:8" x14ac:dyDescent="0.35">
      <c r="B7540"/>
      <c r="C7540"/>
      <c r="H7540"/>
    </row>
    <row r="7541" spans="2:8" x14ac:dyDescent="0.35">
      <c r="B7541"/>
      <c r="C7541"/>
      <c r="H7541"/>
    </row>
    <row r="7542" spans="2:8" x14ac:dyDescent="0.35">
      <c r="B7542"/>
      <c r="C7542"/>
      <c r="H7542"/>
    </row>
    <row r="7543" spans="2:8" x14ac:dyDescent="0.35">
      <c r="B7543"/>
      <c r="C7543"/>
      <c r="H7543"/>
    </row>
    <row r="7544" spans="2:8" x14ac:dyDescent="0.35">
      <c r="B7544"/>
      <c r="C7544"/>
      <c r="H7544"/>
    </row>
    <row r="7545" spans="2:8" x14ac:dyDescent="0.35">
      <c r="B7545"/>
      <c r="C7545"/>
      <c r="H7545"/>
    </row>
    <row r="7546" spans="2:8" x14ac:dyDescent="0.35">
      <c r="B7546"/>
      <c r="C7546"/>
      <c r="H7546"/>
    </row>
    <row r="7547" spans="2:8" x14ac:dyDescent="0.35">
      <c r="B7547"/>
      <c r="C7547"/>
      <c r="H7547"/>
    </row>
    <row r="7548" spans="2:8" x14ac:dyDescent="0.35">
      <c r="B7548"/>
      <c r="C7548"/>
      <c r="H7548"/>
    </row>
    <row r="7549" spans="2:8" x14ac:dyDescent="0.35">
      <c r="B7549"/>
      <c r="C7549"/>
      <c r="H7549"/>
    </row>
    <row r="7550" spans="2:8" x14ac:dyDescent="0.35">
      <c r="B7550"/>
      <c r="C7550"/>
      <c r="H7550"/>
    </row>
    <row r="7551" spans="2:8" x14ac:dyDescent="0.35">
      <c r="B7551"/>
      <c r="C7551"/>
      <c r="H7551"/>
    </row>
    <row r="7552" spans="2:8" x14ac:dyDescent="0.35">
      <c r="B7552"/>
      <c r="C7552"/>
      <c r="H7552"/>
    </row>
    <row r="7553" spans="2:8" x14ac:dyDescent="0.35">
      <c r="B7553"/>
      <c r="C7553"/>
      <c r="H7553"/>
    </row>
    <row r="7554" spans="2:8" x14ac:dyDescent="0.35">
      <c r="B7554"/>
      <c r="C7554"/>
      <c r="H7554"/>
    </row>
    <row r="7555" spans="2:8" x14ac:dyDescent="0.35">
      <c r="B7555"/>
      <c r="C7555"/>
      <c r="H7555"/>
    </row>
    <row r="7556" spans="2:8" x14ac:dyDescent="0.35">
      <c r="B7556"/>
      <c r="C7556"/>
      <c r="H7556"/>
    </row>
    <row r="7557" spans="2:8" x14ac:dyDescent="0.35">
      <c r="B7557"/>
      <c r="C7557"/>
      <c r="H7557"/>
    </row>
    <row r="7558" spans="2:8" x14ac:dyDescent="0.35">
      <c r="B7558"/>
      <c r="C7558"/>
      <c r="H7558"/>
    </row>
    <row r="7559" spans="2:8" x14ac:dyDescent="0.35">
      <c r="B7559"/>
      <c r="C7559"/>
      <c r="H7559"/>
    </row>
    <row r="7560" spans="2:8" x14ac:dyDescent="0.35">
      <c r="B7560"/>
      <c r="C7560"/>
      <c r="H7560"/>
    </row>
    <row r="7561" spans="2:8" x14ac:dyDescent="0.35">
      <c r="B7561"/>
      <c r="C7561"/>
      <c r="H7561"/>
    </row>
    <row r="7562" spans="2:8" x14ac:dyDescent="0.35">
      <c r="B7562"/>
      <c r="C7562"/>
      <c r="H7562"/>
    </row>
    <row r="7563" spans="2:8" x14ac:dyDescent="0.35">
      <c r="B7563"/>
      <c r="C7563"/>
      <c r="H7563"/>
    </row>
    <row r="7564" spans="2:8" x14ac:dyDescent="0.35">
      <c r="B7564"/>
      <c r="C7564"/>
      <c r="H7564"/>
    </row>
    <row r="7565" spans="2:8" x14ac:dyDescent="0.35">
      <c r="B7565"/>
      <c r="C7565"/>
      <c r="H7565"/>
    </row>
    <row r="7566" spans="2:8" x14ac:dyDescent="0.35">
      <c r="B7566"/>
      <c r="C7566"/>
      <c r="H7566"/>
    </row>
    <row r="7567" spans="2:8" x14ac:dyDescent="0.35">
      <c r="B7567"/>
      <c r="C7567"/>
      <c r="H7567"/>
    </row>
    <row r="7568" spans="2:8" x14ac:dyDescent="0.35">
      <c r="B7568"/>
      <c r="C7568"/>
      <c r="H7568"/>
    </row>
    <row r="7569" spans="2:8" x14ac:dyDescent="0.35">
      <c r="B7569"/>
      <c r="C7569"/>
      <c r="H7569"/>
    </row>
    <row r="7570" spans="2:8" x14ac:dyDescent="0.35">
      <c r="B7570"/>
      <c r="C7570"/>
      <c r="H7570"/>
    </row>
    <row r="7571" spans="2:8" x14ac:dyDescent="0.35">
      <c r="B7571"/>
      <c r="C7571"/>
      <c r="H7571"/>
    </row>
    <row r="7572" spans="2:8" x14ac:dyDescent="0.35">
      <c r="B7572"/>
      <c r="C7572"/>
      <c r="H7572"/>
    </row>
    <row r="7573" spans="2:8" x14ac:dyDescent="0.35">
      <c r="B7573"/>
      <c r="C7573"/>
      <c r="H7573"/>
    </row>
    <row r="7574" spans="2:8" x14ac:dyDescent="0.35">
      <c r="B7574"/>
      <c r="C7574"/>
      <c r="H7574"/>
    </row>
    <row r="7575" spans="2:8" x14ac:dyDescent="0.35">
      <c r="B7575"/>
      <c r="C7575"/>
      <c r="H7575"/>
    </row>
    <row r="7576" spans="2:8" x14ac:dyDescent="0.35">
      <c r="B7576"/>
      <c r="C7576"/>
      <c r="H7576"/>
    </row>
    <row r="7577" spans="2:8" x14ac:dyDescent="0.35">
      <c r="B7577"/>
      <c r="C7577"/>
      <c r="H7577"/>
    </row>
    <row r="7578" spans="2:8" x14ac:dyDescent="0.35">
      <c r="B7578"/>
      <c r="C7578"/>
      <c r="H7578"/>
    </row>
    <row r="7579" spans="2:8" x14ac:dyDescent="0.35">
      <c r="B7579"/>
      <c r="C7579"/>
      <c r="H7579"/>
    </row>
    <row r="7580" spans="2:8" x14ac:dyDescent="0.35">
      <c r="B7580"/>
      <c r="C7580"/>
      <c r="H7580"/>
    </row>
    <row r="7581" spans="2:8" x14ac:dyDescent="0.35">
      <c r="B7581"/>
      <c r="C7581"/>
      <c r="H7581"/>
    </row>
    <row r="7582" spans="2:8" x14ac:dyDescent="0.35">
      <c r="B7582"/>
      <c r="C7582"/>
      <c r="H7582"/>
    </row>
    <row r="7583" spans="2:8" x14ac:dyDescent="0.35">
      <c r="B7583"/>
      <c r="C7583"/>
      <c r="H7583"/>
    </row>
    <row r="7584" spans="2:8" x14ac:dyDescent="0.35">
      <c r="B7584"/>
      <c r="C7584"/>
      <c r="H7584"/>
    </row>
    <row r="7585" spans="2:8" x14ac:dyDescent="0.35">
      <c r="B7585"/>
      <c r="C7585"/>
      <c r="H7585"/>
    </row>
    <row r="7586" spans="2:8" x14ac:dyDescent="0.35">
      <c r="B7586"/>
      <c r="C7586"/>
      <c r="H7586"/>
    </row>
    <row r="7587" spans="2:8" x14ac:dyDescent="0.35">
      <c r="B7587"/>
      <c r="C7587"/>
      <c r="H7587"/>
    </row>
    <row r="7588" spans="2:8" x14ac:dyDescent="0.35">
      <c r="B7588"/>
      <c r="C7588"/>
      <c r="H7588"/>
    </row>
    <row r="7589" spans="2:8" x14ac:dyDescent="0.35">
      <c r="B7589"/>
      <c r="C7589"/>
      <c r="H7589"/>
    </row>
    <row r="7590" spans="2:8" x14ac:dyDescent="0.35">
      <c r="B7590"/>
      <c r="C7590"/>
      <c r="H7590"/>
    </row>
    <row r="7591" spans="2:8" x14ac:dyDescent="0.35">
      <c r="B7591"/>
      <c r="C7591"/>
      <c r="H7591"/>
    </row>
    <row r="7592" spans="2:8" x14ac:dyDescent="0.35">
      <c r="B7592"/>
      <c r="C7592"/>
      <c r="H7592"/>
    </row>
    <row r="7593" spans="2:8" x14ac:dyDescent="0.35">
      <c r="B7593"/>
      <c r="C7593"/>
      <c r="H7593"/>
    </row>
    <row r="7594" spans="2:8" x14ac:dyDescent="0.35">
      <c r="B7594"/>
      <c r="C7594"/>
      <c r="H7594"/>
    </row>
    <row r="7595" spans="2:8" x14ac:dyDescent="0.35">
      <c r="B7595"/>
      <c r="C7595"/>
      <c r="H7595"/>
    </row>
    <row r="7596" spans="2:8" x14ac:dyDescent="0.35">
      <c r="B7596"/>
      <c r="C7596"/>
      <c r="H7596"/>
    </row>
    <row r="7597" spans="2:8" x14ac:dyDescent="0.35">
      <c r="B7597"/>
      <c r="C7597"/>
      <c r="H7597"/>
    </row>
    <row r="7598" spans="2:8" x14ac:dyDescent="0.35">
      <c r="B7598"/>
      <c r="C7598"/>
      <c r="H7598"/>
    </row>
    <row r="7599" spans="2:8" x14ac:dyDescent="0.35">
      <c r="B7599"/>
      <c r="C7599"/>
      <c r="H7599"/>
    </row>
    <row r="7600" spans="2:8" x14ac:dyDescent="0.35">
      <c r="B7600"/>
      <c r="C7600"/>
      <c r="H7600"/>
    </row>
    <row r="7601" spans="2:8" x14ac:dyDescent="0.35">
      <c r="B7601"/>
      <c r="C7601"/>
      <c r="H7601"/>
    </row>
    <row r="7602" spans="2:8" x14ac:dyDescent="0.35">
      <c r="B7602"/>
      <c r="C7602"/>
      <c r="H7602"/>
    </row>
    <row r="7603" spans="2:8" x14ac:dyDescent="0.35">
      <c r="B7603"/>
      <c r="C7603"/>
      <c r="H7603"/>
    </row>
    <row r="7604" spans="2:8" x14ac:dyDescent="0.35">
      <c r="B7604"/>
      <c r="C7604"/>
      <c r="H7604"/>
    </row>
    <row r="7605" spans="2:8" x14ac:dyDescent="0.35">
      <c r="B7605"/>
      <c r="C7605"/>
      <c r="H7605"/>
    </row>
    <row r="7606" spans="2:8" x14ac:dyDescent="0.35">
      <c r="B7606"/>
      <c r="C7606"/>
      <c r="H7606"/>
    </row>
    <row r="7607" spans="2:8" x14ac:dyDescent="0.35">
      <c r="B7607"/>
      <c r="C7607"/>
      <c r="H7607"/>
    </row>
    <row r="7608" spans="2:8" x14ac:dyDescent="0.35">
      <c r="B7608"/>
      <c r="C7608"/>
      <c r="H7608"/>
    </row>
    <row r="7609" spans="2:8" x14ac:dyDescent="0.35">
      <c r="B7609"/>
      <c r="C7609"/>
      <c r="H7609"/>
    </row>
    <row r="7610" spans="2:8" x14ac:dyDescent="0.35">
      <c r="B7610"/>
      <c r="C7610"/>
      <c r="H7610"/>
    </row>
    <row r="7611" spans="2:8" x14ac:dyDescent="0.35">
      <c r="B7611"/>
      <c r="C7611"/>
      <c r="H7611"/>
    </row>
    <row r="7612" spans="2:8" x14ac:dyDescent="0.35">
      <c r="B7612"/>
      <c r="C7612"/>
      <c r="H7612"/>
    </row>
    <row r="7613" spans="2:8" x14ac:dyDescent="0.35">
      <c r="B7613"/>
      <c r="C7613"/>
      <c r="H7613"/>
    </row>
    <row r="7614" spans="2:8" x14ac:dyDescent="0.35">
      <c r="B7614"/>
      <c r="C7614"/>
      <c r="H7614"/>
    </row>
    <row r="7615" spans="2:8" x14ac:dyDescent="0.35">
      <c r="B7615"/>
      <c r="C7615"/>
      <c r="H7615"/>
    </row>
    <row r="7616" spans="2:8" x14ac:dyDescent="0.35">
      <c r="B7616"/>
      <c r="C7616"/>
      <c r="H7616"/>
    </row>
    <row r="7617" spans="2:8" x14ac:dyDescent="0.35">
      <c r="B7617"/>
      <c r="C7617"/>
      <c r="H7617"/>
    </row>
    <row r="7618" spans="2:8" x14ac:dyDescent="0.35">
      <c r="B7618"/>
      <c r="C7618"/>
      <c r="H7618"/>
    </row>
    <row r="7619" spans="2:8" x14ac:dyDescent="0.35">
      <c r="B7619"/>
      <c r="C7619"/>
      <c r="H7619"/>
    </row>
    <row r="7620" spans="2:8" x14ac:dyDescent="0.35">
      <c r="B7620"/>
      <c r="C7620"/>
      <c r="H7620"/>
    </row>
    <row r="7621" spans="2:8" x14ac:dyDescent="0.35">
      <c r="B7621"/>
      <c r="C7621"/>
      <c r="H7621"/>
    </row>
    <row r="7622" spans="2:8" x14ac:dyDescent="0.35">
      <c r="B7622"/>
      <c r="C7622"/>
      <c r="H7622"/>
    </row>
    <row r="7623" spans="2:8" x14ac:dyDescent="0.35">
      <c r="B7623"/>
      <c r="C7623"/>
      <c r="H7623"/>
    </row>
    <row r="7624" spans="2:8" x14ac:dyDescent="0.35">
      <c r="B7624"/>
      <c r="C7624"/>
      <c r="H7624"/>
    </row>
    <row r="7625" spans="2:8" x14ac:dyDescent="0.35">
      <c r="B7625"/>
      <c r="C7625"/>
      <c r="H7625"/>
    </row>
    <row r="7626" spans="2:8" x14ac:dyDescent="0.35">
      <c r="B7626"/>
      <c r="C7626"/>
      <c r="H7626"/>
    </row>
    <row r="7627" spans="2:8" x14ac:dyDescent="0.35">
      <c r="B7627"/>
      <c r="C7627"/>
      <c r="H7627"/>
    </row>
    <row r="7628" spans="2:8" x14ac:dyDescent="0.35">
      <c r="B7628"/>
      <c r="C7628"/>
      <c r="H7628"/>
    </row>
    <row r="7629" spans="2:8" x14ac:dyDescent="0.35">
      <c r="B7629"/>
      <c r="C7629"/>
      <c r="H7629"/>
    </row>
    <row r="7630" spans="2:8" x14ac:dyDescent="0.35">
      <c r="B7630"/>
      <c r="C7630"/>
      <c r="H7630"/>
    </row>
    <row r="7631" spans="2:8" x14ac:dyDescent="0.35">
      <c r="B7631"/>
      <c r="C7631"/>
      <c r="H7631"/>
    </row>
    <row r="7632" spans="2:8" x14ac:dyDescent="0.35">
      <c r="B7632"/>
      <c r="C7632"/>
      <c r="H7632"/>
    </row>
    <row r="7633" spans="2:8" x14ac:dyDescent="0.35">
      <c r="B7633"/>
      <c r="C7633"/>
      <c r="H7633"/>
    </row>
    <row r="7634" spans="2:8" x14ac:dyDescent="0.35">
      <c r="B7634"/>
      <c r="C7634"/>
      <c r="H7634"/>
    </row>
    <row r="7635" spans="2:8" x14ac:dyDescent="0.35">
      <c r="B7635"/>
      <c r="C7635"/>
      <c r="H7635"/>
    </row>
    <row r="7636" spans="2:8" x14ac:dyDescent="0.35">
      <c r="B7636"/>
      <c r="C7636"/>
      <c r="H7636"/>
    </row>
    <row r="7637" spans="2:8" x14ac:dyDescent="0.35">
      <c r="B7637"/>
      <c r="C7637"/>
      <c r="H7637"/>
    </row>
    <row r="7638" spans="2:8" x14ac:dyDescent="0.35">
      <c r="B7638"/>
      <c r="C7638"/>
      <c r="H7638"/>
    </row>
    <row r="7639" spans="2:8" x14ac:dyDescent="0.35">
      <c r="B7639"/>
      <c r="C7639"/>
      <c r="H7639"/>
    </row>
    <row r="7640" spans="2:8" x14ac:dyDescent="0.35">
      <c r="B7640"/>
      <c r="C7640"/>
      <c r="H7640"/>
    </row>
    <row r="7641" spans="2:8" x14ac:dyDescent="0.35">
      <c r="B7641"/>
      <c r="C7641"/>
      <c r="H7641"/>
    </row>
    <row r="7642" spans="2:8" x14ac:dyDescent="0.35">
      <c r="B7642"/>
      <c r="C7642"/>
      <c r="H7642"/>
    </row>
    <row r="7643" spans="2:8" x14ac:dyDescent="0.35">
      <c r="B7643"/>
      <c r="C7643"/>
      <c r="H7643"/>
    </row>
    <row r="7644" spans="2:8" x14ac:dyDescent="0.35">
      <c r="B7644"/>
      <c r="C7644"/>
      <c r="H7644"/>
    </row>
    <row r="7645" spans="2:8" x14ac:dyDescent="0.35">
      <c r="B7645"/>
      <c r="C7645"/>
      <c r="H7645"/>
    </row>
    <row r="7646" spans="2:8" x14ac:dyDescent="0.35">
      <c r="B7646"/>
      <c r="C7646"/>
      <c r="H7646"/>
    </row>
    <row r="7647" spans="2:8" x14ac:dyDescent="0.35">
      <c r="B7647"/>
      <c r="C7647"/>
      <c r="H7647"/>
    </row>
    <row r="7648" spans="2:8" x14ac:dyDescent="0.35">
      <c r="B7648"/>
      <c r="C7648"/>
      <c r="H7648"/>
    </row>
    <row r="7649" spans="2:8" x14ac:dyDescent="0.35">
      <c r="B7649"/>
      <c r="C7649"/>
      <c r="H7649"/>
    </row>
    <row r="7650" spans="2:8" x14ac:dyDescent="0.35">
      <c r="B7650"/>
      <c r="C7650"/>
      <c r="H7650"/>
    </row>
    <row r="7651" spans="2:8" x14ac:dyDescent="0.35">
      <c r="B7651"/>
      <c r="C7651"/>
      <c r="H7651"/>
    </row>
    <row r="7652" spans="2:8" x14ac:dyDescent="0.35">
      <c r="B7652"/>
      <c r="C7652"/>
      <c r="H7652"/>
    </row>
    <row r="7653" spans="2:8" x14ac:dyDescent="0.35">
      <c r="B7653"/>
      <c r="C7653"/>
      <c r="H7653"/>
    </row>
    <row r="7654" spans="2:8" x14ac:dyDescent="0.35">
      <c r="B7654"/>
      <c r="C7654"/>
      <c r="H7654"/>
    </row>
    <row r="7655" spans="2:8" x14ac:dyDescent="0.35">
      <c r="B7655"/>
      <c r="C7655"/>
      <c r="H7655"/>
    </row>
    <row r="7656" spans="2:8" x14ac:dyDescent="0.35">
      <c r="B7656"/>
      <c r="C7656"/>
      <c r="H7656"/>
    </row>
    <row r="7657" spans="2:8" x14ac:dyDescent="0.35">
      <c r="B7657"/>
      <c r="C7657"/>
      <c r="H7657"/>
    </row>
    <row r="7658" spans="2:8" x14ac:dyDescent="0.35">
      <c r="B7658"/>
      <c r="C7658"/>
      <c r="H7658"/>
    </row>
    <row r="7659" spans="2:8" x14ac:dyDescent="0.35">
      <c r="B7659"/>
      <c r="C7659"/>
      <c r="H7659"/>
    </row>
    <row r="7660" spans="2:8" x14ac:dyDescent="0.35">
      <c r="B7660"/>
      <c r="C7660"/>
      <c r="H7660"/>
    </row>
    <row r="7661" spans="2:8" x14ac:dyDescent="0.35">
      <c r="B7661"/>
      <c r="C7661"/>
      <c r="H7661"/>
    </row>
    <row r="7662" spans="2:8" x14ac:dyDescent="0.35">
      <c r="B7662"/>
      <c r="C7662"/>
      <c r="H7662"/>
    </row>
    <row r="7663" spans="2:8" x14ac:dyDescent="0.35">
      <c r="B7663"/>
      <c r="C7663"/>
      <c r="H7663"/>
    </row>
    <row r="7664" spans="2:8" x14ac:dyDescent="0.35">
      <c r="B7664"/>
      <c r="C7664"/>
      <c r="H7664"/>
    </row>
    <row r="7665" spans="2:8" x14ac:dyDescent="0.35">
      <c r="B7665"/>
      <c r="C7665"/>
      <c r="H7665"/>
    </row>
    <row r="7666" spans="2:8" x14ac:dyDescent="0.35">
      <c r="B7666"/>
      <c r="C7666"/>
      <c r="H7666"/>
    </row>
    <row r="7667" spans="2:8" x14ac:dyDescent="0.35">
      <c r="B7667"/>
      <c r="C7667"/>
      <c r="H7667"/>
    </row>
    <row r="7668" spans="2:8" x14ac:dyDescent="0.35">
      <c r="B7668"/>
      <c r="C7668"/>
      <c r="H7668"/>
    </row>
    <row r="7669" spans="2:8" x14ac:dyDescent="0.35">
      <c r="B7669"/>
      <c r="C7669"/>
      <c r="H7669"/>
    </row>
    <row r="7670" spans="2:8" x14ac:dyDescent="0.35">
      <c r="B7670"/>
      <c r="C7670"/>
      <c r="H7670"/>
    </row>
    <row r="7671" spans="2:8" x14ac:dyDescent="0.35">
      <c r="B7671"/>
      <c r="C7671"/>
      <c r="H7671"/>
    </row>
    <row r="7672" spans="2:8" x14ac:dyDescent="0.35">
      <c r="B7672"/>
      <c r="C7672"/>
      <c r="H7672"/>
    </row>
    <row r="7673" spans="2:8" x14ac:dyDescent="0.35">
      <c r="B7673"/>
      <c r="C7673"/>
      <c r="H7673"/>
    </row>
    <row r="7674" spans="2:8" x14ac:dyDescent="0.35">
      <c r="B7674"/>
      <c r="C7674"/>
      <c r="H7674"/>
    </row>
    <row r="7675" spans="2:8" x14ac:dyDescent="0.35">
      <c r="B7675"/>
      <c r="C7675"/>
      <c r="H7675"/>
    </row>
    <row r="7676" spans="2:8" x14ac:dyDescent="0.35">
      <c r="B7676"/>
      <c r="C7676"/>
      <c r="H7676"/>
    </row>
    <row r="7677" spans="2:8" x14ac:dyDescent="0.35">
      <c r="B7677"/>
      <c r="C7677"/>
      <c r="H7677"/>
    </row>
    <row r="7678" spans="2:8" x14ac:dyDescent="0.35">
      <c r="B7678"/>
      <c r="C7678"/>
      <c r="H7678"/>
    </row>
    <row r="7679" spans="2:8" x14ac:dyDescent="0.35">
      <c r="B7679"/>
      <c r="C7679"/>
      <c r="H7679"/>
    </row>
    <row r="7680" spans="2:8" x14ac:dyDescent="0.35">
      <c r="B7680"/>
      <c r="C7680"/>
      <c r="H7680"/>
    </row>
    <row r="7681" spans="2:8" x14ac:dyDescent="0.35">
      <c r="B7681"/>
      <c r="C7681"/>
      <c r="H7681"/>
    </row>
    <row r="7682" spans="2:8" x14ac:dyDescent="0.35">
      <c r="B7682"/>
      <c r="C7682"/>
      <c r="H7682"/>
    </row>
    <row r="7683" spans="2:8" x14ac:dyDescent="0.35">
      <c r="B7683"/>
      <c r="C7683"/>
      <c r="H7683"/>
    </row>
    <row r="7684" spans="2:8" x14ac:dyDescent="0.35">
      <c r="B7684"/>
      <c r="C7684"/>
      <c r="H7684"/>
    </row>
    <row r="7685" spans="2:8" x14ac:dyDescent="0.35">
      <c r="B7685"/>
      <c r="C7685"/>
      <c r="H7685"/>
    </row>
    <row r="7686" spans="2:8" x14ac:dyDescent="0.35">
      <c r="B7686"/>
      <c r="C7686"/>
      <c r="H7686"/>
    </row>
    <row r="7687" spans="2:8" x14ac:dyDescent="0.35">
      <c r="B7687"/>
      <c r="C7687"/>
      <c r="H7687"/>
    </row>
    <row r="7688" spans="2:8" x14ac:dyDescent="0.35">
      <c r="B7688"/>
      <c r="C7688"/>
      <c r="H7688"/>
    </row>
    <row r="7689" spans="2:8" x14ac:dyDescent="0.35">
      <c r="B7689"/>
      <c r="C7689"/>
      <c r="H7689"/>
    </row>
    <row r="7690" spans="2:8" x14ac:dyDescent="0.35">
      <c r="B7690"/>
      <c r="C7690"/>
      <c r="H7690"/>
    </row>
    <row r="7691" spans="2:8" x14ac:dyDescent="0.35">
      <c r="B7691"/>
      <c r="C7691"/>
      <c r="H7691"/>
    </row>
    <row r="7692" spans="2:8" x14ac:dyDescent="0.35">
      <c r="B7692"/>
      <c r="C7692"/>
      <c r="H7692"/>
    </row>
    <row r="7693" spans="2:8" x14ac:dyDescent="0.35">
      <c r="B7693"/>
      <c r="C7693"/>
      <c r="H7693"/>
    </row>
    <row r="7694" spans="2:8" x14ac:dyDescent="0.35">
      <c r="B7694"/>
      <c r="C7694"/>
      <c r="H7694"/>
    </row>
    <row r="7695" spans="2:8" x14ac:dyDescent="0.35">
      <c r="B7695"/>
      <c r="C7695"/>
      <c r="H7695"/>
    </row>
    <row r="7696" spans="2:8" x14ac:dyDescent="0.35">
      <c r="B7696"/>
      <c r="C7696"/>
      <c r="H7696"/>
    </row>
    <row r="7697" spans="2:8" x14ac:dyDescent="0.35">
      <c r="B7697"/>
      <c r="C7697"/>
      <c r="H7697"/>
    </row>
    <row r="7698" spans="2:8" x14ac:dyDescent="0.35">
      <c r="B7698"/>
      <c r="C7698"/>
      <c r="H7698"/>
    </row>
    <row r="7699" spans="2:8" x14ac:dyDescent="0.35">
      <c r="B7699"/>
      <c r="C7699"/>
      <c r="H7699"/>
    </row>
    <row r="7700" spans="2:8" x14ac:dyDescent="0.35">
      <c r="B7700"/>
      <c r="C7700"/>
      <c r="H7700"/>
    </row>
    <row r="7701" spans="2:8" x14ac:dyDescent="0.35">
      <c r="B7701"/>
      <c r="C7701"/>
      <c r="H7701"/>
    </row>
    <row r="7702" spans="2:8" x14ac:dyDescent="0.35">
      <c r="B7702"/>
      <c r="C7702"/>
      <c r="H7702"/>
    </row>
    <row r="7703" spans="2:8" x14ac:dyDescent="0.35">
      <c r="B7703"/>
      <c r="C7703"/>
      <c r="H7703"/>
    </row>
    <row r="7704" spans="2:8" x14ac:dyDescent="0.35">
      <c r="B7704"/>
      <c r="C7704"/>
      <c r="H7704"/>
    </row>
    <row r="7705" spans="2:8" x14ac:dyDescent="0.35">
      <c r="B7705"/>
      <c r="C7705"/>
      <c r="H7705"/>
    </row>
    <row r="7706" spans="2:8" x14ac:dyDescent="0.35">
      <c r="B7706"/>
      <c r="C7706"/>
      <c r="H7706"/>
    </row>
    <row r="7707" spans="2:8" x14ac:dyDescent="0.35">
      <c r="B7707"/>
      <c r="C7707"/>
      <c r="H7707"/>
    </row>
    <row r="7708" spans="2:8" x14ac:dyDescent="0.35">
      <c r="B7708"/>
      <c r="C7708"/>
      <c r="H7708"/>
    </row>
    <row r="7709" spans="2:8" x14ac:dyDescent="0.35">
      <c r="B7709"/>
      <c r="C7709"/>
      <c r="H7709"/>
    </row>
    <row r="7710" spans="2:8" x14ac:dyDescent="0.35">
      <c r="B7710"/>
      <c r="C7710"/>
      <c r="H7710"/>
    </row>
    <row r="7711" spans="2:8" x14ac:dyDescent="0.35">
      <c r="B7711"/>
      <c r="C7711"/>
      <c r="H7711"/>
    </row>
    <row r="7712" spans="2:8" x14ac:dyDescent="0.35">
      <c r="B7712"/>
      <c r="C7712"/>
      <c r="H7712"/>
    </row>
    <row r="7713" spans="2:8" x14ac:dyDescent="0.35">
      <c r="B7713"/>
      <c r="C7713"/>
      <c r="H7713"/>
    </row>
    <row r="7714" spans="2:8" x14ac:dyDescent="0.35">
      <c r="B7714"/>
      <c r="C7714"/>
      <c r="H7714"/>
    </row>
    <row r="7715" spans="2:8" x14ac:dyDescent="0.35">
      <c r="B7715"/>
      <c r="C7715"/>
      <c r="H7715"/>
    </row>
    <row r="7716" spans="2:8" x14ac:dyDescent="0.35">
      <c r="B7716"/>
      <c r="C7716"/>
      <c r="H7716"/>
    </row>
    <row r="7717" spans="2:8" x14ac:dyDescent="0.35">
      <c r="B7717"/>
      <c r="C7717"/>
      <c r="H7717"/>
    </row>
    <row r="7718" spans="2:8" x14ac:dyDescent="0.35">
      <c r="B7718"/>
      <c r="C7718"/>
      <c r="H7718"/>
    </row>
    <row r="7719" spans="2:8" x14ac:dyDescent="0.35">
      <c r="B7719"/>
      <c r="C7719"/>
      <c r="H7719"/>
    </row>
    <row r="7720" spans="2:8" x14ac:dyDescent="0.35">
      <c r="B7720"/>
      <c r="C7720"/>
      <c r="H7720"/>
    </row>
    <row r="7721" spans="2:8" x14ac:dyDescent="0.35">
      <c r="B7721"/>
      <c r="C7721"/>
      <c r="H7721"/>
    </row>
    <row r="7722" spans="2:8" x14ac:dyDescent="0.35">
      <c r="B7722"/>
      <c r="C7722"/>
      <c r="H7722"/>
    </row>
    <row r="7723" spans="2:8" x14ac:dyDescent="0.35">
      <c r="B7723"/>
      <c r="C7723"/>
      <c r="H7723"/>
    </row>
    <row r="7724" spans="2:8" x14ac:dyDescent="0.35">
      <c r="B7724"/>
      <c r="C7724"/>
      <c r="H7724"/>
    </row>
    <row r="7725" spans="2:8" x14ac:dyDescent="0.35">
      <c r="B7725"/>
      <c r="C7725"/>
      <c r="H7725"/>
    </row>
    <row r="7726" spans="2:8" x14ac:dyDescent="0.35">
      <c r="B7726"/>
      <c r="C7726"/>
      <c r="H7726"/>
    </row>
    <row r="7727" spans="2:8" x14ac:dyDescent="0.35">
      <c r="B7727"/>
      <c r="C7727"/>
      <c r="H7727"/>
    </row>
    <row r="7728" spans="2:8" x14ac:dyDescent="0.35">
      <c r="B7728"/>
      <c r="C7728"/>
      <c r="H7728"/>
    </row>
    <row r="7729" spans="2:8" x14ac:dyDescent="0.35">
      <c r="B7729"/>
      <c r="C7729"/>
      <c r="H7729"/>
    </row>
    <row r="7730" spans="2:8" x14ac:dyDescent="0.35">
      <c r="B7730"/>
      <c r="C7730"/>
      <c r="H7730"/>
    </row>
    <row r="7731" spans="2:8" x14ac:dyDescent="0.35">
      <c r="B7731"/>
      <c r="C7731"/>
      <c r="H7731"/>
    </row>
    <row r="7732" spans="2:8" x14ac:dyDescent="0.35">
      <c r="B7732"/>
      <c r="C7732"/>
      <c r="H7732"/>
    </row>
    <row r="7733" spans="2:8" x14ac:dyDescent="0.35">
      <c r="B7733"/>
      <c r="C7733"/>
      <c r="H7733"/>
    </row>
    <row r="7734" spans="2:8" x14ac:dyDescent="0.35">
      <c r="B7734"/>
      <c r="C7734"/>
      <c r="H7734"/>
    </row>
    <row r="7735" spans="2:8" x14ac:dyDescent="0.35">
      <c r="B7735"/>
      <c r="C7735"/>
      <c r="H7735"/>
    </row>
    <row r="7736" spans="2:8" x14ac:dyDescent="0.35">
      <c r="B7736"/>
      <c r="C7736"/>
      <c r="H7736"/>
    </row>
    <row r="7737" spans="2:8" x14ac:dyDescent="0.35">
      <c r="B7737"/>
      <c r="C7737"/>
      <c r="H7737"/>
    </row>
    <row r="7738" spans="2:8" x14ac:dyDescent="0.35">
      <c r="B7738"/>
      <c r="C7738"/>
      <c r="H7738"/>
    </row>
    <row r="7739" spans="2:8" x14ac:dyDescent="0.35">
      <c r="B7739"/>
      <c r="C7739"/>
      <c r="H7739"/>
    </row>
    <row r="7740" spans="2:8" x14ac:dyDescent="0.35">
      <c r="B7740"/>
      <c r="C7740"/>
      <c r="H7740"/>
    </row>
    <row r="7741" spans="2:8" x14ac:dyDescent="0.35">
      <c r="B7741"/>
      <c r="C7741"/>
      <c r="H7741"/>
    </row>
    <row r="7742" spans="2:8" x14ac:dyDescent="0.35">
      <c r="B7742"/>
      <c r="C7742"/>
      <c r="H7742"/>
    </row>
    <row r="7743" spans="2:8" x14ac:dyDescent="0.35">
      <c r="B7743"/>
      <c r="C7743"/>
      <c r="H7743"/>
    </row>
    <row r="7744" spans="2:8" x14ac:dyDescent="0.35">
      <c r="B7744"/>
      <c r="C7744"/>
      <c r="H7744"/>
    </row>
    <row r="7745" spans="2:8" x14ac:dyDescent="0.35">
      <c r="B7745"/>
      <c r="C7745"/>
      <c r="H7745"/>
    </row>
    <row r="7746" spans="2:8" x14ac:dyDescent="0.35">
      <c r="B7746"/>
      <c r="C7746"/>
      <c r="H7746"/>
    </row>
    <row r="7747" spans="2:8" x14ac:dyDescent="0.35">
      <c r="B7747"/>
      <c r="C7747"/>
      <c r="H7747"/>
    </row>
    <row r="7748" spans="2:8" x14ac:dyDescent="0.35">
      <c r="B7748"/>
      <c r="C7748"/>
      <c r="H7748"/>
    </row>
    <row r="7749" spans="2:8" x14ac:dyDescent="0.35">
      <c r="B7749"/>
      <c r="C7749"/>
      <c r="H7749"/>
    </row>
    <row r="7750" spans="2:8" x14ac:dyDescent="0.35">
      <c r="B7750"/>
      <c r="C7750"/>
      <c r="H7750"/>
    </row>
    <row r="7751" spans="2:8" x14ac:dyDescent="0.35">
      <c r="B7751"/>
      <c r="C7751"/>
      <c r="H7751"/>
    </row>
    <row r="7752" spans="2:8" x14ac:dyDescent="0.35">
      <c r="B7752"/>
      <c r="C7752"/>
      <c r="H7752"/>
    </row>
    <row r="7753" spans="2:8" x14ac:dyDescent="0.35">
      <c r="B7753"/>
      <c r="C7753"/>
      <c r="H7753"/>
    </row>
    <row r="7754" spans="2:8" x14ac:dyDescent="0.35">
      <c r="B7754"/>
      <c r="C7754"/>
      <c r="H7754"/>
    </row>
    <row r="7755" spans="2:8" x14ac:dyDescent="0.35">
      <c r="B7755"/>
      <c r="C7755"/>
      <c r="H7755"/>
    </row>
    <row r="7756" spans="2:8" x14ac:dyDescent="0.35">
      <c r="B7756"/>
      <c r="C7756"/>
      <c r="H7756"/>
    </row>
    <row r="7757" spans="2:8" x14ac:dyDescent="0.35">
      <c r="B7757"/>
      <c r="C7757"/>
      <c r="H7757"/>
    </row>
    <row r="7758" spans="2:8" x14ac:dyDescent="0.35">
      <c r="B7758"/>
      <c r="C7758"/>
      <c r="H7758"/>
    </row>
    <row r="7759" spans="2:8" x14ac:dyDescent="0.35">
      <c r="B7759"/>
      <c r="C7759"/>
      <c r="H7759"/>
    </row>
    <row r="7760" spans="2:8" x14ac:dyDescent="0.35">
      <c r="B7760"/>
      <c r="C7760"/>
      <c r="H7760"/>
    </row>
    <row r="7761" spans="2:8" x14ac:dyDescent="0.35">
      <c r="B7761"/>
      <c r="C7761"/>
      <c r="H7761"/>
    </row>
    <row r="7762" spans="2:8" x14ac:dyDescent="0.35">
      <c r="B7762"/>
      <c r="C7762"/>
      <c r="H7762"/>
    </row>
    <row r="7763" spans="2:8" x14ac:dyDescent="0.35">
      <c r="B7763"/>
      <c r="C7763"/>
      <c r="H7763"/>
    </row>
    <row r="7764" spans="2:8" x14ac:dyDescent="0.35">
      <c r="B7764"/>
      <c r="C7764"/>
      <c r="H7764"/>
    </row>
    <row r="7765" spans="2:8" x14ac:dyDescent="0.35">
      <c r="B7765"/>
      <c r="C7765"/>
      <c r="H7765"/>
    </row>
    <row r="7766" spans="2:8" x14ac:dyDescent="0.35">
      <c r="B7766"/>
      <c r="C7766"/>
      <c r="H7766"/>
    </row>
    <row r="7767" spans="2:8" x14ac:dyDescent="0.35">
      <c r="B7767"/>
      <c r="C7767"/>
      <c r="H7767"/>
    </row>
    <row r="7768" spans="2:8" x14ac:dyDescent="0.35">
      <c r="B7768"/>
      <c r="C7768"/>
      <c r="H7768"/>
    </row>
    <row r="7769" spans="2:8" x14ac:dyDescent="0.35">
      <c r="B7769"/>
      <c r="C7769"/>
      <c r="H7769"/>
    </row>
    <row r="7770" spans="2:8" x14ac:dyDescent="0.35">
      <c r="B7770"/>
      <c r="C7770"/>
      <c r="H7770"/>
    </row>
    <row r="7771" spans="2:8" x14ac:dyDescent="0.35">
      <c r="B7771"/>
      <c r="C7771"/>
      <c r="H7771"/>
    </row>
    <row r="7772" spans="2:8" x14ac:dyDescent="0.35">
      <c r="B7772"/>
      <c r="C7772"/>
      <c r="H7772"/>
    </row>
    <row r="7773" spans="2:8" x14ac:dyDescent="0.35">
      <c r="B7773"/>
      <c r="C7773"/>
      <c r="H7773"/>
    </row>
    <row r="7774" spans="2:8" x14ac:dyDescent="0.35">
      <c r="B7774"/>
      <c r="C7774"/>
      <c r="H7774"/>
    </row>
    <row r="7775" spans="2:8" x14ac:dyDescent="0.35">
      <c r="B7775"/>
      <c r="C7775"/>
      <c r="H7775"/>
    </row>
    <row r="7776" spans="2:8" x14ac:dyDescent="0.35">
      <c r="B7776"/>
      <c r="C7776"/>
      <c r="H7776"/>
    </row>
    <row r="7777" spans="2:8" x14ac:dyDescent="0.35">
      <c r="B7777"/>
      <c r="C7777"/>
      <c r="H7777"/>
    </row>
    <row r="7778" spans="2:8" x14ac:dyDescent="0.35">
      <c r="B7778"/>
      <c r="C7778"/>
      <c r="H7778"/>
    </row>
    <row r="7779" spans="2:8" x14ac:dyDescent="0.35">
      <c r="B7779"/>
      <c r="C7779"/>
      <c r="H7779"/>
    </row>
    <row r="7780" spans="2:8" x14ac:dyDescent="0.35">
      <c r="B7780"/>
      <c r="C7780"/>
      <c r="H7780"/>
    </row>
    <row r="7781" spans="2:8" x14ac:dyDescent="0.35">
      <c r="B7781"/>
      <c r="C7781"/>
      <c r="H7781"/>
    </row>
    <row r="7782" spans="2:8" x14ac:dyDescent="0.35">
      <c r="B7782"/>
      <c r="C7782"/>
      <c r="H7782"/>
    </row>
    <row r="7783" spans="2:8" x14ac:dyDescent="0.35">
      <c r="B7783"/>
      <c r="C7783"/>
      <c r="H7783"/>
    </row>
    <row r="7784" spans="2:8" x14ac:dyDescent="0.35">
      <c r="B7784"/>
      <c r="C7784"/>
      <c r="H7784"/>
    </row>
    <row r="7785" spans="2:8" x14ac:dyDescent="0.35">
      <c r="B7785"/>
      <c r="C7785"/>
      <c r="H7785"/>
    </row>
    <row r="7786" spans="2:8" x14ac:dyDescent="0.35">
      <c r="B7786"/>
      <c r="C7786"/>
      <c r="H7786"/>
    </row>
    <row r="7787" spans="2:8" x14ac:dyDescent="0.35">
      <c r="B7787"/>
      <c r="C7787"/>
      <c r="H7787"/>
    </row>
    <row r="7788" spans="2:8" x14ac:dyDescent="0.35">
      <c r="B7788"/>
      <c r="C7788"/>
      <c r="H7788"/>
    </row>
    <row r="7789" spans="2:8" x14ac:dyDescent="0.35">
      <c r="B7789"/>
      <c r="C7789"/>
      <c r="H7789"/>
    </row>
    <row r="7790" spans="2:8" x14ac:dyDescent="0.35">
      <c r="B7790"/>
      <c r="C7790"/>
      <c r="H7790"/>
    </row>
    <row r="7791" spans="2:8" x14ac:dyDescent="0.35">
      <c r="B7791"/>
      <c r="C7791"/>
      <c r="H7791"/>
    </row>
    <row r="7792" spans="2:8" x14ac:dyDescent="0.35">
      <c r="B7792"/>
      <c r="C7792"/>
      <c r="H7792"/>
    </row>
    <row r="7793" spans="2:8" x14ac:dyDescent="0.35">
      <c r="B7793"/>
      <c r="C7793"/>
      <c r="H7793"/>
    </row>
    <row r="7794" spans="2:8" x14ac:dyDescent="0.35">
      <c r="B7794"/>
      <c r="C7794"/>
      <c r="H7794"/>
    </row>
    <row r="7795" spans="2:8" x14ac:dyDescent="0.35">
      <c r="B7795"/>
      <c r="C7795"/>
      <c r="H7795"/>
    </row>
    <row r="7796" spans="2:8" x14ac:dyDescent="0.35">
      <c r="B7796"/>
      <c r="C7796"/>
      <c r="H7796"/>
    </row>
    <row r="7797" spans="2:8" x14ac:dyDescent="0.35">
      <c r="B7797"/>
      <c r="C7797"/>
      <c r="H7797"/>
    </row>
    <row r="7798" spans="2:8" x14ac:dyDescent="0.35">
      <c r="B7798"/>
      <c r="C7798"/>
      <c r="H7798"/>
    </row>
    <row r="7799" spans="2:8" x14ac:dyDescent="0.35">
      <c r="B7799"/>
      <c r="C7799"/>
      <c r="H7799"/>
    </row>
    <row r="7800" spans="2:8" x14ac:dyDescent="0.35">
      <c r="B7800"/>
      <c r="C7800"/>
      <c r="H7800"/>
    </row>
    <row r="7801" spans="2:8" x14ac:dyDescent="0.35">
      <c r="B7801"/>
      <c r="C7801"/>
      <c r="H7801"/>
    </row>
    <row r="7802" spans="2:8" x14ac:dyDescent="0.35">
      <c r="B7802"/>
      <c r="C7802"/>
      <c r="H7802"/>
    </row>
    <row r="7803" spans="2:8" x14ac:dyDescent="0.35">
      <c r="B7803"/>
      <c r="C7803"/>
      <c r="H7803"/>
    </row>
    <row r="7804" spans="2:8" x14ac:dyDescent="0.35">
      <c r="B7804"/>
      <c r="C7804"/>
      <c r="H7804"/>
    </row>
    <row r="7805" spans="2:8" x14ac:dyDescent="0.35">
      <c r="B7805"/>
      <c r="C7805"/>
      <c r="H7805"/>
    </row>
    <row r="7806" spans="2:8" x14ac:dyDescent="0.35">
      <c r="B7806"/>
      <c r="C7806"/>
      <c r="H7806"/>
    </row>
    <row r="7807" spans="2:8" x14ac:dyDescent="0.35">
      <c r="B7807"/>
      <c r="C7807"/>
      <c r="H7807"/>
    </row>
    <row r="7808" spans="2:8" x14ac:dyDescent="0.35">
      <c r="B7808"/>
      <c r="C7808"/>
      <c r="H7808"/>
    </row>
    <row r="7809" spans="2:8" x14ac:dyDescent="0.35">
      <c r="B7809"/>
      <c r="C7809"/>
      <c r="H7809"/>
    </row>
    <row r="7810" spans="2:8" x14ac:dyDescent="0.35">
      <c r="B7810"/>
      <c r="C7810"/>
      <c r="H7810"/>
    </row>
    <row r="7811" spans="2:8" x14ac:dyDescent="0.35">
      <c r="B7811"/>
      <c r="C7811"/>
      <c r="H7811"/>
    </row>
    <row r="7812" spans="2:8" x14ac:dyDescent="0.35">
      <c r="B7812"/>
      <c r="C7812"/>
      <c r="H7812"/>
    </row>
    <row r="7813" spans="2:8" x14ac:dyDescent="0.35">
      <c r="B7813"/>
      <c r="C7813"/>
      <c r="H7813"/>
    </row>
    <row r="7814" spans="2:8" x14ac:dyDescent="0.35">
      <c r="B7814"/>
      <c r="C7814"/>
      <c r="H7814"/>
    </row>
    <row r="7815" spans="2:8" x14ac:dyDescent="0.35">
      <c r="B7815"/>
      <c r="C7815"/>
      <c r="H7815"/>
    </row>
    <row r="7816" spans="2:8" x14ac:dyDescent="0.35">
      <c r="B7816"/>
      <c r="C7816"/>
      <c r="H7816"/>
    </row>
    <row r="7817" spans="2:8" x14ac:dyDescent="0.35">
      <c r="B7817"/>
      <c r="C7817"/>
      <c r="H7817"/>
    </row>
    <row r="7818" spans="2:8" x14ac:dyDescent="0.35">
      <c r="B7818"/>
      <c r="C7818"/>
      <c r="H7818"/>
    </row>
    <row r="7819" spans="2:8" x14ac:dyDescent="0.35">
      <c r="B7819"/>
      <c r="C7819"/>
      <c r="H7819"/>
    </row>
    <row r="7820" spans="2:8" x14ac:dyDescent="0.35">
      <c r="B7820"/>
      <c r="C7820"/>
      <c r="H7820"/>
    </row>
    <row r="7821" spans="2:8" x14ac:dyDescent="0.35">
      <c r="B7821"/>
      <c r="C7821"/>
      <c r="H7821"/>
    </row>
    <row r="7822" spans="2:8" x14ac:dyDescent="0.35">
      <c r="B7822"/>
      <c r="C7822"/>
      <c r="H7822"/>
    </row>
    <row r="7823" spans="2:8" x14ac:dyDescent="0.35">
      <c r="B7823"/>
      <c r="C7823"/>
      <c r="H7823"/>
    </row>
    <row r="7824" spans="2:8" x14ac:dyDescent="0.35">
      <c r="B7824"/>
      <c r="C7824"/>
      <c r="H7824"/>
    </row>
    <row r="7825" spans="2:8" x14ac:dyDescent="0.35">
      <c r="B7825"/>
      <c r="C7825"/>
      <c r="H7825"/>
    </row>
    <row r="7826" spans="2:8" x14ac:dyDescent="0.35">
      <c r="B7826"/>
      <c r="C7826"/>
      <c r="H7826"/>
    </row>
    <row r="7827" spans="2:8" x14ac:dyDescent="0.35">
      <c r="B7827"/>
      <c r="C7827"/>
      <c r="H7827"/>
    </row>
    <row r="7828" spans="2:8" x14ac:dyDescent="0.35">
      <c r="B7828"/>
      <c r="C7828"/>
      <c r="H7828"/>
    </row>
    <row r="7829" spans="2:8" x14ac:dyDescent="0.35">
      <c r="B7829"/>
      <c r="C7829"/>
      <c r="H7829"/>
    </row>
    <row r="7830" spans="2:8" x14ac:dyDescent="0.35">
      <c r="B7830"/>
      <c r="C7830"/>
      <c r="H7830"/>
    </row>
    <row r="7831" spans="2:8" x14ac:dyDescent="0.35">
      <c r="B7831"/>
      <c r="C7831"/>
      <c r="H7831"/>
    </row>
    <row r="7832" spans="2:8" x14ac:dyDescent="0.35">
      <c r="B7832"/>
      <c r="C7832"/>
      <c r="H7832"/>
    </row>
    <row r="7833" spans="2:8" x14ac:dyDescent="0.35">
      <c r="B7833"/>
      <c r="C7833"/>
      <c r="H7833"/>
    </row>
    <row r="7834" spans="2:8" x14ac:dyDescent="0.35">
      <c r="B7834"/>
      <c r="C7834"/>
      <c r="H7834"/>
    </row>
    <row r="7835" spans="2:8" x14ac:dyDescent="0.35">
      <c r="B7835"/>
      <c r="C7835"/>
      <c r="H7835"/>
    </row>
    <row r="7836" spans="2:8" x14ac:dyDescent="0.35">
      <c r="B7836"/>
      <c r="C7836"/>
      <c r="H7836"/>
    </row>
    <row r="7837" spans="2:8" x14ac:dyDescent="0.35">
      <c r="B7837"/>
      <c r="C7837"/>
      <c r="H7837"/>
    </row>
    <row r="7838" spans="2:8" x14ac:dyDescent="0.35">
      <c r="B7838"/>
      <c r="C7838"/>
      <c r="H7838"/>
    </row>
    <row r="7839" spans="2:8" x14ac:dyDescent="0.35">
      <c r="B7839"/>
      <c r="C7839"/>
      <c r="H7839"/>
    </row>
    <row r="7840" spans="2:8" x14ac:dyDescent="0.35">
      <c r="B7840"/>
      <c r="C7840"/>
      <c r="H7840"/>
    </row>
    <row r="7841" spans="2:8" x14ac:dyDescent="0.35">
      <c r="B7841"/>
      <c r="C7841"/>
      <c r="H7841"/>
    </row>
    <row r="7842" spans="2:8" x14ac:dyDescent="0.35">
      <c r="B7842"/>
      <c r="C7842"/>
      <c r="H7842"/>
    </row>
    <row r="7843" spans="2:8" x14ac:dyDescent="0.35">
      <c r="B7843"/>
      <c r="C7843"/>
      <c r="H7843"/>
    </row>
    <row r="7844" spans="2:8" x14ac:dyDescent="0.35">
      <c r="B7844"/>
      <c r="C7844"/>
      <c r="H7844"/>
    </row>
    <row r="7845" spans="2:8" x14ac:dyDescent="0.35">
      <c r="B7845"/>
      <c r="C7845"/>
      <c r="H7845"/>
    </row>
    <row r="7846" spans="2:8" x14ac:dyDescent="0.35">
      <c r="B7846"/>
      <c r="C7846"/>
      <c r="H7846"/>
    </row>
    <row r="7847" spans="2:8" x14ac:dyDescent="0.35">
      <c r="B7847"/>
      <c r="C7847"/>
      <c r="H7847"/>
    </row>
    <row r="7848" spans="2:8" x14ac:dyDescent="0.35">
      <c r="B7848"/>
      <c r="C7848"/>
      <c r="H7848"/>
    </row>
    <row r="7849" spans="2:8" x14ac:dyDescent="0.35">
      <c r="B7849"/>
      <c r="C7849"/>
      <c r="H7849"/>
    </row>
    <row r="7850" spans="2:8" x14ac:dyDescent="0.35">
      <c r="B7850"/>
      <c r="C7850"/>
      <c r="H7850"/>
    </row>
    <row r="7851" spans="2:8" x14ac:dyDescent="0.35">
      <c r="B7851"/>
      <c r="C7851"/>
      <c r="H7851"/>
    </row>
    <row r="7852" spans="2:8" x14ac:dyDescent="0.35">
      <c r="B7852"/>
      <c r="C7852"/>
      <c r="H7852"/>
    </row>
    <row r="7853" spans="2:8" x14ac:dyDescent="0.35">
      <c r="B7853"/>
      <c r="C7853"/>
      <c r="H7853"/>
    </row>
    <row r="7854" spans="2:8" x14ac:dyDescent="0.35">
      <c r="B7854"/>
      <c r="C7854"/>
      <c r="H7854"/>
    </row>
    <row r="7855" spans="2:8" x14ac:dyDescent="0.35">
      <c r="B7855"/>
      <c r="C7855"/>
      <c r="H7855"/>
    </row>
    <row r="7856" spans="2:8" x14ac:dyDescent="0.35">
      <c r="B7856"/>
      <c r="C7856"/>
      <c r="H7856"/>
    </row>
    <row r="7857" spans="2:8" x14ac:dyDescent="0.35">
      <c r="B7857"/>
      <c r="C7857"/>
      <c r="H7857"/>
    </row>
    <row r="7858" spans="2:8" x14ac:dyDescent="0.35">
      <c r="B7858"/>
      <c r="C7858"/>
      <c r="H7858"/>
    </row>
    <row r="7859" spans="2:8" x14ac:dyDescent="0.35">
      <c r="B7859"/>
      <c r="C7859"/>
      <c r="H7859"/>
    </row>
    <row r="7860" spans="2:8" x14ac:dyDescent="0.35">
      <c r="B7860"/>
      <c r="C7860"/>
      <c r="H7860"/>
    </row>
    <row r="7861" spans="2:8" x14ac:dyDescent="0.35">
      <c r="B7861"/>
      <c r="C7861"/>
      <c r="H7861"/>
    </row>
    <row r="7862" spans="2:8" x14ac:dyDescent="0.35">
      <c r="B7862"/>
      <c r="C7862"/>
      <c r="H7862"/>
    </row>
    <row r="7863" spans="2:8" x14ac:dyDescent="0.35">
      <c r="B7863"/>
      <c r="C7863"/>
      <c r="H7863"/>
    </row>
    <row r="7864" spans="2:8" x14ac:dyDescent="0.35">
      <c r="B7864"/>
      <c r="C7864"/>
      <c r="H7864"/>
    </row>
    <row r="7865" spans="2:8" x14ac:dyDescent="0.35">
      <c r="B7865"/>
      <c r="C7865"/>
      <c r="H7865"/>
    </row>
    <row r="7866" spans="2:8" x14ac:dyDescent="0.35">
      <c r="B7866"/>
      <c r="C7866"/>
      <c r="H7866"/>
    </row>
    <row r="7867" spans="2:8" x14ac:dyDescent="0.35">
      <c r="B7867"/>
      <c r="C7867"/>
      <c r="H7867"/>
    </row>
    <row r="7868" spans="2:8" x14ac:dyDescent="0.35">
      <c r="B7868"/>
      <c r="C7868"/>
      <c r="H7868"/>
    </row>
    <row r="7869" spans="2:8" x14ac:dyDescent="0.35">
      <c r="B7869"/>
      <c r="C7869"/>
      <c r="H7869"/>
    </row>
    <row r="7870" spans="2:8" x14ac:dyDescent="0.35">
      <c r="B7870"/>
      <c r="C7870"/>
      <c r="H7870"/>
    </row>
    <row r="7871" spans="2:8" x14ac:dyDescent="0.35">
      <c r="B7871"/>
      <c r="C7871"/>
      <c r="H7871"/>
    </row>
    <row r="7872" spans="2:8" x14ac:dyDescent="0.35">
      <c r="B7872"/>
      <c r="C7872"/>
      <c r="H7872"/>
    </row>
    <row r="7873" spans="2:8" x14ac:dyDescent="0.35">
      <c r="B7873"/>
      <c r="C7873"/>
      <c r="H7873"/>
    </row>
    <row r="7874" spans="2:8" x14ac:dyDescent="0.35">
      <c r="B7874"/>
      <c r="C7874"/>
      <c r="H7874"/>
    </row>
    <row r="7875" spans="2:8" x14ac:dyDescent="0.35">
      <c r="B7875"/>
      <c r="C7875"/>
      <c r="H7875"/>
    </row>
    <row r="7876" spans="2:8" x14ac:dyDescent="0.35">
      <c r="B7876"/>
      <c r="C7876"/>
      <c r="H7876"/>
    </row>
    <row r="7877" spans="2:8" x14ac:dyDescent="0.35">
      <c r="B7877"/>
      <c r="C7877"/>
      <c r="H7877"/>
    </row>
    <row r="7878" spans="2:8" x14ac:dyDescent="0.35">
      <c r="B7878"/>
      <c r="C7878"/>
      <c r="H7878"/>
    </row>
    <row r="7879" spans="2:8" x14ac:dyDescent="0.35">
      <c r="B7879"/>
      <c r="C7879"/>
      <c r="H7879"/>
    </row>
    <row r="7880" spans="2:8" x14ac:dyDescent="0.35">
      <c r="B7880"/>
      <c r="C7880"/>
      <c r="H7880"/>
    </row>
    <row r="7881" spans="2:8" x14ac:dyDescent="0.35">
      <c r="B7881"/>
      <c r="C7881"/>
      <c r="H7881"/>
    </row>
    <row r="7882" spans="2:8" x14ac:dyDescent="0.35">
      <c r="B7882"/>
      <c r="C7882"/>
      <c r="H7882"/>
    </row>
    <row r="7883" spans="2:8" x14ac:dyDescent="0.35">
      <c r="B7883"/>
      <c r="C7883"/>
      <c r="H7883"/>
    </row>
    <row r="7884" spans="2:8" x14ac:dyDescent="0.35">
      <c r="B7884"/>
      <c r="C7884"/>
      <c r="H7884"/>
    </row>
    <row r="7885" spans="2:8" x14ac:dyDescent="0.35">
      <c r="B7885"/>
      <c r="C7885"/>
      <c r="H7885"/>
    </row>
    <row r="7886" spans="2:8" x14ac:dyDescent="0.35">
      <c r="B7886"/>
      <c r="C7886"/>
      <c r="H7886"/>
    </row>
    <row r="7887" spans="2:8" x14ac:dyDescent="0.35">
      <c r="B7887"/>
      <c r="C7887"/>
      <c r="H7887"/>
    </row>
    <row r="7888" spans="2:8" x14ac:dyDescent="0.35">
      <c r="B7888"/>
      <c r="C7888"/>
      <c r="H7888"/>
    </row>
    <row r="7889" spans="2:8" x14ac:dyDescent="0.35">
      <c r="B7889"/>
      <c r="C7889"/>
      <c r="H7889"/>
    </row>
    <row r="7890" spans="2:8" x14ac:dyDescent="0.35">
      <c r="B7890"/>
      <c r="C7890"/>
      <c r="H7890"/>
    </row>
    <row r="7891" spans="2:8" x14ac:dyDescent="0.35">
      <c r="B7891"/>
      <c r="C7891"/>
      <c r="H7891"/>
    </row>
    <row r="7892" spans="2:8" x14ac:dyDescent="0.35">
      <c r="B7892"/>
      <c r="C7892"/>
      <c r="H7892"/>
    </row>
    <row r="7893" spans="2:8" x14ac:dyDescent="0.35">
      <c r="B7893"/>
      <c r="C7893"/>
      <c r="H7893"/>
    </row>
    <row r="7894" spans="2:8" x14ac:dyDescent="0.35">
      <c r="B7894"/>
      <c r="C7894"/>
      <c r="H7894"/>
    </row>
    <row r="7895" spans="2:8" x14ac:dyDescent="0.35">
      <c r="B7895"/>
      <c r="C7895"/>
      <c r="H7895"/>
    </row>
    <row r="7896" spans="2:8" x14ac:dyDescent="0.35">
      <c r="B7896"/>
      <c r="C7896"/>
      <c r="H7896"/>
    </row>
    <row r="7897" spans="2:8" x14ac:dyDescent="0.35">
      <c r="B7897"/>
      <c r="C7897"/>
      <c r="H7897"/>
    </row>
    <row r="7898" spans="2:8" x14ac:dyDescent="0.35">
      <c r="B7898"/>
      <c r="C7898"/>
      <c r="H7898"/>
    </row>
    <row r="7899" spans="2:8" x14ac:dyDescent="0.35">
      <c r="B7899"/>
      <c r="C7899"/>
      <c r="H7899"/>
    </row>
    <row r="7900" spans="2:8" x14ac:dyDescent="0.35">
      <c r="B7900"/>
      <c r="C7900"/>
      <c r="H7900"/>
    </row>
    <row r="7901" spans="2:8" x14ac:dyDescent="0.35">
      <c r="B7901"/>
      <c r="C7901"/>
      <c r="H7901"/>
    </row>
    <row r="7902" spans="2:8" x14ac:dyDescent="0.35">
      <c r="B7902"/>
      <c r="C7902"/>
      <c r="H7902"/>
    </row>
    <row r="7903" spans="2:8" x14ac:dyDescent="0.35">
      <c r="B7903"/>
      <c r="C7903"/>
      <c r="H7903"/>
    </row>
    <row r="7904" spans="2:8" x14ac:dyDescent="0.35">
      <c r="B7904"/>
      <c r="C7904"/>
      <c r="H7904"/>
    </row>
    <row r="7905" spans="2:8" x14ac:dyDescent="0.35">
      <c r="B7905"/>
      <c r="C7905"/>
      <c r="H7905"/>
    </row>
    <row r="7906" spans="2:8" x14ac:dyDescent="0.35">
      <c r="B7906"/>
      <c r="C7906"/>
      <c r="H7906"/>
    </row>
    <row r="7907" spans="2:8" x14ac:dyDescent="0.35">
      <c r="B7907"/>
      <c r="C7907"/>
      <c r="H7907"/>
    </row>
    <row r="7908" spans="2:8" x14ac:dyDescent="0.35">
      <c r="B7908"/>
      <c r="C7908"/>
      <c r="H7908"/>
    </row>
    <row r="7909" spans="2:8" x14ac:dyDescent="0.35">
      <c r="B7909"/>
      <c r="C7909"/>
      <c r="H7909"/>
    </row>
    <row r="7910" spans="2:8" x14ac:dyDescent="0.35">
      <c r="B7910"/>
      <c r="C7910"/>
      <c r="H7910"/>
    </row>
    <row r="7911" spans="2:8" x14ac:dyDescent="0.35">
      <c r="B7911"/>
      <c r="C7911"/>
      <c r="H7911"/>
    </row>
    <row r="7912" spans="2:8" x14ac:dyDescent="0.35">
      <c r="B7912"/>
      <c r="C7912"/>
      <c r="H7912"/>
    </row>
    <row r="7913" spans="2:8" x14ac:dyDescent="0.35">
      <c r="B7913"/>
      <c r="C7913"/>
      <c r="H7913"/>
    </row>
    <row r="7914" spans="2:8" x14ac:dyDescent="0.35">
      <c r="B7914"/>
      <c r="C7914"/>
      <c r="H7914"/>
    </row>
    <row r="7915" spans="2:8" x14ac:dyDescent="0.35">
      <c r="B7915"/>
      <c r="C7915"/>
      <c r="H7915"/>
    </row>
    <row r="7916" spans="2:8" x14ac:dyDescent="0.35">
      <c r="B7916"/>
      <c r="C7916"/>
      <c r="H7916"/>
    </row>
    <row r="7917" spans="2:8" x14ac:dyDescent="0.35">
      <c r="B7917"/>
      <c r="C7917"/>
      <c r="H7917"/>
    </row>
    <row r="7918" spans="2:8" x14ac:dyDescent="0.35">
      <c r="B7918"/>
      <c r="C7918"/>
      <c r="H7918"/>
    </row>
    <row r="7919" spans="2:8" x14ac:dyDescent="0.35">
      <c r="B7919"/>
      <c r="C7919"/>
      <c r="H7919"/>
    </row>
    <row r="7920" spans="2:8" x14ac:dyDescent="0.35">
      <c r="B7920"/>
      <c r="C7920"/>
      <c r="H7920"/>
    </row>
    <row r="7921" spans="2:8" x14ac:dyDescent="0.35">
      <c r="B7921"/>
      <c r="C7921"/>
      <c r="H7921"/>
    </row>
    <row r="7922" spans="2:8" x14ac:dyDescent="0.35">
      <c r="B7922"/>
      <c r="C7922"/>
      <c r="H7922"/>
    </row>
    <row r="7923" spans="2:8" x14ac:dyDescent="0.35">
      <c r="B7923"/>
      <c r="C7923"/>
      <c r="H7923"/>
    </row>
    <row r="7924" spans="2:8" x14ac:dyDescent="0.35">
      <c r="B7924"/>
      <c r="C7924"/>
      <c r="H7924"/>
    </row>
    <row r="7925" spans="2:8" x14ac:dyDescent="0.35">
      <c r="B7925"/>
      <c r="C7925"/>
      <c r="H7925"/>
    </row>
    <row r="7926" spans="2:8" x14ac:dyDescent="0.35">
      <c r="B7926"/>
      <c r="C7926"/>
      <c r="H7926"/>
    </row>
    <row r="7927" spans="2:8" x14ac:dyDescent="0.35">
      <c r="B7927"/>
      <c r="C7927"/>
      <c r="H7927"/>
    </row>
    <row r="7928" spans="2:8" x14ac:dyDescent="0.35">
      <c r="B7928"/>
      <c r="C7928"/>
      <c r="H7928"/>
    </row>
    <row r="7929" spans="2:8" x14ac:dyDescent="0.35">
      <c r="B7929"/>
      <c r="C7929"/>
      <c r="H7929"/>
    </row>
    <row r="7930" spans="2:8" x14ac:dyDescent="0.35">
      <c r="B7930"/>
      <c r="C7930"/>
      <c r="H7930"/>
    </row>
    <row r="7931" spans="2:8" x14ac:dyDescent="0.35">
      <c r="B7931"/>
      <c r="C7931"/>
      <c r="H7931"/>
    </row>
    <row r="7932" spans="2:8" x14ac:dyDescent="0.35">
      <c r="B7932"/>
      <c r="C7932"/>
      <c r="H7932"/>
    </row>
    <row r="7933" spans="2:8" x14ac:dyDescent="0.35">
      <c r="B7933"/>
      <c r="C7933"/>
      <c r="H7933"/>
    </row>
    <row r="7934" spans="2:8" x14ac:dyDescent="0.35">
      <c r="B7934"/>
      <c r="C7934"/>
      <c r="H7934"/>
    </row>
    <row r="7935" spans="2:8" x14ac:dyDescent="0.35">
      <c r="B7935"/>
      <c r="C7935"/>
      <c r="H7935"/>
    </row>
    <row r="7936" spans="2:8" x14ac:dyDescent="0.35">
      <c r="B7936"/>
      <c r="C7936"/>
      <c r="H7936"/>
    </row>
    <row r="7937" spans="2:8" x14ac:dyDescent="0.35">
      <c r="B7937"/>
      <c r="C7937"/>
      <c r="H7937"/>
    </row>
    <row r="7938" spans="2:8" x14ac:dyDescent="0.35">
      <c r="B7938"/>
      <c r="C7938"/>
      <c r="H7938"/>
    </row>
    <row r="7939" spans="2:8" x14ac:dyDescent="0.35">
      <c r="B7939"/>
      <c r="C7939"/>
      <c r="H7939"/>
    </row>
    <row r="7940" spans="2:8" x14ac:dyDescent="0.35">
      <c r="B7940"/>
      <c r="C7940"/>
      <c r="H7940"/>
    </row>
    <row r="7941" spans="2:8" x14ac:dyDescent="0.35">
      <c r="B7941"/>
      <c r="C7941"/>
      <c r="H7941"/>
    </row>
    <row r="7942" spans="2:8" x14ac:dyDescent="0.35">
      <c r="B7942"/>
      <c r="C7942"/>
      <c r="H7942"/>
    </row>
    <row r="7943" spans="2:8" x14ac:dyDescent="0.35">
      <c r="B7943"/>
      <c r="C7943"/>
      <c r="H7943"/>
    </row>
    <row r="7944" spans="2:8" x14ac:dyDescent="0.35">
      <c r="B7944"/>
      <c r="C7944"/>
      <c r="H7944"/>
    </row>
    <row r="7945" spans="2:8" x14ac:dyDescent="0.35">
      <c r="B7945"/>
      <c r="C7945"/>
      <c r="H7945"/>
    </row>
    <row r="7946" spans="2:8" x14ac:dyDescent="0.35">
      <c r="B7946"/>
      <c r="C7946"/>
      <c r="H7946"/>
    </row>
    <row r="7947" spans="2:8" x14ac:dyDescent="0.35">
      <c r="B7947"/>
      <c r="C7947"/>
      <c r="H7947"/>
    </row>
    <row r="7948" spans="2:8" x14ac:dyDescent="0.35">
      <c r="B7948"/>
      <c r="C7948"/>
      <c r="H7948"/>
    </row>
    <row r="7949" spans="2:8" x14ac:dyDescent="0.35">
      <c r="B7949"/>
      <c r="C7949"/>
      <c r="H7949"/>
    </row>
    <row r="7950" spans="2:8" x14ac:dyDescent="0.35">
      <c r="B7950"/>
      <c r="C7950"/>
      <c r="H7950"/>
    </row>
    <row r="7951" spans="2:8" x14ac:dyDescent="0.35">
      <c r="B7951"/>
      <c r="C7951"/>
      <c r="H7951"/>
    </row>
    <row r="7952" spans="2:8" x14ac:dyDescent="0.35">
      <c r="B7952"/>
      <c r="C7952"/>
      <c r="H7952"/>
    </row>
    <row r="7953" spans="2:8" x14ac:dyDescent="0.35">
      <c r="B7953"/>
      <c r="C7953"/>
      <c r="H7953"/>
    </row>
    <row r="7954" spans="2:8" x14ac:dyDescent="0.35">
      <c r="B7954"/>
      <c r="C7954"/>
      <c r="H7954"/>
    </row>
    <row r="7955" spans="2:8" x14ac:dyDescent="0.35">
      <c r="B7955"/>
      <c r="C7955"/>
      <c r="H7955"/>
    </row>
    <row r="7956" spans="2:8" x14ac:dyDescent="0.35">
      <c r="B7956"/>
      <c r="C7956"/>
      <c r="H7956"/>
    </row>
    <row r="7957" spans="2:8" x14ac:dyDescent="0.35">
      <c r="B7957"/>
      <c r="C7957"/>
      <c r="H7957"/>
    </row>
    <row r="7958" spans="2:8" x14ac:dyDescent="0.35">
      <c r="B7958"/>
      <c r="C7958"/>
      <c r="H7958"/>
    </row>
    <row r="7959" spans="2:8" x14ac:dyDescent="0.35">
      <c r="B7959"/>
      <c r="C7959"/>
      <c r="H7959"/>
    </row>
    <row r="7960" spans="2:8" x14ac:dyDescent="0.35">
      <c r="B7960"/>
      <c r="C7960"/>
      <c r="H7960"/>
    </row>
    <row r="7961" spans="2:8" x14ac:dyDescent="0.35">
      <c r="B7961"/>
      <c r="C7961"/>
      <c r="H7961"/>
    </row>
    <row r="7962" spans="2:8" x14ac:dyDescent="0.35">
      <c r="B7962"/>
      <c r="C7962"/>
      <c r="H7962"/>
    </row>
    <row r="7963" spans="2:8" x14ac:dyDescent="0.35">
      <c r="B7963"/>
      <c r="C7963"/>
      <c r="H7963"/>
    </row>
    <row r="7964" spans="2:8" x14ac:dyDescent="0.35">
      <c r="B7964"/>
      <c r="C7964"/>
      <c r="H7964"/>
    </row>
    <row r="7965" spans="2:8" x14ac:dyDescent="0.35">
      <c r="B7965"/>
      <c r="C7965"/>
      <c r="H7965"/>
    </row>
    <row r="7966" spans="2:8" x14ac:dyDescent="0.35">
      <c r="B7966"/>
      <c r="C7966"/>
      <c r="H7966"/>
    </row>
    <row r="7967" spans="2:8" x14ac:dyDescent="0.35">
      <c r="B7967"/>
      <c r="C7967"/>
      <c r="H7967"/>
    </row>
    <row r="7968" spans="2:8" x14ac:dyDescent="0.35">
      <c r="B7968"/>
      <c r="C7968"/>
      <c r="H7968"/>
    </row>
    <row r="7969" spans="2:8" x14ac:dyDescent="0.35">
      <c r="B7969"/>
      <c r="C7969"/>
      <c r="H7969"/>
    </row>
    <row r="7970" spans="2:8" x14ac:dyDescent="0.35">
      <c r="B7970"/>
      <c r="C7970"/>
      <c r="H7970"/>
    </row>
    <row r="7971" spans="2:8" x14ac:dyDescent="0.35">
      <c r="B7971"/>
      <c r="C7971"/>
      <c r="H7971"/>
    </row>
    <row r="7972" spans="2:8" x14ac:dyDescent="0.35">
      <c r="B7972"/>
      <c r="C7972"/>
      <c r="H7972"/>
    </row>
    <row r="7973" spans="2:8" x14ac:dyDescent="0.35">
      <c r="B7973"/>
      <c r="C7973"/>
      <c r="H7973"/>
    </row>
    <row r="7974" spans="2:8" x14ac:dyDescent="0.35">
      <c r="B7974"/>
      <c r="C7974"/>
      <c r="H7974"/>
    </row>
    <row r="7975" spans="2:8" x14ac:dyDescent="0.35">
      <c r="B7975"/>
      <c r="C7975"/>
      <c r="H7975"/>
    </row>
    <row r="7976" spans="2:8" x14ac:dyDescent="0.35">
      <c r="B7976"/>
      <c r="C7976"/>
      <c r="H7976"/>
    </row>
    <row r="7977" spans="2:8" x14ac:dyDescent="0.35">
      <c r="B7977"/>
      <c r="C7977"/>
      <c r="H7977"/>
    </row>
    <row r="7978" spans="2:8" x14ac:dyDescent="0.35">
      <c r="B7978"/>
      <c r="C7978"/>
      <c r="H7978"/>
    </row>
    <row r="7979" spans="2:8" x14ac:dyDescent="0.35">
      <c r="B7979"/>
      <c r="C7979"/>
      <c r="H7979"/>
    </row>
    <row r="7980" spans="2:8" x14ac:dyDescent="0.35">
      <c r="B7980"/>
      <c r="C7980"/>
      <c r="H7980"/>
    </row>
    <row r="7981" spans="2:8" x14ac:dyDescent="0.35">
      <c r="B7981"/>
      <c r="C7981"/>
      <c r="H7981"/>
    </row>
    <row r="7982" spans="2:8" x14ac:dyDescent="0.35">
      <c r="B7982"/>
      <c r="C7982"/>
      <c r="H7982"/>
    </row>
    <row r="7983" spans="2:8" x14ac:dyDescent="0.35">
      <c r="B7983"/>
      <c r="C7983"/>
      <c r="H7983"/>
    </row>
    <row r="7984" spans="2:8" x14ac:dyDescent="0.35">
      <c r="B7984"/>
      <c r="C7984"/>
      <c r="H7984"/>
    </row>
    <row r="7985" spans="2:8" x14ac:dyDescent="0.35">
      <c r="B7985"/>
      <c r="C7985"/>
      <c r="H7985"/>
    </row>
    <row r="7986" spans="2:8" x14ac:dyDescent="0.35">
      <c r="B7986"/>
      <c r="C7986"/>
      <c r="H7986"/>
    </row>
    <row r="7987" spans="2:8" x14ac:dyDescent="0.35">
      <c r="B7987"/>
      <c r="C7987"/>
      <c r="H7987"/>
    </row>
    <row r="7988" spans="2:8" x14ac:dyDescent="0.35">
      <c r="B7988"/>
      <c r="C7988"/>
      <c r="H7988"/>
    </row>
    <row r="7989" spans="2:8" x14ac:dyDescent="0.35">
      <c r="B7989"/>
      <c r="C7989"/>
      <c r="H7989"/>
    </row>
    <row r="7990" spans="2:8" x14ac:dyDescent="0.35">
      <c r="B7990"/>
      <c r="C7990"/>
      <c r="H7990"/>
    </row>
    <row r="7991" spans="2:8" x14ac:dyDescent="0.35">
      <c r="B7991"/>
      <c r="C7991"/>
      <c r="H7991"/>
    </row>
    <row r="7992" spans="2:8" x14ac:dyDescent="0.35">
      <c r="B7992"/>
      <c r="C7992"/>
      <c r="H7992"/>
    </row>
    <row r="7993" spans="2:8" x14ac:dyDescent="0.35">
      <c r="B7993"/>
      <c r="C7993"/>
      <c r="H7993"/>
    </row>
    <row r="7994" spans="2:8" x14ac:dyDescent="0.35">
      <c r="B7994"/>
      <c r="C7994"/>
      <c r="H7994"/>
    </row>
    <row r="7995" spans="2:8" x14ac:dyDescent="0.35">
      <c r="B7995"/>
      <c r="C7995"/>
      <c r="H7995"/>
    </row>
    <row r="7996" spans="2:8" x14ac:dyDescent="0.35">
      <c r="B7996"/>
      <c r="C7996"/>
      <c r="H7996"/>
    </row>
    <row r="7997" spans="2:8" x14ac:dyDescent="0.35">
      <c r="B7997"/>
      <c r="C7997"/>
      <c r="H7997"/>
    </row>
    <row r="7998" spans="2:8" x14ac:dyDescent="0.35">
      <c r="B7998"/>
      <c r="C7998"/>
      <c r="H7998"/>
    </row>
    <row r="7999" spans="2:8" x14ac:dyDescent="0.35">
      <c r="B7999"/>
      <c r="C7999"/>
      <c r="H7999"/>
    </row>
    <row r="8000" spans="2:8" x14ac:dyDescent="0.35">
      <c r="B8000"/>
      <c r="C8000"/>
      <c r="H8000"/>
    </row>
    <row r="8001" spans="2:8" x14ac:dyDescent="0.35">
      <c r="B8001"/>
      <c r="C8001"/>
      <c r="H8001"/>
    </row>
    <row r="8002" spans="2:8" x14ac:dyDescent="0.35">
      <c r="B8002"/>
      <c r="C8002"/>
      <c r="H8002"/>
    </row>
    <row r="8003" spans="2:8" x14ac:dyDescent="0.35">
      <c r="B8003"/>
      <c r="C8003"/>
      <c r="H8003"/>
    </row>
    <row r="8004" spans="2:8" x14ac:dyDescent="0.35">
      <c r="B8004"/>
      <c r="C8004"/>
      <c r="H8004"/>
    </row>
    <row r="8005" spans="2:8" x14ac:dyDescent="0.35">
      <c r="B8005"/>
      <c r="C8005"/>
      <c r="H8005"/>
    </row>
    <row r="8006" spans="2:8" x14ac:dyDescent="0.35">
      <c r="B8006"/>
      <c r="C8006"/>
      <c r="H8006"/>
    </row>
    <row r="8007" spans="2:8" x14ac:dyDescent="0.35">
      <c r="B8007"/>
      <c r="C8007"/>
      <c r="H8007"/>
    </row>
    <row r="8008" spans="2:8" x14ac:dyDescent="0.35">
      <c r="B8008"/>
      <c r="C8008"/>
      <c r="H8008"/>
    </row>
    <row r="8009" spans="2:8" x14ac:dyDescent="0.35">
      <c r="B8009"/>
      <c r="C8009"/>
      <c r="H8009"/>
    </row>
    <row r="8010" spans="2:8" x14ac:dyDescent="0.35">
      <c r="B8010"/>
      <c r="C8010"/>
      <c r="H8010"/>
    </row>
    <row r="8011" spans="2:8" x14ac:dyDescent="0.35">
      <c r="B8011"/>
      <c r="C8011"/>
      <c r="H8011"/>
    </row>
    <row r="8012" spans="2:8" x14ac:dyDescent="0.35">
      <c r="B8012"/>
      <c r="C8012"/>
      <c r="H8012"/>
    </row>
    <row r="8013" spans="2:8" x14ac:dyDescent="0.35">
      <c r="B8013"/>
      <c r="C8013"/>
      <c r="H8013"/>
    </row>
    <row r="8014" spans="2:8" x14ac:dyDescent="0.35">
      <c r="B8014"/>
      <c r="C8014"/>
      <c r="H8014"/>
    </row>
    <row r="8015" spans="2:8" x14ac:dyDescent="0.35">
      <c r="B8015"/>
      <c r="C8015"/>
      <c r="H8015"/>
    </row>
    <row r="8016" spans="2:8" x14ac:dyDescent="0.35">
      <c r="B8016"/>
      <c r="C8016"/>
      <c r="H8016"/>
    </row>
    <row r="8017" spans="2:8" x14ac:dyDescent="0.35">
      <c r="B8017"/>
      <c r="C8017"/>
      <c r="H8017"/>
    </row>
    <row r="8018" spans="2:8" x14ac:dyDescent="0.35">
      <c r="B8018"/>
      <c r="C8018"/>
      <c r="H8018"/>
    </row>
    <row r="8019" spans="2:8" x14ac:dyDescent="0.35">
      <c r="B8019"/>
      <c r="C8019"/>
      <c r="H8019"/>
    </row>
    <row r="8020" spans="2:8" x14ac:dyDescent="0.35">
      <c r="B8020"/>
      <c r="C8020"/>
      <c r="H8020"/>
    </row>
    <row r="8021" spans="2:8" x14ac:dyDescent="0.35">
      <c r="B8021"/>
      <c r="C8021"/>
      <c r="H8021"/>
    </row>
    <row r="8022" spans="2:8" x14ac:dyDescent="0.35">
      <c r="B8022"/>
      <c r="C8022"/>
      <c r="H8022"/>
    </row>
    <row r="8023" spans="2:8" x14ac:dyDescent="0.35">
      <c r="B8023"/>
      <c r="C8023"/>
      <c r="H8023"/>
    </row>
    <row r="8024" spans="2:8" x14ac:dyDescent="0.35">
      <c r="B8024"/>
      <c r="C8024"/>
      <c r="H8024"/>
    </row>
    <row r="8025" spans="2:8" x14ac:dyDescent="0.35">
      <c r="B8025"/>
      <c r="C8025"/>
      <c r="H8025"/>
    </row>
    <row r="8026" spans="2:8" x14ac:dyDescent="0.35">
      <c r="B8026"/>
      <c r="C8026"/>
      <c r="H8026"/>
    </row>
    <row r="8027" spans="2:8" x14ac:dyDescent="0.35">
      <c r="B8027"/>
      <c r="C8027"/>
      <c r="H8027"/>
    </row>
    <row r="8028" spans="2:8" x14ac:dyDescent="0.35">
      <c r="B8028"/>
      <c r="C8028"/>
      <c r="H8028"/>
    </row>
    <row r="8029" spans="2:8" x14ac:dyDescent="0.35">
      <c r="B8029"/>
      <c r="C8029"/>
      <c r="H8029"/>
    </row>
    <row r="8030" spans="2:8" x14ac:dyDescent="0.35">
      <c r="B8030"/>
      <c r="C8030"/>
      <c r="H8030"/>
    </row>
    <row r="8031" spans="2:8" x14ac:dyDescent="0.35">
      <c r="B8031"/>
      <c r="C8031"/>
      <c r="H8031"/>
    </row>
    <row r="8032" spans="2:8" x14ac:dyDescent="0.35">
      <c r="B8032"/>
      <c r="C8032"/>
      <c r="H8032"/>
    </row>
    <row r="8033" spans="2:8" x14ac:dyDescent="0.35">
      <c r="B8033"/>
      <c r="C8033"/>
      <c r="H8033"/>
    </row>
    <row r="8034" spans="2:8" x14ac:dyDescent="0.35">
      <c r="B8034"/>
      <c r="C8034"/>
      <c r="H8034"/>
    </row>
    <row r="8035" spans="2:8" x14ac:dyDescent="0.35">
      <c r="B8035"/>
      <c r="C8035"/>
      <c r="H8035"/>
    </row>
    <row r="8036" spans="2:8" x14ac:dyDescent="0.35">
      <c r="B8036"/>
      <c r="C8036"/>
      <c r="H8036"/>
    </row>
    <row r="8037" spans="2:8" x14ac:dyDescent="0.35">
      <c r="B8037"/>
      <c r="C8037"/>
      <c r="H8037"/>
    </row>
    <row r="8038" spans="2:8" x14ac:dyDescent="0.35">
      <c r="B8038"/>
      <c r="C8038"/>
      <c r="H8038"/>
    </row>
    <row r="8039" spans="2:8" x14ac:dyDescent="0.35">
      <c r="B8039"/>
      <c r="C8039"/>
      <c r="H8039"/>
    </row>
    <row r="8040" spans="2:8" x14ac:dyDescent="0.35">
      <c r="B8040"/>
      <c r="C8040"/>
      <c r="H8040"/>
    </row>
    <row r="8041" spans="2:8" x14ac:dyDescent="0.35">
      <c r="B8041"/>
      <c r="C8041"/>
      <c r="H8041"/>
    </row>
    <row r="8042" spans="2:8" x14ac:dyDescent="0.35">
      <c r="B8042"/>
      <c r="C8042"/>
      <c r="H8042"/>
    </row>
    <row r="8043" spans="2:8" x14ac:dyDescent="0.35">
      <c r="B8043"/>
      <c r="C8043"/>
      <c r="H8043"/>
    </row>
    <row r="8044" spans="2:8" x14ac:dyDescent="0.35">
      <c r="B8044"/>
      <c r="C8044"/>
      <c r="H8044"/>
    </row>
    <row r="8045" spans="2:8" x14ac:dyDescent="0.35">
      <c r="B8045"/>
      <c r="C8045"/>
      <c r="H8045"/>
    </row>
    <row r="8046" spans="2:8" x14ac:dyDescent="0.35">
      <c r="B8046"/>
      <c r="C8046"/>
      <c r="H8046"/>
    </row>
    <row r="8047" spans="2:8" x14ac:dyDescent="0.35">
      <c r="B8047"/>
      <c r="C8047"/>
      <c r="H8047"/>
    </row>
    <row r="8048" spans="2:8" x14ac:dyDescent="0.35">
      <c r="B8048"/>
      <c r="C8048"/>
      <c r="H8048"/>
    </row>
    <row r="8049" spans="2:8" x14ac:dyDescent="0.35">
      <c r="B8049"/>
      <c r="C8049"/>
      <c r="H8049"/>
    </row>
    <row r="8050" spans="2:8" x14ac:dyDescent="0.35">
      <c r="B8050"/>
      <c r="C8050"/>
      <c r="H8050"/>
    </row>
    <row r="8051" spans="2:8" x14ac:dyDescent="0.35">
      <c r="B8051"/>
      <c r="C8051"/>
      <c r="H8051"/>
    </row>
    <row r="8052" spans="2:8" x14ac:dyDescent="0.35">
      <c r="B8052"/>
      <c r="C8052"/>
      <c r="H8052"/>
    </row>
    <row r="8053" spans="2:8" x14ac:dyDescent="0.35">
      <c r="B8053"/>
      <c r="C8053"/>
      <c r="H8053"/>
    </row>
    <row r="8054" spans="2:8" x14ac:dyDescent="0.35">
      <c r="B8054"/>
      <c r="C8054"/>
      <c r="H8054"/>
    </row>
    <row r="8055" spans="2:8" x14ac:dyDescent="0.35">
      <c r="B8055"/>
      <c r="C8055"/>
      <c r="H8055"/>
    </row>
    <row r="8056" spans="2:8" x14ac:dyDescent="0.35">
      <c r="B8056"/>
      <c r="C8056"/>
      <c r="H8056"/>
    </row>
    <row r="8057" spans="2:8" x14ac:dyDescent="0.35">
      <c r="B8057"/>
      <c r="C8057"/>
      <c r="H8057"/>
    </row>
    <row r="8058" spans="2:8" x14ac:dyDescent="0.35">
      <c r="B8058"/>
      <c r="C8058"/>
      <c r="H8058"/>
    </row>
    <row r="8059" spans="2:8" x14ac:dyDescent="0.35">
      <c r="B8059"/>
      <c r="C8059"/>
      <c r="H8059"/>
    </row>
    <row r="8060" spans="2:8" x14ac:dyDescent="0.35">
      <c r="B8060"/>
      <c r="C8060"/>
      <c r="H8060"/>
    </row>
    <row r="8061" spans="2:8" x14ac:dyDescent="0.35">
      <c r="B8061"/>
      <c r="C8061"/>
      <c r="H8061"/>
    </row>
    <row r="8062" spans="2:8" x14ac:dyDescent="0.35">
      <c r="B8062"/>
      <c r="C8062"/>
      <c r="H8062"/>
    </row>
    <row r="8063" spans="2:8" x14ac:dyDescent="0.35">
      <c r="B8063"/>
      <c r="C8063"/>
      <c r="H8063"/>
    </row>
    <row r="8064" spans="2:8" x14ac:dyDescent="0.35">
      <c r="B8064"/>
      <c r="C8064"/>
      <c r="H8064"/>
    </row>
    <row r="8065" spans="2:8" x14ac:dyDescent="0.35">
      <c r="B8065"/>
      <c r="C8065"/>
      <c r="H8065"/>
    </row>
    <row r="8066" spans="2:8" x14ac:dyDescent="0.35">
      <c r="B8066"/>
      <c r="C8066"/>
      <c r="H8066"/>
    </row>
    <row r="8067" spans="2:8" x14ac:dyDescent="0.35">
      <c r="B8067"/>
      <c r="C8067"/>
      <c r="H8067"/>
    </row>
    <row r="8068" spans="2:8" x14ac:dyDescent="0.35">
      <c r="B8068"/>
      <c r="C8068"/>
      <c r="H8068"/>
    </row>
    <row r="8069" spans="2:8" x14ac:dyDescent="0.35">
      <c r="B8069"/>
      <c r="C8069"/>
      <c r="H8069"/>
    </row>
    <row r="8070" spans="2:8" x14ac:dyDescent="0.35">
      <c r="B8070"/>
      <c r="C8070"/>
      <c r="H8070"/>
    </row>
    <row r="8071" spans="2:8" x14ac:dyDescent="0.35">
      <c r="B8071"/>
      <c r="C8071"/>
      <c r="H8071"/>
    </row>
    <row r="8072" spans="2:8" x14ac:dyDescent="0.35">
      <c r="B8072"/>
      <c r="C8072"/>
      <c r="H8072"/>
    </row>
    <row r="8073" spans="2:8" x14ac:dyDescent="0.35">
      <c r="B8073"/>
      <c r="C8073"/>
      <c r="H8073"/>
    </row>
    <row r="8074" spans="2:8" x14ac:dyDescent="0.35">
      <c r="B8074"/>
      <c r="C8074"/>
      <c r="H8074"/>
    </row>
    <row r="8075" spans="2:8" x14ac:dyDescent="0.35">
      <c r="B8075"/>
      <c r="C8075"/>
      <c r="H8075"/>
    </row>
    <row r="8076" spans="2:8" x14ac:dyDescent="0.35">
      <c r="B8076"/>
      <c r="C8076"/>
      <c r="H8076"/>
    </row>
    <row r="8077" spans="2:8" x14ac:dyDescent="0.35">
      <c r="B8077"/>
      <c r="C8077"/>
      <c r="H8077"/>
    </row>
    <row r="8078" spans="2:8" x14ac:dyDescent="0.35">
      <c r="B8078"/>
      <c r="C8078"/>
      <c r="H8078"/>
    </row>
    <row r="8079" spans="2:8" x14ac:dyDescent="0.35">
      <c r="B8079"/>
      <c r="C8079"/>
      <c r="H8079"/>
    </row>
    <row r="8080" spans="2:8" x14ac:dyDescent="0.35">
      <c r="B8080"/>
      <c r="C8080"/>
      <c r="H8080"/>
    </row>
    <row r="8081" spans="2:8" x14ac:dyDescent="0.35">
      <c r="B8081"/>
      <c r="C8081"/>
      <c r="H8081"/>
    </row>
    <row r="8082" spans="2:8" x14ac:dyDescent="0.35">
      <c r="B8082"/>
      <c r="C8082"/>
      <c r="H8082"/>
    </row>
    <row r="8083" spans="2:8" x14ac:dyDescent="0.35">
      <c r="B8083"/>
      <c r="C8083"/>
      <c r="H8083"/>
    </row>
    <row r="8084" spans="2:8" x14ac:dyDescent="0.35">
      <c r="B8084"/>
      <c r="C8084"/>
      <c r="H8084"/>
    </row>
    <row r="8085" spans="2:8" x14ac:dyDescent="0.35">
      <c r="B8085"/>
      <c r="C8085"/>
      <c r="H8085"/>
    </row>
    <row r="8086" spans="2:8" x14ac:dyDescent="0.35">
      <c r="B8086"/>
      <c r="C8086"/>
      <c r="H8086"/>
    </row>
    <row r="8087" spans="2:8" x14ac:dyDescent="0.35">
      <c r="B8087"/>
      <c r="C8087"/>
      <c r="H8087"/>
    </row>
    <row r="8088" spans="2:8" x14ac:dyDescent="0.35">
      <c r="B8088"/>
      <c r="C8088"/>
      <c r="H8088"/>
    </row>
    <row r="8089" spans="2:8" x14ac:dyDescent="0.35">
      <c r="B8089"/>
      <c r="C8089"/>
      <c r="H8089"/>
    </row>
    <row r="8090" spans="2:8" x14ac:dyDescent="0.35">
      <c r="B8090"/>
      <c r="C8090"/>
      <c r="H8090"/>
    </row>
    <row r="8091" spans="2:8" x14ac:dyDescent="0.35">
      <c r="B8091"/>
      <c r="C8091"/>
      <c r="H8091"/>
    </row>
    <row r="8092" spans="2:8" x14ac:dyDescent="0.35">
      <c r="B8092"/>
      <c r="C8092"/>
      <c r="H8092"/>
    </row>
    <row r="8093" spans="2:8" x14ac:dyDescent="0.35">
      <c r="B8093"/>
      <c r="C8093"/>
      <c r="H8093"/>
    </row>
    <row r="8094" spans="2:8" x14ac:dyDescent="0.35">
      <c r="B8094"/>
      <c r="C8094"/>
      <c r="H8094"/>
    </row>
    <row r="8095" spans="2:8" x14ac:dyDescent="0.35">
      <c r="B8095"/>
      <c r="C8095"/>
      <c r="H8095"/>
    </row>
    <row r="8096" spans="2:8" x14ac:dyDescent="0.35">
      <c r="B8096"/>
      <c r="C8096"/>
      <c r="H8096"/>
    </row>
    <row r="8097" spans="2:8" x14ac:dyDescent="0.35">
      <c r="B8097"/>
      <c r="C8097"/>
      <c r="H8097"/>
    </row>
    <row r="8098" spans="2:8" x14ac:dyDescent="0.35">
      <c r="B8098"/>
      <c r="C8098"/>
      <c r="H8098"/>
    </row>
    <row r="8099" spans="2:8" x14ac:dyDescent="0.35">
      <c r="B8099"/>
      <c r="C8099"/>
      <c r="H8099"/>
    </row>
    <row r="8100" spans="2:8" x14ac:dyDescent="0.35">
      <c r="B8100"/>
      <c r="C8100"/>
      <c r="H8100"/>
    </row>
    <row r="8101" spans="2:8" x14ac:dyDescent="0.35">
      <c r="B8101"/>
      <c r="C8101"/>
      <c r="H8101"/>
    </row>
    <row r="8102" spans="2:8" x14ac:dyDescent="0.35">
      <c r="B8102"/>
      <c r="C8102"/>
      <c r="H8102"/>
    </row>
    <row r="8103" spans="2:8" x14ac:dyDescent="0.35">
      <c r="B8103"/>
      <c r="C8103"/>
      <c r="H8103"/>
    </row>
    <row r="8104" spans="2:8" x14ac:dyDescent="0.35">
      <c r="B8104"/>
      <c r="C8104"/>
      <c r="H8104"/>
    </row>
    <row r="8105" spans="2:8" x14ac:dyDescent="0.35">
      <c r="B8105"/>
      <c r="C8105"/>
      <c r="H8105"/>
    </row>
    <row r="8106" spans="2:8" x14ac:dyDescent="0.35">
      <c r="B8106"/>
      <c r="C8106"/>
      <c r="H8106"/>
    </row>
    <row r="8107" spans="2:8" x14ac:dyDescent="0.35">
      <c r="B8107"/>
      <c r="C8107"/>
      <c r="H8107"/>
    </row>
    <row r="8108" spans="2:8" x14ac:dyDescent="0.35">
      <c r="B8108"/>
      <c r="C8108"/>
      <c r="H8108"/>
    </row>
    <row r="8109" spans="2:8" x14ac:dyDescent="0.35">
      <c r="B8109"/>
      <c r="C8109"/>
      <c r="H8109"/>
    </row>
    <row r="8110" spans="2:8" x14ac:dyDescent="0.35">
      <c r="B8110"/>
      <c r="C8110"/>
      <c r="H8110"/>
    </row>
    <row r="8111" spans="2:8" x14ac:dyDescent="0.35">
      <c r="B8111"/>
      <c r="C8111"/>
      <c r="H8111"/>
    </row>
    <row r="8112" spans="2:8" x14ac:dyDescent="0.35">
      <c r="B8112"/>
      <c r="C8112"/>
      <c r="H8112"/>
    </row>
    <row r="8113" spans="2:8" x14ac:dyDescent="0.35">
      <c r="B8113"/>
      <c r="C8113"/>
      <c r="H8113"/>
    </row>
    <row r="8114" spans="2:8" x14ac:dyDescent="0.35">
      <c r="B8114"/>
      <c r="C8114"/>
      <c r="H8114"/>
    </row>
    <row r="8115" spans="2:8" x14ac:dyDescent="0.35">
      <c r="B8115"/>
      <c r="C8115"/>
      <c r="H8115"/>
    </row>
    <row r="8116" spans="2:8" x14ac:dyDescent="0.35">
      <c r="B8116"/>
      <c r="C8116"/>
      <c r="H8116"/>
    </row>
    <row r="8117" spans="2:8" x14ac:dyDescent="0.35">
      <c r="B8117"/>
      <c r="C8117"/>
      <c r="H8117"/>
    </row>
    <row r="8118" spans="2:8" x14ac:dyDescent="0.35">
      <c r="B8118"/>
      <c r="C8118"/>
      <c r="H8118"/>
    </row>
    <row r="8119" spans="2:8" x14ac:dyDescent="0.35">
      <c r="B8119"/>
      <c r="C8119"/>
      <c r="H8119"/>
    </row>
    <row r="8120" spans="2:8" x14ac:dyDescent="0.35">
      <c r="B8120"/>
      <c r="C8120"/>
      <c r="H8120"/>
    </row>
    <row r="8121" spans="2:8" x14ac:dyDescent="0.35">
      <c r="B8121"/>
      <c r="C8121"/>
      <c r="H8121"/>
    </row>
    <row r="8122" spans="2:8" x14ac:dyDescent="0.35">
      <c r="B8122"/>
      <c r="C8122"/>
      <c r="H8122"/>
    </row>
    <row r="8123" spans="2:8" x14ac:dyDescent="0.35">
      <c r="B8123"/>
      <c r="C8123"/>
      <c r="H8123"/>
    </row>
    <row r="8124" spans="2:8" x14ac:dyDescent="0.35">
      <c r="B8124"/>
      <c r="C8124"/>
      <c r="H8124"/>
    </row>
    <row r="8125" spans="2:8" x14ac:dyDescent="0.35">
      <c r="B8125"/>
      <c r="C8125"/>
      <c r="H8125"/>
    </row>
    <row r="8126" spans="2:8" x14ac:dyDescent="0.35">
      <c r="B8126"/>
      <c r="C8126"/>
      <c r="H8126"/>
    </row>
    <row r="8127" spans="2:8" x14ac:dyDescent="0.35">
      <c r="B8127"/>
      <c r="C8127"/>
      <c r="H8127"/>
    </row>
    <row r="8128" spans="2:8" x14ac:dyDescent="0.35">
      <c r="B8128"/>
      <c r="C8128"/>
      <c r="H8128"/>
    </row>
    <row r="8129" spans="2:8" x14ac:dyDescent="0.35">
      <c r="B8129"/>
      <c r="C8129"/>
      <c r="H8129"/>
    </row>
    <row r="8130" spans="2:8" x14ac:dyDescent="0.35">
      <c r="B8130"/>
      <c r="C8130"/>
      <c r="H8130"/>
    </row>
    <row r="8131" spans="2:8" x14ac:dyDescent="0.35">
      <c r="B8131"/>
      <c r="C8131"/>
      <c r="H8131"/>
    </row>
    <row r="8132" spans="2:8" x14ac:dyDescent="0.35">
      <c r="B8132"/>
      <c r="C8132"/>
      <c r="H8132"/>
    </row>
    <row r="8133" spans="2:8" x14ac:dyDescent="0.35">
      <c r="B8133"/>
      <c r="C8133"/>
      <c r="H8133"/>
    </row>
    <row r="8134" spans="2:8" x14ac:dyDescent="0.35">
      <c r="B8134"/>
      <c r="C8134"/>
      <c r="H8134"/>
    </row>
    <row r="8135" spans="2:8" x14ac:dyDescent="0.35">
      <c r="B8135"/>
      <c r="C8135"/>
      <c r="H8135"/>
    </row>
    <row r="8136" spans="2:8" x14ac:dyDescent="0.35">
      <c r="B8136"/>
      <c r="C8136"/>
      <c r="H8136"/>
    </row>
    <row r="8137" spans="2:8" x14ac:dyDescent="0.35">
      <c r="B8137"/>
      <c r="C8137"/>
      <c r="H8137"/>
    </row>
    <row r="8138" spans="2:8" x14ac:dyDescent="0.35">
      <c r="B8138"/>
      <c r="C8138"/>
      <c r="H8138"/>
    </row>
    <row r="8139" spans="2:8" x14ac:dyDescent="0.35">
      <c r="B8139"/>
      <c r="C8139"/>
      <c r="H8139"/>
    </row>
    <row r="8140" spans="2:8" x14ac:dyDescent="0.35">
      <c r="B8140"/>
      <c r="C8140"/>
      <c r="H8140"/>
    </row>
    <row r="8141" spans="2:8" x14ac:dyDescent="0.35">
      <c r="B8141"/>
      <c r="C8141"/>
      <c r="H8141"/>
    </row>
    <row r="8142" spans="2:8" x14ac:dyDescent="0.35">
      <c r="B8142"/>
      <c r="C8142"/>
      <c r="H8142"/>
    </row>
    <row r="8143" spans="2:8" x14ac:dyDescent="0.35">
      <c r="B8143"/>
      <c r="C8143"/>
      <c r="H8143"/>
    </row>
    <row r="8144" spans="2:8" x14ac:dyDescent="0.35">
      <c r="B8144"/>
      <c r="C8144"/>
      <c r="H8144"/>
    </row>
    <row r="8145" spans="2:8" x14ac:dyDescent="0.35">
      <c r="B8145"/>
      <c r="C8145"/>
      <c r="H8145"/>
    </row>
    <row r="8146" spans="2:8" x14ac:dyDescent="0.35">
      <c r="B8146"/>
      <c r="C8146"/>
      <c r="H8146"/>
    </row>
    <row r="8147" spans="2:8" x14ac:dyDescent="0.35">
      <c r="B8147"/>
      <c r="C8147"/>
      <c r="H8147"/>
    </row>
    <row r="8148" spans="2:8" x14ac:dyDescent="0.35">
      <c r="B8148"/>
      <c r="C8148"/>
      <c r="H8148"/>
    </row>
    <row r="8149" spans="2:8" x14ac:dyDescent="0.35">
      <c r="B8149"/>
      <c r="C8149"/>
      <c r="H8149"/>
    </row>
    <row r="8150" spans="2:8" x14ac:dyDescent="0.35">
      <c r="B8150"/>
      <c r="C8150"/>
      <c r="H8150"/>
    </row>
    <row r="8151" spans="2:8" x14ac:dyDescent="0.35">
      <c r="B8151"/>
      <c r="C8151"/>
      <c r="H8151"/>
    </row>
    <row r="8152" spans="2:8" x14ac:dyDescent="0.35">
      <c r="B8152"/>
      <c r="C8152"/>
      <c r="H8152"/>
    </row>
    <row r="8153" spans="2:8" x14ac:dyDescent="0.35">
      <c r="B8153"/>
      <c r="C8153"/>
      <c r="H8153"/>
    </row>
    <row r="8154" spans="2:8" x14ac:dyDescent="0.35">
      <c r="B8154"/>
      <c r="C8154"/>
      <c r="H8154"/>
    </row>
    <row r="8155" spans="2:8" x14ac:dyDescent="0.35">
      <c r="B8155"/>
      <c r="C8155"/>
      <c r="H8155"/>
    </row>
    <row r="8156" spans="2:8" x14ac:dyDescent="0.35">
      <c r="B8156"/>
      <c r="C8156"/>
      <c r="H8156"/>
    </row>
    <row r="8157" spans="2:8" x14ac:dyDescent="0.35">
      <c r="B8157"/>
      <c r="C8157"/>
      <c r="H8157"/>
    </row>
    <row r="8158" spans="2:8" x14ac:dyDescent="0.35">
      <c r="B8158"/>
      <c r="C8158"/>
      <c r="H8158"/>
    </row>
    <row r="8159" spans="2:8" x14ac:dyDescent="0.35">
      <c r="B8159"/>
      <c r="C8159"/>
      <c r="H8159"/>
    </row>
    <row r="8160" spans="2:8" x14ac:dyDescent="0.35">
      <c r="B8160"/>
      <c r="C8160"/>
      <c r="H8160"/>
    </row>
    <row r="8161" spans="2:8" x14ac:dyDescent="0.35">
      <c r="B8161"/>
      <c r="C8161"/>
      <c r="H8161"/>
    </row>
    <row r="8162" spans="2:8" x14ac:dyDescent="0.35">
      <c r="B8162"/>
      <c r="C8162"/>
      <c r="H8162"/>
    </row>
    <row r="8163" spans="2:8" x14ac:dyDescent="0.35">
      <c r="B8163"/>
      <c r="C8163"/>
      <c r="H8163"/>
    </row>
    <row r="8164" spans="2:8" x14ac:dyDescent="0.35">
      <c r="B8164"/>
      <c r="C8164"/>
      <c r="H8164"/>
    </row>
    <row r="8165" spans="2:8" x14ac:dyDescent="0.35">
      <c r="B8165"/>
      <c r="C8165"/>
      <c r="H8165"/>
    </row>
    <row r="8166" spans="2:8" x14ac:dyDescent="0.35">
      <c r="B8166"/>
      <c r="C8166"/>
      <c r="H8166"/>
    </row>
    <row r="8167" spans="2:8" x14ac:dyDescent="0.35">
      <c r="B8167"/>
      <c r="C8167"/>
      <c r="H8167"/>
    </row>
    <row r="8168" spans="2:8" x14ac:dyDescent="0.35">
      <c r="B8168"/>
      <c r="C8168"/>
      <c r="H8168"/>
    </row>
    <row r="8169" spans="2:8" x14ac:dyDescent="0.35">
      <c r="B8169"/>
      <c r="C8169"/>
      <c r="H8169"/>
    </row>
    <row r="8170" spans="2:8" x14ac:dyDescent="0.35">
      <c r="B8170"/>
      <c r="C8170"/>
      <c r="H8170"/>
    </row>
    <row r="8171" spans="2:8" x14ac:dyDescent="0.35">
      <c r="B8171"/>
      <c r="C8171"/>
      <c r="H8171"/>
    </row>
    <row r="8172" spans="2:8" x14ac:dyDescent="0.35">
      <c r="B8172"/>
      <c r="C8172"/>
      <c r="H8172"/>
    </row>
    <row r="8173" spans="2:8" x14ac:dyDescent="0.35">
      <c r="B8173"/>
      <c r="C8173"/>
      <c r="H8173"/>
    </row>
    <row r="8174" spans="2:8" x14ac:dyDescent="0.35">
      <c r="B8174"/>
      <c r="C8174"/>
      <c r="H8174"/>
    </row>
    <row r="8175" spans="2:8" x14ac:dyDescent="0.35">
      <c r="B8175"/>
      <c r="C8175"/>
      <c r="H8175"/>
    </row>
    <row r="8176" spans="2:8" x14ac:dyDescent="0.35">
      <c r="B8176"/>
      <c r="C8176"/>
      <c r="H8176"/>
    </row>
    <row r="8177" spans="2:8" x14ac:dyDescent="0.35">
      <c r="B8177"/>
      <c r="C8177"/>
      <c r="H8177"/>
    </row>
    <row r="8178" spans="2:8" x14ac:dyDescent="0.35">
      <c r="B8178"/>
      <c r="C8178"/>
      <c r="H8178"/>
    </row>
    <row r="8179" spans="2:8" x14ac:dyDescent="0.35">
      <c r="B8179"/>
      <c r="C8179"/>
      <c r="H8179"/>
    </row>
    <row r="8180" spans="2:8" x14ac:dyDescent="0.35">
      <c r="B8180"/>
      <c r="C8180"/>
      <c r="H8180"/>
    </row>
    <row r="8181" spans="2:8" x14ac:dyDescent="0.35">
      <c r="B8181"/>
      <c r="C8181"/>
      <c r="H8181"/>
    </row>
    <row r="8182" spans="2:8" x14ac:dyDescent="0.35">
      <c r="B8182"/>
      <c r="C8182"/>
      <c r="H8182"/>
    </row>
    <row r="8183" spans="2:8" x14ac:dyDescent="0.35">
      <c r="B8183"/>
      <c r="C8183"/>
      <c r="H8183"/>
    </row>
    <row r="8184" spans="2:8" x14ac:dyDescent="0.35">
      <c r="B8184"/>
      <c r="C8184"/>
      <c r="H8184"/>
    </row>
    <row r="8185" spans="2:8" x14ac:dyDescent="0.35">
      <c r="B8185"/>
      <c r="C8185"/>
      <c r="H8185"/>
    </row>
    <row r="8186" spans="2:8" x14ac:dyDescent="0.35">
      <c r="B8186"/>
      <c r="C8186"/>
      <c r="H8186"/>
    </row>
    <row r="8187" spans="2:8" x14ac:dyDescent="0.35">
      <c r="B8187"/>
      <c r="C8187"/>
      <c r="H8187"/>
    </row>
    <row r="8188" spans="2:8" x14ac:dyDescent="0.35">
      <c r="B8188"/>
      <c r="C8188"/>
      <c r="H8188"/>
    </row>
    <row r="8189" spans="2:8" x14ac:dyDescent="0.35">
      <c r="B8189"/>
      <c r="C8189"/>
      <c r="H8189"/>
    </row>
    <row r="8190" spans="2:8" x14ac:dyDescent="0.35">
      <c r="B8190"/>
      <c r="C8190"/>
      <c r="H8190"/>
    </row>
    <row r="8191" spans="2:8" x14ac:dyDescent="0.35">
      <c r="B8191"/>
      <c r="C8191"/>
      <c r="H8191"/>
    </row>
    <row r="8192" spans="2:8" x14ac:dyDescent="0.35">
      <c r="B8192"/>
      <c r="C8192"/>
      <c r="H8192"/>
    </row>
    <row r="8193" spans="2:8" x14ac:dyDescent="0.35">
      <c r="B8193"/>
      <c r="C8193"/>
      <c r="H8193"/>
    </row>
    <row r="8194" spans="2:8" x14ac:dyDescent="0.35">
      <c r="B8194"/>
      <c r="C8194"/>
      <c r="H8194"/>
    </row>
    <row r="8195" spans="2:8" x14ac:dyDescent="0.35">
      <c r="B8195"/>
      <c r="C8195"/>
      <c r="H8195"/>
    </row>
    <row r="8196" spans="2:8" x14ac:dyDescent="0.35">
      <c r="B8196"/>
      <c r="C8196"/>
      <c r="H8196"/>
    </row>
    <row r="8197" spans="2:8" x14ac:dyDescent="0.35">
      <c r="B8197"/>
      <c r="C8197"/>
      <c r="H8197"/>
    </row>
    <row r="8198" spans="2:8" x14ac:dyDescent="0.35">
      <c r="B8198"/>
      <c r="C8198"/>
      <c r="H8198"/>
    </row>
    <row r="8199" spans="2:8" x14ac:dyDescent="0.35">
      <c r="B8199"/>
      <c r="C8199"/>
      <c r="H8199"/>
    </row>
    <row r="8200" spans="2:8" x14ac:dyDescent="0.35">
      <c r="B8200"/>
      <c r="C8200"/>
      <c r="H8200"/>
    </row>
    <row r="8201" spans="2:8" x14ac:dyDescent="0.35">
      <c r="B8201"/>
      <c r="C8201"/>
      <c r="H8201"/>
    </row>
    <row r="8202" spans="2:8" x14ac:dyDescent="0.35">
      <c r="B8202"/>
      <c r="C8202"/>
      <c r="H8202"/>
    </row>
    <row r="8203" spans="2:8" x14ac:dyDescent="0.35">
      <c r="B8203"/>
      <c r="C8203"/>
      <c r="H8203"/>
    </row>
    <row r="8204" spans="2:8" x14ac:dyDescent="0.35">
      <c r="B8204"/>
      <c r="C8204"/>
      <c r="H8204"/>
    </row>
    <row r="8205" spans="2:8" x14ac:dyDescent="0.35">
      <c r="B8205"/>
      <c r="C8205"/>
      <c r="H8205"/>
    </row>
    <row r="8206" spans="2:8" x14ac:dyDescent="0.35">
      <c r="B8206"/>
      <c r="C8206"/>
      <c r="H8206"/>
    </row>
    <row r="8207" spans="2:8" x14ac:dyDescent="0.35">
      <c r="B8207"/>
      <c r="C8207"/>
      <c r="H8207"/>
    </row>
    <row r="8208" spans="2:8" x14ac:dyDescent="0.35">
      <c r="B8208"/>
      <c r="C8208"/>
      <c r="H8208"/>
    </row>
    <row r="8209" spans="2:8" x14ac:dyDescent="0.35">
      <c r="B8209"/>
      <c r="C8209"/>
      <c r="H8209"/>
    </row>
    <row r="8210" spans="2:8" x14ac:dyDescent="0.35">
      <c r="B8210"/>
      <c r="C8210"/>
      <c r="H8210"/>
    </row>
    <row r="8211" spans="2:8" x14ac:dyDescent="0.35">
      <c r="B8211"/>
      <c r="C8211"/>
      <c r="H8211"/>
    </row>
    <row r="8212" spans="2:8" x14ac:dyDescent="0.35">
      <c r="B8212"/>
      <c r="C8212"/>
      <c r="H8212"/>
    </row>
    <row r="8213" spans="2:8" x14ac:dyDescent="0.35">
      <c r="B8213"/>
      <c r="C8213"/>
      <c r="H8213"/>
    </row>
    <row r="8214" spans="2:8" x14ac:dyDescent="0.35">
      <c r="B8214"/>
      <c r="C8214"/>
      <c r="H8214"/>
    </row>
    <row r="8215" spans="2:8" x14ac:dyDescent="0.35">
      <c r="B8215"/>
      <c r="C8215"/>
      <c r="H8215"/>
    </row>
    <row r="8216" spans="2:8" x14ac:dyDescent="0.35">
      <c r="B8216"/>
      <c r="C8216"/>
      <c r="H8216"/>
    </row>
    <row r="8217" spans="2:8" x14ac:dyDescent="0.35">
      <c r="B8217"/>
      <c r="C8217"/>
      <c r="H8217"/>
    </row>
    <row r="8218" spans="2:8" x14ac:dyDescent="0.35">
      <c r="B8218"/>
      <c r="C8218"/>
      <c r="H8218"/>
    </row>
    <row r="8219" spans="2:8" x14ac:dyDescent="0.35">
      <c r="B8219"/>
      <c r="C8219"/>
      <c r="H8219"/>
    </row>
    <row r="8220" spans="2:8" x14ac:dyDescent="0.35">
      <c r="B8220"/>
      <c r="C8220"/>
      <c r="H8220"/>
    </row>
    <row r="8221" spans="2:8" x14ac:dyDescent="0.35">
      <c r="B8221"/>
      <c r="C8221"/>
      <c r="H8221"/>
    </row>
    <row r="8222" spans="2:8" x14ac:dyDescent="0.35">
      <c r="B8222"/>
      <c r="C8222"/>
      <c r="H8222"/>
    </row>
    <row r="8223" spans="2:8" x14ac:dyDescent="0.35">
      <c r="B8223"/>
      <c r="C8223"/>
      <c r="H8223"/>
    </row>
    <row r="8224" spans="2:8" x14ac:dyDescent="0.35">
      <c r="B8224"/>
      <c r="C8224"/>
      <c r="H8224"/>
    </row>
    <row r="8225" spans="2:8" x14ac:dyDescent="0.35">
      <c r="B8225"/>
      <c r="C8225"/>
      <c r="H8225"/>
    </row>
    <row r="8226" spans="2:8" x14ac:dyDescent="0.35">
      <c r="B8226"/>
      <c r="C8226"/>
      <c r="H8226"/>
    </row>
    <row r="8227" spans="2:8" x14ac:dyDescent="0.35">
      <c r="B8227"/>
      <c r="C8227"/>
      <c r="H8227"/>
    </row>
    <row r="8228" spans="2:8" x14ac:dyDescent="0.35">
      <c r="B8228"/>
      <c r="C8228"/>
      <c r="H8228"/>
    </row>
    <row r="8229" spans="2:8" x14ac:dyDescent="0.35">
      <c r="B8229"/>
      <c r="C8229"/>
      <c r="H8229"/>
    </row>
    <row r="8230" spans="2:8" x14ac:dyDescent="0.35">
      <c r="B8230"/>
      <c r="C8230"/>
      <c r="H8230"/>
    </row>
    <row r="8231" spans="2:8" x14ac:dyDescent="0.35">
      <c r="B8231"/>
      <c r="C8231"/>
      <c r="H8231"/>
    </row>
    <row r="8232" spans="2:8" x14ac:dyDescent="0.35">
      <c r="B8232"/>
      <c r="C8232"/>
      <c r="H8232"/>
    </row>
    <row r="8233" spans="2:8" x14ac:dyDescent="0.35">
      <c r="B8233"/>
      <c r="C8233"/>
      <c r="H8233"/>
    </row>
    <row r="8234" spans="2:8" x14ac:dyDescent="0.35">
      <c r="B8234"/>
      <c r="C8234"/>
      <c r="H8234"/>
    </row>
    <row r="8235" spans="2:8" x14ac:dyDescent="0.35">
      <c r="B8235"/>
      <c r="C8235"/>
      <c r="H8235"/>
    </row>
    <row r="8236" spans="2:8" x14ac:dyDescent="0.35">
      <c r="B8236"/>
      <c r="C8236"/>
      <c r="H8236"/>
    </row>
    <row r="8237" spans="2:8" x14ac:dyDescent="0.35">
      <c r="B8237"/>
      <c r="C8237"/>
      <c r="H8237"/>
    </row>
    <row r="8238" spans="2:8" x14ac:dyDescent="0.35">
      <c r="B8238"/>
      <c r="C8238"/>
      <c r="H8238"/>
    </row>
    <row r="8239" spans="2:8" x14ac:dyDescent="0.35">
      <c r="B8239"/>
      <c r="C8239"/>
      <c r="H8239"/>
    </row>
    <row r="8240" spans="2:8" x14ac:dyDescent="0.35">
      <c r="B8240"/>
      <c r="C8240"/>
      <c r="H8240"/>
    </row>
    <row r="8241" spans="2:8" x14ac:dyDescent="0.35">
      <c r="B8241"/>
      <c r="C8241"/>
      <c r="H8241"/>
    </row>
    <row r="8242" spans="2:8" x14ac:dyDescent="0.35">
      <c r="B8242"/>
      <c r="C8242"/>
      <c r="H8242"/>
    </row>
    <row r="8243" spans="2:8" x14ac:dyDescent="0.35">
      <c r="B8243"/>
      <c r="C8243"/>
      <c r="H8243"/>
    </row>
    <row r="8244" spans="2:8" x14ac:dyDescent="0.35">
      <c r="B8244"/>
      <c r="C8244"/>
      <c r="H8244"/>
    </row>
    <row r="8245" spans="2:8" x14ac:dyDescent="0.35">
      <c r="B8245"/>
      <c r="C8245"/>
      <c r="H8245"/>
    </row>
    <row r="8246" spans="2:8" x14ac:dyDescent="0.35">
      <c r="B8246"/>
      <c r="C8246"/>
      <c r="H8246"/>
    </row>
    <row r="8247" spans="2:8" x14ac:dyDescent="0.35">
      <c r="B8247"/>
      <c r="C8247"/>
      <c r="H8247"/>
    </row>
    <row r="8248" spans="2:8" x14ac:dyDescent="0.35">
      <c r="B8248"/>
      <c r="C8248"/>
      <c r="H8248"/>
    </row>
    <row r="8249" spans="2:8" x14ac:dyDescent="0.35">
      <c r="B8249"/>
      <c r="C8249"/>
      <c r="H8249"/>
    </row>
    <row r="8250" spans="2:8" x14ac:dyDescent="0.35">
      <c r="B8250"/>
      <c r="C8250"/>
      <c r="H8250"/>
    </row>
    <row r="8251" spans="2:8" x14ac:dyDescent="0.35">
      <c r="B8251"/>
      <c r="C8251"/>
      <c r="H8251"/>
    </row>
    <row r="8252" spans="2:8" x14ac:dyDescent="0.35">
      <c r="B8252"/>
      <c r="C8252"/>
      <c r="H8252"/>
    </row>
    <row r="8253" spans="2:8" x14ac:dyDescent="0.35">
      <c r="B8253"/>
      <c r="C8253"/>
      <c r="H8253"/>
    </row>
    <row r="8254" spans="2:8" x14ac:dyDescent="0.35">
      <c r="B8254"/>
      <c r="C8254"/>
      <c r="H8254"/>
    </row>
    <row r="8255" spans="2:8" x14ac:dyDescent="0.35">
      <c r="B8255"/>
      <c r="C8255"/>
      <c r="H8255"/>
    </row>
    <row r="8256" spans="2:8" x14ac:dyDescent="0.35">
      <c r="B8256"/>
      <c r="C8256"/>
      <c r="H8256"/>
    </row>
    <row r="8257" spans="2:8" x14ac:dyDescent="0.35">
      <c r="B8257"/>
      <c r="C8257"/>
      <c r="H8257"/>
    </row>
    <row r="8258" spans="2:8" x14ac:dyDescent="0.35">
      <c r="B8258"/>
      <c r="C8258"/>
      <c r="H8258"/>
    </row>
    <row r="8259" spans="2:8" x14ac:dyDescent="0.35">
      <c r="B8259"/>
      <c r="C8259"/>
      <c r="H8259"/>
    </row>
    <row r="8260" spans="2:8" x14ac:dyDescent="0.35">
      <c r="B8260"/>
      <c r="C8260"/>
      <c r="H8260"/>
    </row>
    <row r="8261" spans="2:8" x14ac:dyDescent="0.35">
      <c r="B8261"/>
      <c r="C8261"/>
      <c r="H8261"/>
    </row>
    <row r="8262" spans="2:8" x14ac:dyDescent="0.35">
      <c r="B8262"/>
      <c r="C8262"/>
      <c r="H8262"/>
    </row>
    <row r="8263" spans="2:8" x14ac:dyDescent="0.35">
      <c r="B8263"/>
      <c r="C8263"/>
      <c r="H8263"/>
    </row>
    <row r="8264" spans="2:8" x14ac:dyDescent="0.35">
      <c r="B8264"/>
      <c r="C8264"/>
      <c r="H8264"/>
    </row>
    <row r="8265" spans="2:8" x14ac:dyDescent="0.35">
      <c r="B8265"/>
      <c r="C8265"/>
      <c r="H8265"/>
    </row>
    <row r="8266" spans="2:8" x14ac:dyDescent="0.35">
      <c r="B8266"/>
      <c r="C8266"/>
      <c r="H8266"/>
    </row>
    <row r="8267" spans="2:8" x14ac:dyDescent="0.35">
      <c r="B8267"/>
      <c r="C8267"/>
      <c r="H8267"/>
    </row>
    <row r="8268" spans="2:8" x14ac:dyDescent="0.35">
      <c r="B8268"/>
      <c r="C8268"/>
      <c r="H8268"/>
    </row>
    <row r="8269" spans="2:8" x14ac:dyDescent="0.35">
      <c r="B8269"/>
      <c r="C8269"/>
      <c r="H8269"/>
    </row>
    <row r="8270" spans="2:8" x14ac:dyDescent="0.35">
      <c r="B8270"/>
      <c r="C8270"/>
      <c r="H8270"/>
    </row>
    <row r="8271" spans="2:8" x14ac:dyDescent="0.35">
      <c r="B8271"/>
      <c r="C8271"/>
      <c r="H8271"/>
    </row>
    <row r="8272" spans="2:8" x14ac:dyDescent="0.35">
      <c r="B8272"/>
      <c r="C8272"/>
      <c r="H8272"/>
    </row>
    <row r="8273" spans="2:8" x14ac:dyDescent="0.35">
      <c r="B8273"/>
      <c r="C8273"/>
      <c r="H8273"/>
    </row>
    <row r="8274" spans="2:8" x14ac:dyDescent="0.35">
      <c r="B8274"/>
      <c r="C8274"/>
      <c r="H8274"/>
    </row>
    <row r="8275" spans="2:8" x14ac:dyDescent="0.35">
      <c r="B8275"/>
      <c r="C8275"/>
      <c r="H8275"/>
    </row>
    <row r="8276" spans="2:8" x14ac:dyDescent="0.35">
      <c r="B8276"/>
      <c r="C8276"/>
      <c r="H8276"/>
    </row>
    <row r="8277" spans="2:8" x14ac:dyDescent="0.35">
      <c r="B8277"/>
      <c r="C8277"/>
      <c r="H8277"/>
    </row>
    <row r="8278" spans="2:8" x14ac:dyDescent="0.35">
      <c r="B8278"/>
      <c r="C8278"/>
      <c r="H8278"/>
    </row>
    <row r="8279" spans="2:8" x14ac:dyDescent="0.35">
      <c r="B8279"/>
      <c r="C8279"/>
      <c r="H8279"/>
    </row>
    <row r="8280" spans="2:8" x14ac:dyDescent="0.35">
      <c r="B8280"/>
      <c r="C8280"/>
      <c r="H8280"/>
    </row>
    <row r="8281" spans="2:8" x14ac:dyDescent="0.35">
      <c r="B8281"/>
      <c r="C8281"/>
      <c r="H8281"/>
    </row>
    <row r="8282" spans="2:8" x14ac:dyDescent="0.35">
      <c r="B8282"/>
      <c r="C8282"/>
      <c r="H8282"/>
    </row>
    <row r="8283" spans="2:8" x14ac:dyDescent="0.35">
      <c r="B8283"/>
      <c r="C8283"/>
      <c r="H8283"/>
    </row>
    <row r="8284" spans="2:8" x14ac:dyDescent="0.35">
      <c r="B8284"/>
      <c r="C8284"/>
      <c r="H8284"/>
    </row>
    <row r="8285" spans="2:8" x14ac:dyDescent="0.35">
      <c r="B8285"/>
      <c r="C8285"/>
      <c r="H8285"/>
    </row>
    <row r="8286" spans="2:8" x14ac:dyDescent="0.35">
      <c r="B8286"/>
      <c r="C8286"/>
      <c r="H8286"/>
    </row>
    <row r="8287" spans="2:8" x14ac:dyDescent="0.35">
      <c r="B8287"/>
      <c r="C8287"/>
      <c r="H8287"/>
    </row>
    <row r="8288" spans="2:8" x14ac:dyDescent="0.35">
      <c r="B8288"/>
      <c r="C8288"/>
      <c r="H8288"/>
    </row>
    <row r="8289" spans="2:8" x14ac:dyDescent="0.35">
      <c r="B8289"/>
      <c r="C8289"/>
      <c r="H8289"/>
    </row>
    <row r="8290" spans="2:8" x14ac:dyDescent="0.35">
      <c r="B8290"/>
      <c r="C8290"/>
      <c r="H8290"/>
    </row>
    <row r="8291" spans="2:8" x14ac:dyDescent="0.35">
      <c r="B8291"/>
      <c r="C8291"/>
      <c r="H8291"/>
    </row>
    <row r="8292" spans="2:8" x14ac:dyDescent="0.35">
      <c r="B8292"/>
      <c r="C8292"/>
      <c r="H8292"/>
    </row>
    <row r="8293" spans="2:8" x14ac:dyDescent="0.35">
      <c r="B8293"/>
      <c r="C8293"/>
      <c r="H8293"/>
    </row>
    <row r="8294" spans="2:8" x14ac:dyDescent="0.35">
      <c r="B8294"/>
      <c r="C8294"/>
      <c r="H8294"/>
    </row>
    <row r="8295" spans="2:8" x14ac:dyDescent="0.35">
      <c r="B8295"/>
      <c r="C8295"/>
      <c r="H8295"/>
    </row>
    <row r="8296" spans="2:8" x14ac:dyDescent="0.35">
      <c r="B8296"/>
      <c r="C8296"/>
      <c r="H8296"/>
    </row>
    <row r="8297" spans="2:8" x14ac:dyDescent="0.35">
      <c r="B8297"/>
      <c r="C8297"/>
      <c r="H8297"/>
    </row>
    <row r="8298" spans="2:8" x14ac:dyDescent="0.35">
      <c r="B8298"/>
      <c r="C8298"/>
      <c r="H8298"/>
    </row>
    <row r="8299" spans="2:8" x14ac:dyDescent="0.35">
      <c r="B8299"/>
      <c r="C8299"/>
      <c r="H8299"/>
    </row>
    <row r="8300" spans="2:8" x14ac:dyDescent="0.35">
      <c r="B8300"/>
      <c r="C8300"/>
      <c r="H8300"/>
    </row>
    <row r="8301" spans="2:8" x14ac:dyDescent="0.35">
      <c r="B8301"/>
      <c r="C8301"/>
      <c r="H8301"/>
    </row>
    <row r="8302" spans="2:8" x14ac:dyDescent="0.35">
      <c r="B8302"/>
      <c r="C8302"/>
      <c r="H8302"/>
    </row>
    <row r="8303" spans="2:8" x14ac:dyDescent="0.35">
      <c r="B8303"/>
      <c r="C8303"/>
      <c r="H8303"/>
    </row>
    <row r="8304" spans="2:8" x14ac:dyDescent="0.35">
      <c r="B8304"/>
      <c r="C8304"/>
      <c r="H8304"/>
    </row>
    <row r="8305" spans="2:8" x14ac:dyDescent="0.35">
      <c r="B8305"/>
      <c r="C8305"/>
      <c r="H8305"/>
    </row>
    <row r="8306" spans="2:8" x14ac:dyDescent="0.35">
      <c r="B8306"/>
      <c r="C8306"/>
      <c r="H8306"/>
    </row>
    <row r="8307" spans="2:8" x14ac:dyDescent="0.35">
      <c r="B8307"/>
      <c r="C8307"/>
      <c r="H8307"/>
    </row>
    <row r="8308" spans="2:8" x14ac:dyDescent="0.35">
      <c r="B8308"/>
      <c r="C8308"/>
      <c r="H8308"/>
    </row>
    <row r="8309" spans="2:8" x14ac:dyDescent="0.35">
      <c r="B8309"/>
      <c r="C8309"/>
      <c r="H8309"/>
    </row>
    <row r="8310" spans="2:8" x14ac:dyDescent="0.35">
      <c r="B8310"/>
      <c r="C8310"/>
      <c r="H8310"/>
    </row>
    <row r="8311" spans="2:8" x14ac:dyDescent="0.35">
      <c r="B8311"/>
      <c r="C8311"/>
      <c r="H8311"/>
    </row>
    <row r="8312" spans="2:8" x14ac:dyDescent="0.35">
      <c r="B8312"/>
      <c r="C8312"/>
      <c r="H8312"/>
    </row>
    <row r="8313" spans="2:8" x14ac:dyDescent="0.35">
      <c r="B8313"/>
      <c r="C8313"/>
      <c r="H8313"/>
    </row>
    <row r="8314" spans="2:8" x14ac:dyDescent="0.35">
      <c r="B8314"/>
      <c r="C8314"/>
      <c r="H8314"/>
    </row>
    <row r="8315" spans="2:8" x14ac:dyDescent="0.35">
      <c r="B8315"/>
      <c r="C8315"/>
      <c r="H8315"/>
    </row>
    <row r="8316" spans="2:8" x14ac:dyDescent="0.35">
      <c r="B8316"/>
      <c r="C8316"/>
      <c r="H8316"/>
    </row>
    <row r="8317" spans="2:8" x14ac:dyDescent="0.35">
      <c r="B8317"/>
      <c r="C8317"/>
      <c r="H8317"/>
    </row>
    <row r="8318" spans="2:8" x14ac:dyDescent="0.35">
      <c r="B8318"/>
      <c r="C8318"/>
      <c r="H8318"/>
    </row>
    <row r="8319" spans="2:8" x14ac:dyDescent="0.35">
      <c r="B8319"/>
      <c r="C8319"/>
      <c r="H8319"/>
    </row>
    <row r="8320" spans="2:8" x14ac:dyDescent="0.35">
      <c r="B8320"/>
      <c r="C8320"/>
      <c r="H8320"/>
    </row>
    <row r="8321" spans="2:8" x14ac:dyDescent="0.35">
      <c r="B8321"/>
      <c r="C8321"/>
      <c r="H8321"/>
    </row>
    <row r="8322" spans="2:8" x14ac:dyDescent="0.35">
      <c r="B8322"/>
      <c r="C8322"/>
      <c r="H8322"/>
    </row>
    <row r="8323" spans="2:8" x14ac:dyDescent="0.35">
      <c r="B8323"/>
      <c r="C8323"/>
      <c r="H8323"/>
    </row>
    <row r="8324" spans="2:8" x14ac:dyDescent="0.35">
      <c r="B8324"/>
      <c r="C8324"/>
      <c r="H8324"/>
    </row>
    <row r="8325" spans="2:8" x14ac:dyDescent="0.35">
      <c r="B8325"/>
      <c r="C8325"/>
      <c r="H8325"/>
    </row>
    <row r="8326" spans="2:8" x14ac:dyDescent="0.35">
      <c r="B8326"/>
      <c r="C8326"/>
      <c r="H8326"/>
    </row>
    <row r="8327" spans="2:8" x14ac:dyDescent="0.35">
      <c r="B8327"/>
      <c r="C8327"/>
      <c r="H8327"/>
    </row>
    <row r="8328" spans="2:8" x14ac:dyDescent="0.35">
      <c r="B8328"/>
      <c r="C8328"/>
      <c r="H8328"/>
    </row>
    <row r="8329" spans="2:8" x14ac:dyDescent="0.35">
      <c r="B8329"/>
      <c r="C8329"/>
      <c r="H8329"/>
    </row>
    <row r="8330" spans="2:8" x14ac:dyDescent="0.35">
      <c r="B8330"/>
      <c r="C8330"/>
      <c r="H8330"/>
    </row>
    <row r="8331" spans="2:8" x14ac:dyDescent="0.35">
      <c r="B8331"/>
      <c r="C8331"/>
      <c r="H8331"/>
    </row>
    <row r="8332" spans="2:8" x14ac:dyDescent="0.35">
      <c r="B8332"/>
      <c r="C8332"/>
      <c r="H8332"/>
    </row>
    <row r="8333" spans="2:8" x14ac:dyDescent="0.35">
      <c r="B8333"/>
      <c r="C8333"/>
      <c r="H8333"/>
    </row>
    <row r="8334" spans="2:8" x14ac:dyDescent="0.35">
      <c r="B8334"/>
      <c r="C8334"/>
      <c r="H8334"/>
    </row>
    <row r="8335" spans="2:8" x14ac:dyDescent="0.35">
      <c r="B8335"/>
      <c r="C8335"/>
      <c r="H8335"/>
    </row>
    <row r="8336" spans="2:8" x14ac:dyDescent="0.35">
      <c r="B8336"/>
      <c r="C8336"/>
      <c r="H8336"/>
    </row>
    <row r="8337" spans="2:8" x14ac:dyDescent="0.35">
      <c r="B8337"/>
      <c r="C8337"/>
      <c r="H8337"/>
    </row>
    <row r="8338" spans="2:8" x14ac:dyDescent="0.35">
      <c r="B8338"/>
      <c r="C8338"/>
      <c r="H8338"/>
    </row>
    <row r="8339" spans="2:8" x14ac:dyDescent="0.35">
      <c r="B8339"/>
      <c r="C8339"/>
      <c r="H8339"/>
    </row>
    <row r="8340" spans="2:8" x14ac:dyDescent="0.35">
      <c r="B8340"/>
      <c r="C8340"/>
      <c r="H8340"/>
    </row>
    <row r="8341" spans="2:8" x14ac:dyDescent="0.35">
      <c r="B8341"/>
      <c r="C8341"/>
      <c r="H8341"/>
    </row>
    <row r="8342" spans="2:8" x14ac:dyDescent="0.35">
      <c r="B8342"/>
      <c r="C8342"/>
      <c r="H8342"/>
    </row>
    <row r="8343" spans="2:8" x14ac:dyDescent="0.35">
      <c r="B8343"/>
      <c r="C8343"/>
      <c r="H8343"/>
    </row>
    <row r="8344" spans="2:8" x14ac:dyDescent="0.35">
      <c r="B8344"/>
      <c r="C8344"/>
      <c r="H8344"/>
    </row>
    <row r="8345" spans="2:8" x14ac:dyDescent="0.35">
      <c r="B8345"/>
      <c r="C8345"/>
      <c r="H8345"/>
    </row>
    <row r="8346" spans="2:8" x14ac:dyDescent="0.35">
      <c r="B8346"/>
      <c r="C8346"/>
      <c r="H8346"/>
    </row>
    <row r="8347" spans="2:8" x14ac:dyDescent="0.35">
      <c r="B8347"/>
      <c r="C8347"/>
      <c r="H8347"/>
    </row>
    <row r="8348" spans="2:8" x14ac:dyDescent="0.35">
      <c r="B8348"/>
      <c r="C8348"/>
      <c r="H8348"/>
    </row>
    <row r="8349" spans="2:8" x14ac:dyDescent="0.35">
      <c r="B8349"/>
      <c r="C8349"/>
      <c r="H8349"/>
    </row>
    <row r="8350" spans="2:8" x14ac:dyDescent="0.35">
      <c r="B8350"/>
      <c r="C8350"/>
      <c r="H8350"/>
    </row>
    <row r="8351" spans="2:8" x14ac:dyDescent="0.35">
      <c r="B8351"/>
      <c r="C8351"/>
      <c r="H8351"/>
    </row>
    <row r="8352" spans="2:8" x14ac:dyDescent="0.35">
      <c r="B8352"/>
      <c r="C8352"/>
      <c r="H8352"/>
    </row>
    <row r="8353" spans="2:8" x14ac:dyDescent="0.35">
      <c r="B8353"/>
      <c r="C8353"/>
      <c r="H8353"/>
    </row>
    <row r="8354" spans="2:8" x14ac:dyDescent="0.35">
      <c r="B8354"/>
      <c r="C8354"/>
      <c r="H8354"/>
    </row>
    <row r="8355" spans="2:8" x14ac:dyDescent="0.35">
      <c r="B8355"/>
      <c r="C8355"/>
      <c r="H8355"/>
    </row>
    <row r="8356" spans="2:8" x14ac:dyDescent="0.35">
      <c r="B8356"/>
      <c r="C8356"/>
      <c r="H8356"/>
    </row>
    <row r="8357" spans="2:8" x14ac:dyDescent="0.35">
      <c r="B8357"/>
      <c r="C8357"/>
      <c r="H8357"/>
    </row>
    <row r="8358" spans="2:8" x14ac:dyDescent="0.35">
      <c r="B8358"/>
      <c r="C8358"/>
      <c r="H8358"/>
    </row>
    <row r="8359" spans="2:8" x14ac:dyDescent="0.35">
      <c r="B8359"/>
      <c r="C8359"/>
      <c r="H8359"/>
    </row>
    <row r="8360" spans="2:8" x14ac:dyDescent="0.35">
      <c r="B8360"/>
      <c r="C8360"/>
      <c r="H8360"/>
    </row>
    <row r="8361" spans="2:8" x14ac:dyDescent="0.35">
      <c r="B8361"/>
      <c r="C8361"/>
      <c r="H8361"/>
    </row>
    <row r="8362" spans="2:8" x14ac:dyDescent="0.35">
      <c r="B8362"/>
      <c r="C8362"/>
      <c r="H8362"/>
    </row>
    <row r="8363" spans="2:8" x14ac:dyDescent="0.35">
      <c r="B8363"/>
      <c r="C8363"/>
      <c r="H8363"/>
    </row>
    <row r="8364" spans="2:8" x14ac:dyDescent="0.35">
      <c r="B8364"/>
      <c r="C8364"/>
      <c r="H8364"/>
    </row>
    <row r="8365" spans="2:8" x14ac:dyDescent="0.35">
      <c r="B8365"/>
      <c r="C8365"/>
      <c r="H8365"/>
    </row>
    <row r="8366" spans="2:8" x14ac:dyDescent="0.35">
      <c r="B8366"/>
      <c r="C8366"/>
      <c r="H8366"/>
    </row>
    <row r="8367" spans="2:8" x14ac:dyDescent="0.35">
      <c r="B8367"/>
      <c r="C8367"/>
      <c r="H8367"/>
    </row>
    <row r="8368" spans="2:8" x14ac:dyDescent="0.35">
      <c r="B8368"/>
      <c r="C8368"/>
      <c r="H8368"/>
    </row>
    <row r="8369" spans="2:8" x14ac:dyDescent="0.35">
      <c r="B8369"/>
      <c r="C8369"/>
      <c r="H8369"/>
    </row>
    <row r="8370" spans="2:8" x14ac:dyDescent="0.35">
      <c r="B8370"/>
      <c r="C8370"/>
      <c r="H8370"/>
    </row>
    <row r="8371" spans="2:8" x14ac:dyDescent="0.35">
      <c r="B8371"/>
      <c r="C8371"/>
      <c r="H8371"/>
    </row>
    <row r="8372" spans="2:8" x14ac:dyDescent="0.35">
      <c r="B8372"/>
      <c r="C8372"/>
      <c r="H8372"/>
    </row>
    <row r="8373" spans="2:8" x14ac:dyDescent="0.35">
      <c r="B8373"/>
      <c r="C8373"/>
      <c r="H8373"/>
    </row>
    <row r="8374" spans="2:8" x14ac:dyDescent="0.35">
      <c r="B8374"/>
      <c r="C8374"/>
      <c r="H8374"/>
    </row>
    <row r="8375" spans="2:8" x14ac:dyDescent="0.35">
      <c r="B8375"/>
      <c r="C8375"/>
      <c r="H8375"/>
    </row>
    <row r="8376" spans="2:8" x14ac:dyDescent="0.35">
      <c r="B8376"/>
      <c r="C8376"/>
      <c r="H8376"/>
    </row>
    <row r="8377" spans="2:8" x14ac:dyDescent="0.35">
      <c r="B8377"/>
      <c r="C8377"/>
      <c r="H8377"/>
    </row>
    <row r="8378" spans="2:8" x14ac:dyDescent="0.35">
      <c r="B8378"/>
      <c r="C8378"/>
      <c r="H8378"/>
    </row>
    <row r="8379" spans="2:8" x14ac:dyDescent="0.35">
      <c r="B8379"/>
      <c r="C8379"/>
      <c r="H8379"/>
    </row>
    <row r="8380" spans="2:8" x14ac:dyDescent="0.35">
      <c r="B8380"/>
      <c r="C8380"/>
      <c r="H8380"/>
    </row>
    <row r="8381" spans="2:8" x14ac:dyDescent="0.35">
      <c r="B8381"/>
      <c r="C8381"/>
      <c r="H8381"/>
    </row>
    <row r="8382" spans="2:8" x14ac:dyDescent="0.35">
      <c r="B8382"/>
      <c r="C8382"/>
      <c r="H8382"/>
    </row>
    <row r="8383" spans="2:8" x14ac:dyDescent="0.35">
      <c r="B8383"/>
      <c r="C8383"/>
      <c r="H8383"/>
    </row>
    <row r="8384" spans="2:8" x14ac:dyDescent="0.35">
      <c r="B8384"/>
      <c r="C8384"/>
      <c r="H8384"/>
    </row>
    <row r="8385" spans="2:8" x14ac:dyDescent="0.35">
      <c r="B8385"/>
      <c r="C8385"/>
      <c r="H8385"/>
    </row>
    <row r="8386" spans="2:8" x14ac:dyDescent="0.35">
      <c r="B8386"/>
      <c r="C8386"/>
      <c r="H8386"/>
    </row>
    <row r="8387" spans="2:8" x14ac:dyDescent="0.35">
      <c r="B8387"/>
      <c r="C8387"/>
      <c r="H8387"/>
    </row>
    <row r="8388" spans="2:8" x14ac:dyDescent="0.35">
      <c r="B8388"/>
      <c r="C8388"/>
      <c r="H8388"/>
    </row>
    <row r="8389" spans="2:8" x14ac:dyDescent="0.35">
      <c r="B8389"/>
      <c r="C8389"/>
      <c r="H8389"/>
    </row>
    <row r="8390" spans="2:8" x14ac:dyDescent="0.35">
      <c r="B8390"/>
      <c r="C8390"/>
      <c r="H8390"/>
    </row>
    <row r="8391" spans="2:8" x14ac:dyDescent="0.35">
      <c r="B8391"/>
      <c r="C8391"/>
      <c r="H8391"/>
    </row>
    <row r="8392" spans="2:8" x14ac:dyDescent="0.35">
      <c r="B8392"/>
      <c r="C8392"/>
      <c r="H8392"/>
    </row>
    <row r="8393" spans="2:8" x14ac:dyDescent="0.35">
      <c r="B8393"/>
      <c r="C8393"/>
      <c r="H8393"/>
    </row>
    <row r="8394" spans="2:8" x14ac:dyDescent="0.35">
      <c r="B8394"/>
      <c r="C8394"/>
      <c r="H8394"/>
    </row>
    <row r="8395" spans="2:8" x14ac:dyDescent="0.35">
      <c r="B8395"/>
      <c r="C8395"/>
      <c r="H8395"/>
    </row>
    <row r="8396" spans="2:8" x14ac:dyDescent="0.35">
      <c r="B8396"/>
      <c r="C8396"/>
      <c r="H8396"/>
    </row>
    <row r="8397" spans="2:8" x14ac:dyDescent="0.35">
      <c r="B8397"/>
      <c r="C8397"/>
      <c r="H8397"/>
    </row>
    <row r="8398" spans="2:8" x14ac:dyDescent="0.35">
      <c r="B8398"/>
      <c r="C8398"/>
      <c r="H8398"/>
    </row>
    <row r="8399" spans="2:8" x14ac:dyDescent="0.35">
      <c r="B8399"/>
      <c r="C8399"/>
      <c r="H8399"/>
    </row>
    <row r="8400" spans="2:8" x14ac:dyDescent="0.35">
      <c r="B8400"/>
      <c r="C8400"/>
      <c r="H8400"/>
    </row>
    <row r="8401" spans="2:8" x14ac:dyDescent="0.35">
      <c r="B8401"/>
      <c r="C8401"/>
      <c r="H8401"/>
    </row>
    <row r="8402" spans="2:8" x14ac:dyDescent="0.35">
      <c r="B8402"/>
      <c r="C8402"/>
      <c r="H8402"/>
    </row>
    <row r="8403" spans="2:8" x14ac:dyDescent="0.35">
      <c r="B8403"/>
      <c r="C8403"/>
      <c r="H8403"/>
    </row>
    <row r="8404" spans="2:8" x14ac:dyDescent="0.35">
      <c r="B8404"/>
      <c r="C8404"/>
      <c r="H8404"/>
    </row>
    <row r="8405" spans="2:8" x14ac:dyDescent="0.35">
      <c r="B8405"/>
      <c r="C8405"/>
      <c r="H8405"/>
    </row>
    <row r="8406" spans="2:8" x14ac:dyDescent="0.35">
      <c r="B8406"/>
      <c r="C8406"/>
      <c r="H8406"/>
    </row>
    <row r="8407" spans="2:8" x14ac:dyDescent="0.35">
      <c r="B8407"/>
      <c r="C8407"/>
      <c r="H8407"/>
    </row>
    <row r="8408" spans="2:8" x14ac:dyDescent="0.35">
      <c r="B8408"/>
      <c r="C8408"/>
      <c r="H8408"/>
    </row>
    <row r="8409" spans="2:8" x14ac:dyDescent="0.35">
      <c r="B8409"/>
      <c r="C8409"/>
      <c r="H8409"/>
    </row>
    <row r="8410" spans="2:8" x14ac:dyDescent="0.35">
      <c r="B8410"/>
      <c r="C8410"/>
      <c r="H8410"/>
    </row>
    <row r="8411" spans="2:8" x14ac:dyDescent="0.35">
      <c r="B8411"/>
      <c r="C8411"/>
      <c r="H8411"/>
    </row>
    <row r="8412" spans="2:8" x14ac:dyDescent="0.35">
      <c r="B8412"/>
      <c r="C8412"/>
      <c r="H8412"/>
    </row>
    <row r="8413" spans="2:8" x14ac:dyDescent="0.35">
      <c r="B8413"/>
      <c r="C8413"/>
      <c r="H8413"/>
    </row>
    <row r="8414" spans="2:8" x14ac:dyDescent="0.35">
      <c r="B8414"/>
      <c r="C8414"/>
      <c r="H8414"/>
    </row>
    <row r="8415" spans="2:8" x14ac:dyDescent="0.35">
      <c r="B8415"/>
      <c r="C8415"/>
      <c r="H8415"/>
    </row>
    <row r="8416" spans="2:8" x14ac:dyDescent="0.35">
      <c r="B8416"/>
      <c r="C8416"/>
      <c r="H8416"/>
    </row>
    <row r="8417" spans="2:8" x14ac:dyDescent="0.35">
      <c r="B8417"/>
      <c r="C8417"/>
      <c r="H8417"/>
    </row>
    <row r="8418" spans="2:8" x14ac:dyDescent="0.35">
      <c r="B8418"/>
      <c r="C8418"/>
      <c r="H8418"/>
    </row>
    <row r="8419" spans="2:8" x14ac:dyDescent="0.35">
      <c r="B8419"/>
      <c r="C8419"/>
      <c r="H8419"/>
    </row>
    <row r="8420" spans="2:8" x14ac:dyDescent="0.35">
      <c r="B8420"/>
      <c r="C8420"/>
      <c r="H8420"/>
    </row>
    <row r="8421" spans="2:8" x14ac:dyDescent="0.35">
      <c r="B8421"/>
      <c r="C8421"/>
      <c r="H8421"/>
    </row>
    <row r="8422" spans="2:8" x14ac:dyDescent="0.35">
      <c r="B8422"/>
      <c r="C8422"/>
      <c r="H8422"/>
    </row>
    <row r="8423" spans="2:8" x14ac:dyDescent="0.35">
      <c r="B8423"/>
      <c r="C8423"/>
      <c r="H8423"/>
    </row>
    <row r="8424" spans="2:8" x14ac:dyDescent="0.35">
      <c r="B8424"/>
      <c r="C8424"/>
      <c r="H8424"/>
    </row>
    <row r="8425" spans="2:8" x14ac:dyDescent="0.35">
      <c r="B8425"/>
      <c r="C8425"/>
      <c r="H8425"/>
    </row>
    <row r="8426" spans="2:8" x14ac:dyDescent="0.35">
      <c r="B8426"/>
      <c r="C8426"/>
      <c r="H8426"/>
    </row>
    <row r="8427" spans="2:8" x14ac:dyDescent="0.35">
      <c r="B8427"/>
      <c r="C8427"/>
      <c r="H8427"/>
    </row>
    <row r="8428" spans="2:8" x14ac:dyDescent="0.35">
      <c r="B8428"/>
      <c r="C8428"/>
      <c r="H8428"/>
    </row>
    <row r="8429" spans="2:8" x14ac:dyDescent="0.35">
      <c r="B8429"/>
      <c r="C8429"/>
      <c r="H8429"/>
    </row>
    <row r="8430" spans="2:8" x14ac:dyDescent="0.35">
      <c r="B8430"/>
      <c r="C8430"/>
      <c r="H8430"/>
    </row>
    <row r="8431" spans="2:8" x14ac:dyDescent="0.35">
      <c r="B8431"/>
      <c r="C8431"/>
      <c r="H8431"/>
    </row>
    <row r="8432" spans="2:8" x14ac:dyDescent="0.35">
      <c r="B8432"/>
      <c r="C8432"/>
      <c r="H8432"/>
    </row>
    <row r="8433" spans="2:8" x14ac:dyDescent="0.35">
      <c r="B8433"/>
      <c r="C8433"/>
      <c r="H8433"/>
    </row>
    <row r="8434" spans="2:8" x14ac:dyDescent="0.35">
      <c r="B8434"/>
      <c r="C8434"/>
      <c r="H8434"/>
    </row>
    <row r="8435" spans="2:8" x14ac:dyDescent="0.35">
      <c r="B8435"/>
      <c r="C8435"/>
      <c r="H8435"/>
    </row>
    <row r="8436" spans="2:8" x14ac:dyDescent="0.35">
      <c r="B8436"/>
      <c r="C8436"/>
      <c r="H8436"/>
    </row>
    <row r="8437" spans="2:8" x14ac:dyDescent="0.35">
      <c r="B8437"/>
      <c r="C8437"/>
      <c r="H8437"/>
    </row>
    <row r="8438" spans="2:8" x14ac:dyDescent="0.35">
      <c r="B8438"/>
      <c r="C8438"/>
      <c r="H8438"/>
    </row>
    <row r="8439" spans="2:8" x14ac:dyDescent="0.35">
      <c r="B8439"/>
      <c r="C8439"/>
      <c r="H8439"/>
    </row>
    <row r="8440" spans="2:8" x14ac:dyDescent="0.35">
      <c r="B8440"/>
      <c r="C8440"/>
      <c r="H8440"/>
    </row>
    <row r="8441" spans="2:8" x14ac:dyDescent="0.35">
      <c r="B8441"/>
      <c r="C8441"/>
      <c r="H8441"/>
    </row>
    <row r="8442" spans="2:8" x14ac:dyDescent="0.35">
      <c r="B8442"/>
      <c r="C8442"/>
      <c r="H8442"/>
    </row>
    <row r="8443" spans="2:8" x14ac:dyDescent="0.35">
      <c r="B8443"/>
      <c r="C8443"/>
      <c r="H8443"/>
    </row>
    <row r="8444" spans="2:8" x14ac:dyDescent="0.35">
      <c r="B8444"/>
      <c r="C8444"/>
      <c r="H8444"/>
    </row>
    <row r="8445" spans="2:8" x14ac:dyDescent="0.35">
      <c r="B8445"/>
      <c r="C8445"/>
      <c r="H8445"/>
    </row>
    <row r="8446" spans="2:8" x14ac:dyDescent="0.35">
      <c r="B8446"/>
      <c r="C8446"/>
      <c r="H8446"/>
    </row>
    <row r="8447" spans="2:8" x14ac:dyDescent="0.35">
      <c r="B8447"/>
      <c r="C8447"/>
      <c r="H8447"/>
    </row>
    <row r="8448" spans="2:8" x14ac:dyDescent="0.35">
      <c r="B8448"/>
      <c r="C8448"/>
      <c r="H8448"/>
    </row>
    <row r="8449" spans="2:8" x14ac:dyDescent="0.35">
      <c r="B8449"/>
      <c r="C8449"/>
      <c r="H8449"/>
    </row>
    <row r="8450" spans="2:8" x14ac:dyDescent="0.35">
      <c r="B8450"/>
      <c r="C8450"/>
      <c r="H8450"/>
    </row>
    <row r="8451" spans="2:8" x14ac:dyDescent="0.35">
      <c r="B8451"/>
      <c r="C8451"/>
      <c r="H8451"/>
    </row>
    <row r="8452" spans="2:8" x14ac:dyDescent="0.35">
      <c r="B8452"/>
      <c r="C8452"/>
      <c r="H8452"/>
    </row>
    <row r="8453" spans="2:8" x14ac:dyDescent="0.35">
      <c r="B8453"/>
      <c r="C8453"/>
      <c r="H8453"/>
    </row>
    <row r="8454" spans="2:8" x14ac:dyDescent="0.35">
      <c r="B8454"/>
      <c r="C8454"/>
      <c r="H8454"/>
    </row>
    <row r="8455" spans="2:8" x14ac:dyDescent="0.35">
      <c r="B8455"/>
      <c r="C8455"/>
      <c r="H8455"/>
    </row>
    <row r="8456" spans="2:8" x14ac:dyDescent="0.35">
      <c r="B8456"/>
      <c r="C8456"/>
      <c r="H8456"/>
    </row>
    <row r="8457" spans="2:8" x14ac:dyDescent="0.35">
      <c r="B8457"/>
      <c r="C8457"/>
      <c r="H8457"/>
    </row>
    <row r="8458" spans="2:8" x14ac:dyDescent="0.35">
      <c r="B8458"/>
      <c r="C8458"/>
      <c r="H8458"/>
    </row>
    <row r="8459" spans="2:8" x14ac:dyDescent="0.35">
      <c r="B8459"/>
      <c r="C8459"/>
      <c r="H8459"/>
    </row>
    <row r="8460" spans="2:8" x14ac:dyDescent="0.35">
      <c r="B8460"/>
      <c r="C8460"/>
      <c r="H8460"/>
    </row>
    <row r="8461" spans="2:8" x14ac:dyDescent="0.35">
      <c r="B8461"/>
      <c r="C8461"/>
      <c r="H8461"/>
    </row>
    <row r="8462" spans="2:8" x14ac:dyDescent="0.35">
      <c r="B8462"/>
      <c r="C8462"/>
      <c r="H8462"/>
    </row>
    <row r="8463" spans="2:8" x14ac:dyDescent="0.35">
      <c r="B8463"/>
      <c r="C8463"/>
      <c r="H8463"/>
    </row>
    <row r="8464" spans="2:8" x14ac:dyDescent="0.35">
      <c r="B8464"/>
      <c r="C8464"/>
      <c r="H8464"/>
    </row>
    <row r="8465" spans="2:8" x14ac:dyDescent="0.35">
      <c r="B8465"/>
      <c r="C8465"/>
      <c r="H8465"/>
    </row>
    <row r="8466" spans="2:8" x14ac:dyDescent="0.35">
      <c r="B8466"/>
      <c r="C8466"/>
      <c r="H8466"/>
    </row>
    <row r="8467" spans="2:8" x14ac:dyDescent="0.35">
      <c r="B8467"/>
      <c r="C8467"/>
      <c r="H8467"/>
    </row>
    <row r="8468" spans="2:8" x14ac:dyDescent="0.35">
      <c r="B8468"/>
      <c r="C8468"/>
      <c r="H8468"/>
    </row>
    <row r="8469" spans="2:8" x14ac:dyDescent="0.35">
      <c r="B8469"/>
      <c r="C8469"/>
      <c r="H8469"/>
    </row>
    <row r="8470" spans="2:8" x14ac:dyDescent="0.35">
      <c r="B8470"/>
      <c r="C8470"/>
      <c r="H8470"/>
    </row>
    <row r="8471" spans="2:8" x14ac:dyDescent="0.35">
      <c r="B8471"/>
      <c r="C8471"/>
      <c r="H8471"/>
    </row>
    <row r="8472" spans="2:8" x14ac:dyDescent="0.35">
      <c r="B8472"/>
      <c r="C8472"/>
      <c r="H8472"/>
    </row>
    <row r="8473" spans="2:8" x14ac:dyDescent="0.35">
      <c r="B8473"/>
      <c r="C8473"/>
      <c r="H8473"/>
    </row>
    <row r="8474" spans="2:8" x14ac:dyDescent="0.35">
      <c r="B8474"/>
      <c r="C8474"/>
      <c r="H8474"/>
    </row>
    <row r="8475" spans="2:8" x14ac:dyDescent="0.35">
      <c r="B8475"/>
      <c r="C8475"/>
      <c r="H8475"/>
    </row>
    <row r="8476" spans="2:8" x14ac:dyDescent="0.35">
      <c r="B8476"/>
      <c r="C8476"/>
      <c r="H8476"/>
    </row>
    <row r="8477" spans="2:8" x14ac:dyDescent="0.35">
      <c r="B8477"/>
      <c r="C8477"/>
      <c r="H8477"/>
    </row>
    <row r="8478" spans="2:8" x14ac:dyDescent="0.35">
      <c r="B8478"/>
      <c r="C8478"/>
      <c r="H8478"/>
    </row>
    <row r="8479" spans="2:8" x14ac:dyDescent="0.35">
      <c r="B8479"/>
      <c r="C8479"/>
      <c r="H8479"/>
    </row>
    <row r="8480" spans="2:8" x14ac:dyDescent="0.35">
      <c r="B8480"/>
      <c r="C8480"/>
      <c r="H8480"/>
    </row>
    <row r="8481" spans="2:8" x14ac:dyDescent="0.35">
      <c r="B8481"/>
      <c r="C8481"/>
      <c r="H8481"/>
    </row>
    <row r="8482" spans="2:8" x14ac:dyDescent="0.35">
      <c r="B8482"/>
      <c r="C8482"/>
      <c r="H8482"/>
    </row>
    <row r="8483" spans="2:8" x14ac:dyDescent="0.35">
      <c r="B8483"/>
      <c r="C8483"/>
      <c r="H8483"/>
    </row>
    <row r="8484" spans="2:8" x14ac:dyDescent="0.35">
      <c r="B8484"/>
      <c r="C8484"/>
      <c r="H8484"/>
    </row>
    <row r="8485" spans="2:8" x14ac:dyDescent="0.35">
      <c r="B8485"/>
      <c r="C8485"/>
      <c r="H8485"/>
    </row>
    <row r="8486" spans="2:8" x14ac:dyDescent="0.35">
      <c r="B8486"/>
      <c r="C8486"/>
      <c r="H8486"/>
    </row>
    <row r="8487" spans="2:8" x14ac:dyDescent="0.35">
      <c r="B8487"/>
      <c r="C8487"/>
      <c r="H8487"/>
    </row>
    <row r="8488" spans="2:8" x14ac:dyDescent="0.35">
      <c r="B8488"/>
      <c r="C8488"/>
      <c r="H8488"/>
    </row>
    <row r="8489" spans="2:8" x14ac:dyDescent="0.35">
      <c r="B8489"/>
      <c r="C8489"/>
      <c r="H8489"/>
    </row>
    <row r="8490" spans="2:8" x14ac:dyDescent="0.35">
      <c r="B8490"/>
      <c r="C8490"/>
      <c r="H8490"/>
    </row>
    <row r="8491" spans="2:8" x14ac:dyDescent="0.35">
      <c r="B8491"/>
      <c r="C8491"/>
      <c r="H8491"/>
    </row>
    <row r="8492" spans="2:8" x14ac:dyDescent="0.35">
      <c r="B8492"/>
      <c r="C8492"/>
      <c r="H8492"/>
    </row>
    <row r="8493" spans="2:8" x14ac:dyDescent="0.35">
      <c r="B8493"/>
      <c r="C8493"/>
      <c r="H8493"/>
    </row>
    <row r="8494" spans="2:8" x14ac:dyDescent="0.35">
      <c r="B8494"/>
      <c r="C8494"/>
      <c r="H8494"/>
    </row>
    <row r="8495" spans="2:8" x14ac:dyDescent="0.35">
      <c r="B8495"/>
      <c r="C8495"/>
      <c r="H8495"/>
    </row>
    <row r="8496" spans="2:8" x14ac:dyDescent="0.35">
      <c r="B8496"/>
      <c r="C8496"/>
      <c r="H8496"/>
    </row>
    <row r="8497" spans="2:8" x14ac:dyDescent="0.35">
      <c r="B8497"/>
      <c r="C8497"/>
      <c r="H8497"/>
    </row>
    <row r="8498" spans="2:8" x14ac:dyDescent="0.35">
      <c r="B8498"/>
      <c r="C8498"/>
      <c r="H8498"/>
    </row>
    <row r="8499" spans="2:8" x14ac:dyDescent="0.35">
      <c r="B8499"/>
      <c r="C8499"/>
      <c r="H8499"/>
    </row>
    <row r="8500" spans="2:8" x14ac:dyDescent="0.35">
      <c r="B8500"/>
      <c r="C8500"/>
      <c r="H8500"/>
    </row>
    <row r="8501" spans="2:8" x14ac:dyDescent="0.35">
      <c r="B8501"/>
      <c r="C8501"/>
      <c r="H8501"/>
    </row>
    <row r="8502" spans="2:8" x14ac:dyDescent="0.35">
      <c r="B8502"/>
      <c r="C8502"/>
      <c r="H8502"/>
    </row>
    <row r="8503" spans="2:8" x14ac:dyDescent="0.35">
      <c r="B8503"/>
      <c r="C8503"/>
      <c r="H8503"/>
    </row>
    <row r="8504" spans="2:8" x14ac:dyDescent="0.35">
      <c r="B8504"/>
      <c r="C8504"/>
      <c r="H8504"/>
    </row>
    <row r="8505" spans="2:8" x14ac:dyDescent="0.35">
      <c r="B8505"/>
      <c r="C8505"/>
      <c r="H8505"/>
    </row>
    <row r="8506" spans="2:8" x14ac:dyDescent="0.35">
      <c r="B8506"/>
      <c r="C8506"/>
      <c r="H8506"/>
    </row>
    <row r="8507" spans="2:8" x14ac:dyDescent="0.35">
      <c r="B8507"/>
      <c r="C8507"/>
      <c r="H8507"/>
    </row>
    <row r="8508" spans="2:8" x14ac:dyDescent="0.35">
      <c r="B8508"/>
      <c r="C8508"/>
      <c r="H8508"/>
    </row>
    <row r="8509" spans="2:8" x14ac:dyDescent="0.35">
      <c r="B8509"/>
      <c r="C8509"/>
      <c r="H8509"/>
    </row>
    <row r="8510" spans="2:8" x14ac:dyDescent="0.35">
      <c r="B8510"/>
      <c r="C8510"/>
      <c r="H8510"/>
    </row>
    <row r="8511" spans="2:8" x14ac:dyDescent="0.35">
      <c r="B8511"/>
      <c r="C8511"/>
      <c r="H8511"/>
    </row>
    <row r="8512" spans="2:8" x14ac:dyDescent="0.35">
      <c r="B8512"/>
      <c r="C8512"/>
      <c r="H8512"/>
    </row>
    <row r="8513" spans="2:8" x14ac:dyDescent="0.35">
      <c r="B8513"/>
      <c r="C8513"/>
      <c r="H8513"/>
    </row>
    <row r="8514" spans="2:8" x14ac:dyDescent="0.35">
      <c r="B8514"/>
      <c r="C8514"/>
      <c r="H8514"/>
    </row>
    <row r="8515" spans="2:8" x14ac:dyDescent="0.35">
      <c r="B8515"/>
      <c r="C8515"/>
      <c r="H8515"/>
    </row>
    <row r="8516" spans="2:8" x14ac:dyDescent="0.35">
      <c r="B8516"/>
      <c r="C8516"/>
      <c r="H8516"/>
    </row>
    <row r="8517" spans="2:8" x14ac:dyDescent="0.35">
      <c r="B8517"/>
      <c r="C8517"/>
      <c r="H8517"/>
    </row>
    <row r="8518" spans="2:8" x14ac:dyDescent="0.35">
      <c r="B8518"/>
      <c r="C8518"/>
      <c r="H8518"/>
    </row>
    <row r="8519" spans="2:8" x14ac:dyDescent="0.35">
      <c r="B8519"/>
      <c r="C8519"/>
      <c r="H8519"/>
    </row>
    <row r="8520" spans="2:8" x14ac:dyDescent="0.35">
      <c r="B8520"/>
      <c r="C8520"/>
      <c r="H8520"/>
    </row>
    <row r="8521" spans="2:8" x14ac:dyDescent="0.35">
      <c r="B8521"/>
      <c r="C8521"/>
      <c r="H8521"/>
    </row>
    <row r="8522" spans="2:8" x14ac:dyDescent="0.35">
      <c r="B8522"/>
      <c r="C8522"/>
      <c r="H8522"/>
    </row>
    <row r="8523" spans="2:8" x14ac:dyDescent="0.35">
      <c r="B8523"/>
      <c r="C8523"/>
      <c r="H8523"/>
    </row>
    <row r="8524" spans="2:8" x14ac:dyDescent="0.35">
      <c r="B8524"/>
      <c r="C8524"/>
      <c r="H8524"/>
    </row>
    <row r="8525" spans="2:8" x14ac:dyDescent="0.35">
      <c r="B8525"/>
      <c r="C8525"/>
      <c r="H8525"/>
    </row>
    <row r="8526" spans="2:8" x14ac:dyDescent="0.35">
      <c r="B8526"/>
      <c r="C8526"/>
      <c r="H8526"/>
    </row>
    <row r="8527" spans="2:8" x14ac:dyDescent="0.35">
      <c r="B8527"/>
      <c r="C8527"/>
      <c r="H8527"/>
    </row>
    <row r="8528" spans="2:8" x14ac:dyDescent="0.35">
      <c r="B8528"/>
      <c r="C8528"/>
      <c r="H8528"/>
    </row>
    <row r="8529" spans="2:8" x14ac:dyDescent="0.35">
      <c r="B8529"/>
      <c r="C8529"/>
      <c r="H8529"/>
    </row>
    <row r="8530" spans="2:8" x14ac:dyDescent="0.35">
      <c r="B8530"/>
      <c r="C8530"/>
      <c r="H8530"/>
    </row>
    <row r="8531" spans="2:8" x14ac:dyDescent="0.35">
      <c r="B8531"/>
      <c r="C8531"/>
      <c r="H8531"/>
    </row>
    <row r="8532" spans="2:8" x14ac:dyDescent="0.35">
      <c r="B8532"/>
      <c r="C8532"/>
      <c r="H8532"/>
    </row>
    <row r="8533" spans="2:8" x14ac:dyDescent="0.35">
      <c r="B8533"/>
      <c r="C8533"/>
      <c r="H8533"/>
    </row>
    <row r="8534" spans="2:8" x14ac:dyDescent="0.35">
      <c r="B8534"/>
      <c r="C8534"/>
      <c r="H8534"/>
    </row>
    <row r="8535" spans="2:8" x14ac:dyDescent="0.35">
      <c r="B8535"/>
      <c r="C8535"/>
      <c r="H8535"/>
    </row>
    <row r="8536" spans="2:8" x14ac:dyDescent="0.35">
      <c r="B8536"/>
      <c r="C8536"/>
      <c r="H8536"/>
    </row>
    <row r="8537" spans="2:8" x14ac:dyDescent="0.35">
      <c r="B8537"/>
      <c r="C8537"/>
      <c r="H8537"/>
    </row>
    <row r="8538" spans="2:8" x14ac:dyDescent="0.35">
      <c r="B8538"/>
      <c r="C8538"/>
      <c r="H8538"/>
    </row>
    <row r="8539" spans="2:8" x14ac:dyDescent="0.35">
      <c r="B8539"/>
      <c r="C8539"/>
      <c r="H8539"/>
    </row>
    <row r="8540" spans="2:8" x14ac:dyDescent="0.35">
      <c r="B8540"/>
      <c r="C8540"/>
      <c r="H8540"/>
    </row>
    <row r="8541" spans="2:8" x14ac:dyDescent="0.35">
      <c r="B8541"/>
      <c r="C8541"/>
      <c r="H8541"/>
    </row>
    <row r="8542" spans="2:8" x14ac:dyDescent="0.35">
      <c r="B8542"/>
      <c r="C8542"/>
      <c r="H8542"/>
    </row>
    <row r="8543" spans="2:8" x14ac:dyDescent="0.35">
      <c r="B8543"/>
      <c r="C8543"/>
      <c r="H8543"/>
    </row>
    <row r="8544" spans="2:8" x14ac:dyDescent="0.35">
      <c r="B8544"/>
      <c r="C8544"/>
      <c r="H8544"/>
    </row>
    <row r="8545" spans="2:8" x14ac:dyDescent="0.35">
      <c r="B8545"/>
      <c r="C8545"/>
      <c r="H8545"/>
    </row>
    <row r="8546" spans="2:8" x14ac:dyDescent="0.35">
      <c r="B8546"/>
      <c r="C8546"/>
      <c r="H8546"/>
    </row>
    <row r="8547" spans="2:8" x14ac:dyDescent="0.35">
      <c r="B8547"/>
      <c r="C8547"/>
      <c r="H8547"/>
    </row>
    <row r="8548" spans="2:8" x14ac:dyDescent="0.35">
      <c r="B8548"/>
      <c r="C8548"/>
      <c r="H8548"/>
    </row>
    <row r="8549" spans="2:8" x14ac:dyDescent="0.35">
      <c r="B8549"/>
      <c r="C8549"/>
      <c r="H8549"/>
    </row>
    <row r="8550" spans="2:8" x14ac:dyDescent="0.35">
      <c r="B8550"/>
      <c r="C8550"/>
      <c r="H8550"/>
    </row>
    <row r="8551" spans="2:8" x14ac:dyDescent="0.35">
      <c r="B8551"/>
      <c r="C8551"/>
      <c r="H8551"/>
    </row>
    <row r="8552" spans="2:8" x14ac:dyDescent="0.35">
      <c r="B8552"/>
      <c r="C8552"/>
      <c r="H8552"/>
    </row>
    <row r="8553" spans="2:8" x14ac:dyDescent="0.35">
      <c r="B8553"/>
      <c r="C8553"/>
      <c r="H8553"/>
    </row>
    <row r="8554" spans="2:8" x14ac:dyDescent="0.35">
      <c r="B8554"/>
      <c r="C8554"/>
      <c r="H8554"/>
    </row>
    <row r="8555" spans="2:8" x14ac:dyDescent="0.35">
      <c r="B8555"/>
      <c r="C8555"/>
      <c r="H8555"/>
    </row>
    <row r="8556" spans="2:8" x14ac:dyDescent="0.35">
      <c r="B8556"/>
      <c r="C8556"/>
      <c r="H8556"/>
    </row>
    <row r="8557" spans="2:8" x14ac:dyDescent="0.35">
      <c r="B8557"/>
      <c r="C8557"/>
      <c r="H8557"/>
    </row>
    <row r="8558" spans="2:8" x14ac:dyDescent="0.35">
      <c r="B8558"/>
      <c r="C8558"/>
      <c r="H8558"/>
    </row>
    <row r="8559" spans="2:8" x14ac:dyDescent="0.35">
      <c r="B8559"/>
      <c r="C8559"/>
      <c r="H8559"/>
    </row>
    <row r="8560" spans="2:8" x14ac:dyDescent="0.35">
      <c r="B8560"/>
      <c r="C8560"/>
      <c r="H8560"/>
    </row>
    <row r="8561" spans="2:8" x14ac:dyDescent="0.35">
      <c r="B8561"/>
      <c r="C8561"/>
      <c r="H8561"/>
    </row>
    <row r="8562" spans="2:8" x14ac:dyDescent="0.35">
      <c r="B8562"/>
      <c r="C8562"/>
      <c r="H8562"/>
    </row>
    <row r="8563" spans="2:8" x14ac:dyDescent="0.35">
      <c r="B8563"/>
      <c r="C8563"/>
      <c r="H8563"/>
    </row>
    <row r="8564" spans="2:8" x14ac:dyDescent="0.35">
      <c r="B8564"/>
      <c r="C8564"/>
      <c r="H8564"/>
    </row>
    <row r="8565" spans="2:8" x14ac:dyDescent="0.35">
      <c r="B8565"/>
      <c r="C8565"/>
      <c r="H8565"/>
    </row>
    <row r="8566" spans="2:8" x14ac:dyDescent="0.35">
      <c r="B8566"/>
      <c r="C8566"/>
      <c r="H8566"/>
    </row>
    <row r="8567" spans="2:8" x14ac:dyDescent="0.35">
      <c r="B8567"/>
      <c r="C8567"/>
      <c r="H8567"/>
    </row>
    <row r="8568" spans="2:8" x14ac:dyDescent="0.35">
      <c r="B8568"/>
      <c r="C8568"/>
      <c r="H8568"/>
    </row>
    <row r="8569" spans="2:8" x14ac:dyDescent="0.35">
      <c r="B8569"/>
      <c r="C8569"/>
      <c r="H8569"/>
    </row>
    <row r="8570" spans="2:8" x14ac:dyDescent="0.35">
      <c r="B8570"/>
      <c r="C8570"/>
      <c r="H8570"/>
    </row>
    <row r="8571" spans="2:8" x14ac:dyDescent="0.35">
      <c r="B8571"/>
      <c r="C8571"/>
      <c r="H8571"/>
    </row>
    <row r="8572" spans="2:8" x14ac:dyDescent="0.35">
      <c r="B8572"/>
      <c r="C8572"/>
      <c r="H8572"/>
    </row>
    <row r="8573" spans="2:8" x14ac:dyDescent="0.35">
      <c r="B8573"/>
      <c r="C8573"/>
      <c r="H8573"/>
    </row>
    <row r="8574" spans="2:8" x14ac:dyDescent="0.35">
      <c r="B8574"/>
      <c r="C8574"/>
      <c r="H8574"/>
    </row>
    <row r="8575" spans="2:8" x14ac:dyDescent="0.35">
      <c r="B8575"/>
      <c r="C8575"/>
      <c r="H8575"/>
    </row>
    <row r="8576" spans="2:8" x14ac:dyDescent="0.35">
      <c r="B8576"/>
      <c r="C8576"/>
      <c r="H8576"/>
    </row>
    <row r="8577" spans="2:8" x14ac:dyDescent="0.35">
      <c r="B8577"/>
      <c r="C8577"/>
      <c r="H8577"/>
    </row>
    <row r="8578" spans="2:8" x14ac:dyDescent="0.35">
      <c r="B8578"/>
      <c r="C8578"/>
      <c r="H8578"/>
    </row>
    <row r="8579" spans="2:8" x14ac:dyDescent="0.35">
      <c r="B8579"/>
      <c r="C8579"/>
      <c r="H8579"/>
    </row>
    <row r="8580" spans="2:8" x14ac:dyDescent="0.35">
      <c r="B8580"/>
      <c r="C8580"/>
      <c r="H8580"/>
    </row>
    <row r="8581" spans="2:8" x14ac:dyDescent="0.35">
      <c r="B8581"/>
      <c r="C8581"/>
      <c r="H8581"/>
    </row>
    <row r="8582" spans="2:8" x14ac:dyDescent="0.35">
      <c r="B8582"/>
      <c r="C8582"/>
      <c r="H8582"/>
    </row>
    <row r="8583" spans="2:8" x14ac:dyDescent="0.35">
      <c r="B8583"/>
      <c r="C8583"/>
      <c r="H8583"/>
    </row>
    <row r="8584" spans="2:8" x14ac:dyDescent="0.35">
      <c r="B8584"/>
      <c r="C8584"/>
      <c r="H8584"/>
    </row>
    <row r="8585" spans="2:8" x14ac:dyDescent="0.35">
      <c r="B8585"/>
      <c r="C8585"/>
      <c r="H8585"/>
    </row>
    <row r="8586" spans="2:8" x14ac:dyDescent="0.35">
      <c r="B8586"/>
      <c r="C8586"/>
      <c r="H8586"/>
    </row>
    <row r="8587" spans="2:8" x14ac:dyDescent="0.35">
      <c r="B8587"/>
      <c r="C8587"/>
      <c r="H8587"/>
    </row>
    <row r="8588" spans="2:8" x14ac:dyDescent="0.35">
      <c r="B8588"/>
      <c r="C8588"/>
      <c r="H8588"/>
    </row>
    <row r="8589" spans="2:8" x14ac:dyDescent="0.35">
      <c r="B8589"/>
      <c r="C8589"/>
      <c r="H8589"/>
    </row>
    <row r="8590" spans="2:8" x14ac:dyDescent="0.35">
      <c r="B8590"/>
      <c r="C8590"/>
      <c r="H8590"/>
    </row>
    <row r="8591" spans="2:8" x14ac:dyDescent="0.35">
      <c r="B8591"/>
      <c r="C8591"/>
      <c r="H8591"/>
    </row>
    <row r="8592" spans="2:8" x14ac:dyDescent="0.35">
      <c r="B8592"/>
      <c r="C8592"/>
      <c r="H8592"/>
    </row>
    <row r="8593" spans="2:8" x14ac:dyDescent="0.35">
      <c r="B8593"/>
      <c r="C8593"/>
      <c r="H8593"/>
    </row>
    <row r="8594" spans="2:8" x14ac:dyDescent="0.35">
      <c r="B8594"/>
      <c r="C8594"/>
      <c r="H8594"/>
    </row>
    <row r="8595" spans="2:8" x14ac:dyDescent="0.35">
      <c r="B8595"/>
      <c r="C8595"/>
      <c r="H8595"/>
    </row>
    <row r="8596" spans="2:8" x14ac:dyDescent="0.35">
      <c r="B8596"/>
      <c r="C8596"/>
      <c r="H8596"/>
    </row>
    <row r="8597" spans="2:8" x14ac:dyDescent="0.35">
      <c r="B8597"/>
      <c r="C8597"/>
      <c r="H8597"/>
    </row>
    <row r="8598" spans="2:8" x14ac:dyDescent="0.35">
      <c r="B8598"/>
      <c r="C8598"/>
      <c r="H8598"/>
    </row>
    <row r="8599" spans="2:8" x14ac:dyDescent="0.35">
      <c r="B8599"/>
      <c r="C8599"/>
      <c r="H8599"/>
    </row>
    <row r="8600" spans="2:8" x14ac:dyDescent="0.35">
      <c r="B8600"/>
      <c r="C8600"/>
      <c r="H8600"/>
    </row>
    <row r="8601" spans="2:8" x14ac:dyDescent="0.35">
      <c r="B8601"/>
      <c r="C8601"/>
      <c r="H8601"/>
    </row>
    <row r="8602" spans="2:8" x14ac:dyDescent="0.35">
      <c r="B8602"/>
      <c r="C8602"/>
      <c r="H8602"/>
    </row>
    <row r="8603" spans="2:8" x14ac:dyDescent="0.35">
      <c r="B8603"/>
      <c r="C8603"/>
      <c r="H8603"/>
    </row>
    <row r="8604" spans="2:8" x14ac:dyDescent="0.35">
      <c r="B8604"/>
      <c r="C8604"/>
      <c r="H8604"/>
    </row>
    <row r="8605" spans="2:8" x14ac:dyDescent="0.35">
      <c r="B8605"/>
      <c r="C8605"/>
      <c r="H8605"/>
    </row>
    <row r="8606" spans="2:8" x14ac:dyDescent="0.35">
      <c r="B8606"/>
      <c r="C8606"/>
      <c r="H8606"/>
    </row>
    <row r="8607" spans="2:8" x14ac:dyDescent="0.35">
      <c r="B8607"/>
      <c r="C8607"/>
      <c r="H8607"/>
    </row>
    <row r="8608" spans="2:8" x14ac:dyDescent="0.35">
      <c r="B8608"/>
      <c r="C8608"/>
      <c r="H8608"/>
    </row>
    <row r="8609" spans="2:8" x14ac:dyDescent="0.35">
      <c r="B8609"/>
      <c r="C8609"/>
      <c r="H8609"/>
    </row>
    <row r="8610" spans="2:8" x14ac:dyDescent="0.35">
      <c r="B8610"/>
      <c r="C8610"/>
      <c r="H8610"/>
    </row>
    <row r="8611" spans="2:8" x14ac:dyDescent="0.35">
      <c r="B8611"/>
      <c r="C8611"/>
      <c r="H8611"/>
    </row>
    <row r="8612" spans="2:8" x14ac:dyDescent="0.35">
      <c r="B8612"/>
      <c r="C8612"/>
      <c r="H8612"/>
    </row>
    <row r="8613" spans="2:8" x14ac:dyDescent="0.35">
      <c r="B8613"/>
      <c r="C8613"/>
      <c r="H8613"/>
    </row>
    <row r="8614" spans="2:8" x14ac:dyDescent="0.35">
      <c r="B8614"/>
      <c r="C8614"/>
      <c r="H8614"/>
    </row>
    <row r="8615" spans="2:8" x14ac:dyDescent="0.35">
      <c r="B8615"/>
      <c r="C8615"/>
      <c r="H8615"/>
    </row>
    <row r="8616" spans="2:8" x14ac:dyDescent="0.35">
      <c r="B8616"/>
      <c r="C8616"/>
      <c r="H8616"/>
    </row>
    <row r="8617" spans="2:8" x14ac:dyDescent="0.35">
      <c r="B8617"/>
      <c r="C8617"/>
      <c r="H8617"/>
    </row>
    <row r="8618" spans="2:8" x14ac:dyDescent="0.35">
      <c r="B8618"/>
      <c r="C8618"/>
      <c r="H8618"/>
    </row>
    <row r="8619" spans="2:8" x14ac:dyDescent="0.35">
      <c r="B8619"/>
      <c r="C8619"/>
      <c r="H8619"/>
    </row>
    <row r="8620" spans="2:8" x14ac:dyDescent="0.35">
      <c r="B8620"/>
      <c r="C8620"/>
      <c r="H8620"/>
    </row>
    <row r="8621" spans="2:8" x14ac:dyDescent="0.35">
      <c r="B8621"/>
      <c r="C8621"/>
      <c r="H8621"/>
    </row>
    <row r="8622" spans="2:8" x14ac:dyDescent="0.35">
      <c r="B8622"/>
      <c r="C8622"/>
      <c r="H8622"/>
    </row>
    <row r="8623" spans="2:8" x14ac:dyDescent="0.35">
      <c r="B8623"/>
      <c r="C8623"/>
      <c r="H8623"/>
    </row>
    <row r="8624" spans="2:8" x14ac:dyDescent="0.35">
      <c r="B8624"/>
      <c r="C8624"/>
      <c r="H8624"/>
    </row>
    <row r="8625" spans="2:8" x14ac:dyDescent="0.35">
      <c r="B8625"/>
      <c r="C8625"/>
      <c r="H8625"/>
    </row>
    <row r="8626" spans="2:8" x14ac:dyDescent="0.35">
      <c r="B8626"/>
      <c r="C8626"/>
      <c r="H8626"/>
    </row>
    <row r="8627" spans="2:8" x14ac:dyDescent="0.35">
      <c r="B8627"/>
      <c r="C8627"/>
      <c r="H8627"/>
    </row>
    <row r="8628" spans="2:8" x14ac:dyDescent="0.35">
      <c r="B8628"/>
      <c r="C8628"/>
      <c r="H8628"/>
    </row>
    <row r="8629" spans="2:8" x14ac:dyDescent="0.35">
      <c r="B8629"/>
      <c r="C8629"/>
      <c r="H8629"/>
    </row>
    <row r="8630" spans="2:8" x14ac:dyDescent="0.35">
      <c r="B8630"/>
      <c r="C8630"/>
      <c r="H8630"/>
    </row>
    <row r="8631" spans="2:8" x14ac:dyDescent="0.35">
      <c r="B8631"/>
      <c r="C8631"/>
      <c r="H8631"/>
    </row>
    <row r="8632" spans="2:8" x14ac:dyDescent="0.35">
      <c r="B8632"/>
      <c r="C8632"/>
      <c r="H8632"/>
    </row>
    <row r="8633" spans="2:8" x14ac:dyDescent="0.35">
      <c r="B8633"/>
      <c r="C8633"/>
      <c r="H8633"/>
    </row>
    <row r="8634" spans="2:8" x14ac:dyDescent="0.35">
      <c r="B8634"/>
      <c r="C8634"/>
      <c r="H8634"/>
    </row>
    <row r="8635" spans="2:8" x14ac:dyDescent="0.35">
      <c r="B8635"/>
      <c r="C8635"/>
      <c r="H8635"/>
    </row>
    <row r="8636" spans="2:8" x14ac:dyDescent="0.35">
      <c r="B8636"/>
      <c r="C8636"/>
      <c r="H8636"/>
    </row>
    <row r="8637" spans="2:8" x14ac:dyDescent="0.35">
      <c r="B8637"/>
      <c r="C8637"/>
      <c r="H8637"/>
    </row>
    <row r="8638" spans="2:8" x14ac:dyDescent="0.35">
      <c r="B8638"/>
      <c r="C8638"/>
      <c r="H8638"/>
    </row>
    <row r="8639" spans="2:8" x14ac:dyDescent="0.35">
      <c r="B8639"/>
      <c r="C8639"/>
      <c r="H8639"/>
    </row>
    <row r="8640" spans="2:8" x14ac:dyDescent="0.35">
      <c r="B8640"/>
      <c r="C8640"/>
      <c r="H8640"/>
    </row>
    <row r="8641" spans="2:8" x14ac:dyDescent="0.35">
      <c r="B8641"/>
      <c r="C8641"/>
      <c r="H8641"/>
    </row>
    <row r="8642" spans="2:8" x14ac:dyDescent="0.35">
      <c r="B8642"/>
      <c r="C8642"/>
      <c r="H8642"/>
    </row>
    <row r="8643" spans="2:8" x14ac:dyDescent="0.35">
      <c r="B8643"/>
      <c r="C8643"/>
      <c r="H8643"/>
    </row>
    <row r="8644" spans="2:8" x14ac:dyDescent="0.35">
      <c r="B8644"/>
      <c r="C8644"/>
      <c r="H8644"/>
    </row>
    <row r="8645" spans="2:8" x14ac:dyDescent="0.35">
      <c r="B8645"/>
      <c r="C8645"/>
      <c r="H8645"/>
    </row>
    <row r="8646" spans="2:8" x14ac:dyDescent="0.35">
      <c r="B8646"/>
      <c r="C8646"/>
      <c r="H8646"/>
    </row>
    <row r="8647" spans="2:8" x14ac:dyDescent="0.35">
      <c r="B8647"/>
      <c r="C8647"/>
      <c r="H8647"/>
    </row>
    <row r="8648" spans="2:8" x14ac:dyDescent="0.35">
      <c r="B8648"/>
      <c r="C8648"/>
      <c r="H8648"/>
    </row>
    <row r="8649" spans="2:8" x14ac:dyDescent="0.35">
      <c r="B8649"/>
      <c r="C8649"/>
      <c r="H8649"/>
    </row>
    <row r="8650" spans="2:8" x14ac:dyDescent="0.35">
      <c r="B8650"/>
      <c r="C8650"/>
      <c r="H8650"/>
    </row>
    <row r="8651" spans="2:8" x14ac:dyDescent="0.35">
      <c r="B8651"/>
      <c r="C8651"/>
      <c r="H8651"/>
    </row>
    <row r="8652" spans="2:8" x14ac:dyDescent="0.35">
      <c r="B8652"/>
      <c r="C8652"/>
      <c r="H8652"/>
    </row>
    <row r="8653" spans="2:8" x14ac:dyDescent="0.35">
      <c r="B8653"/>
      <c r="C8653"/>
      <c r="H8653"/>
    </row>
    <row r="8654" spans="2:8" x14ac:dyDescent="0.35">
      <c r="B8654"/>
      <c r="C8654"/>
      <c r="H8654"/>
    </row>
    <row r="8655" spans="2:8" x14ac:dyDescent="0.35">
      <c r="B8655"/>
      <c r="C8655"/>
      <c r="H8655"/>
    </row>
    <row r="8656" spans="2:8" x14ac:dyDescent="0.35">
      <c r="B8656"/>
      <c r="C8656"/>
      <c r="H8656"/>
    </row>
    <row r="8657" spans="2:8" x14ac:dyDescent="0.35">
      <c r="B8657"/>
      <c r="C8657"/>
      <c r="H8657"/>
    </row>
    <row r="8658" spans="2:8" x14ac:dyDescent="0.35">
      <c r="B8658"/>
      <c r="C8658"/>
      <c r="H8658"/>
    </row>
    <row r="8659" spans="2:8" x14ac:dyDescent="0.35">
      <c r="B8659"/>
      <c r="C8659"/>
      <c r="H8659"/>
    </row>
    <row r="8660" spans="2:8" x14ac:dyDescent="0.35">
      <c r="B8660"/>
      <c r="C8660"/>
      <c r="H8660"/>
    </row>
    <row r="8661" spans="2:8" x14ac:dyDescent="0.35">
      <c r="B8661"/>
      <c r="C8661"/>
      <c r="H8661"/>
    </row>
    <row r="8662" spans="2:8" x14ac:dyDescent="0.35">
      <c r="B8662"/>
      <c r="C8662"/>
      <c r="H8662"/>
    </row>
    <row r="8663" spans="2:8" x14ac:dyDescent="0.35">
      <c r="B8663"/>
      <c r="C8663"/>
      <c r="H8663"/>
    </row>
    <row r="8664" spans="2:8" x14ac:dyDescent="0.35">
      <c r="B8664"/>
      <c r="C8664"/>
      <c r="H8664"/>
    </row>
    <row r="8665" spans="2:8" x14ac:dyDescent="0.35">
      <c r="B8665"/>
      <c r="C8665"/>
      <c r="H8665"/>
    </row>
    <row r="8666" spans="2:8" x14ac:dyDescent="0.35">
      <c r="B8666"/>
      <c r="C8666"/>
      <c r="H8666"/>
    </row>
    <row r="8667" spans="2:8" x14ac:dyDescent="0.35">
      <c r="B8667"/>
      <c r="C8667"/>
      <c r="H8667"/>
    </row>
    <row r="8668" spans="2:8" x14ac:dyDescent="0.35">
      <c r="B8668"/>
      <c r="C8668"/>
      <c r="H8668"/>
    </row>
    <row r="8669" spans="2:8" x14ac:dyDescent="0.35">
      <c r="B8669"/>
      <c r="C8669"/>
      <c r="H8669"/>
    </row>
    <row r="8670" spans="2:8" x14ac:dyDescent="0.35">
      <c r="B8670"/>
      <c r="C8670"/>
      <c r="H8670"/>
    </row>
    <row r="8671" spans="2:8" x14ac:dyDescent="0.35">
      <c r="B8671"/>
      <c r="C8671"/>
      <c r="H8671"/>
    </row>
    <row r="8672" spans="2:8" x14ac:dyDescent="0.35">
      <c r="B8672"/>
      <c r="C8672"/>
      <c r="H8672"/>
    </row>
    <row r="8673" spans="2:8" x14ac:dyDescent="0.35">
      <c r="B8673"/>
      <c r="C8673"/>
      <c r="H8673"/>
    </row>
    <row r="8674" spans="2:8" x14ac:dyDescent="0.35">
      <c r="B8674"/>
      <c r="C8674"/>
      <c r="H8674"/>
    </row>
    <row r="8675" spans="2:8" x14ac:dyDescent="0.35">
      <c r="B8675"/>
      <c r="C8675"/>
      <c r="H8675"/>
    </row>
    <row r="8676" spans="2:8" x14ac:dyDescent="0.35">
      <c r="B8676"/>
      <c r="C8676"/>
      <c r="H8676"/>
    </row>
    <row r="8677" spans="2:8" x14ac:dyDescent="0.35">
      <c r="B8677"/>
      <c r="C8677"/>
      <c r="H8677"/>
    </row>
    <row r="8678" spans="2:8" x14ac:dyDescent="0.35">
      <c r="B8678"/>
      <c r="C8678"/>
      <c r="H8678"/>
    </row>
    <row r="8679" spans="2:8" x14ac:dyDescent="0.35">
      <c r="B8679"/>
      <c r="C8679"/>
      <c r="H8679"/>
    </row>
    <row r="8680" spans="2:8" x14ac:dyDescent="0.35">
      <c r="B8680"/>
      <c r="C8680"/>
      <c r="H8680"/>
    </row>
    <row r="8681" spans="2:8" x14ac:dyDescent="0.35">
      <c r="B8681"/>
      <c r="C8681"/>
      <c r="H8681"/>
    </row>
    <row r="8682" spans="2:8" x14ac:dyDescent="0.35">
      <c r="B8682"/>
      <c r="C8682"/>
      <c r="H8682"/>
    </row>
    <row r="8683" spans="2:8" x14ac:dyDescent="0.35">
      <c r="B8683"/>
      <c r="C8683"/>
      <c r="H8683"/>
    </row>
    <row r="8684" spans="2:8" x14ac:dyDescent="0.35">
      <c r="B8684"/>
      <c r="C8684"/>
      <c r="H8684"/>
    </row>
    <row r="8685" spans="2:8" x14ac:dyDescent="0.35">
      <c r="B8685"/>
      <c r="C8685"/>
      <c r="H8685"/>
    </row>
    <row r="8686" spans="2:8" x14ac:dyDescent="0.35">
      <c r="B8686"/>
      <c r="C8686"/>
      <c r="H8686"/>
    </row>
    <row r="8687" spans="2:8" x14ac:dyDescent="0.35">
      <c r="B8687"/>
      <c r="C8687"/>
      <c r="H8687"/>
    </row>
    <row r="8688" spans="2:8" x14ac:dyDescent="0.35">
      <c r="B8688"/>
      <c r="C8688"/>
      <c r="H8688"/>
    </row>
    <row r="8689" spans="2:8" x14ac:dyDescent="0.35">
      <c r="B8689"/>
      <c r="C8689"/>
      <c r="H8689"/>
    </row>
    <row r="8690" spans="2:8" x14ac:dyDescent="0.35">
      <c r="B8690"/>
      <c r="C8690"/>
      <c r="H8690"/>
    </row>
    <row r="8691" spans="2:8" x14ac:dyDescent="0.35">
      <c r="B8691"/>
      <c r="C8691"/>
      <c r="H8691"/>
    </row>
    <row r="8692" spans="2:8" x14ac:dyDescent="0.35">
      <c r="B8692"/>
      <c r="C8692"/>
      <c r="H8692"/>
    </row>
    <row r="8693" spans="2:8" x14ac:dyDescent="0.35">
      <c r="B8693"/>
      <c r="C8693"/>
      <c r="H8693"/>
    </row>
    <row r="8694" spans="2:8" x14ac:dyDescent="0.35">
      <c r="B8694"/>
      <c r="C8694"/>
      <c r="H8694"/>
    </row>
    <row r="8695" spans="2:8" x14ac:dyDescent="0.35">
      <c r="B8695"/>
      <c r="C8695"/>
      <c r="H8695"/>
    </row>
    <row r="8696" spans="2:8" x14ac:dyDescent="0.35">
      <c r="B8696"/>
      <c r="C8696"/>
      <c r="H8696"/>
    </row>
    <row r="8697" spans="2:8" x14ac:dyDescent="0.35">
      <c r="B8697"/>
      <c r="C8697"/>
      <c r="H8697"/>
    </row>
    <row r="8698" spans="2:8" x14ac:dyDescent="0.35">
      <c r="B8698"/>
      <c r="C8698"/>
      <c r="H8698"/>
    </row>
    <row r="8699" spans="2:8" x14ac:dyDescent="0.35">
      <c r="B8699"/>
      <c r="C8699"/>
      <c r="H8699"/>
    </row>
    <row r="8700" spans="2:8" x14ac:dyDescent="0.35">
      <c r="B8700"/>
      <c r="C8700"/>
      <c r="H8700"/>
    </row>
    <row r="8701" spans="2:8" x14ac:dyDescent="0.35">
      <c r="B8701"/>
      <c r="C8701"/>
      <c r="H8701"/>
    </row>
    <row r="8702" spans="2:8" x14ac:dyDescent="0.35">
      <c r="B8702"/>
      <c r="C8702"/>
      <c r="H8702"/>
    </row>
    <row r="8703" spans="2:8" x14ac:dyDescent="0.35">
      <c r="B8703"/>
      <c r="C8703"/>
      <c r="H8703"/>
    </row>
    <row r="8704" spans="2:8" x14ac:dyDescent="0.35">
      <c r="B8704"/>
      <c r="C8704"/>
      <c r="H8704"/>
    </row>
    <row r="8705" spans="2:8" x14ac:dyDescent="0.35">
      <c r="B8705"/>
      <c r="C8705"/>
      <c r="H8705"/>
    </row>
    <row r="8706" spans="2:8" x14ac:dyDescent="0.35">
      <c r="B8706"/>
      <c r="C8706"/>
      <c r="H8706"/>
    </row>
    <row r="8707" spans="2:8" x14ac:dyDescent="0.35">
      <c r="B8707"/>
      <c r="C8707"/>
      <c r="H8707"/>
    </row>
    <row r="8708" spans="2:8" x14ac:dyDescent="0.35">
      <c r="B8708"/>
      <c r="C8708"/>
      <c r="H8708"/>
    </row>
    <row r="8709" spans="2:8" x14ac:dyDescent="0.35">
      <c r="B8709"/>
      <c r="C8709"/>
      <c r="H8709"/>
    </row>
    <row r="8710" spans="2:8" x14ac:dyDescent="0.35">
      <c r="B8710"/>
      <c r="C8710"/>
      <c r="H8710"/>
    </row>
    <row r="8711" spans="2:8" x14ac:dyDescent="0.35">
      <c r="B8711"/>
      <c r="C8711"/>
      <c r="H8711"/>
    </row>
    <row r="8712" spans="2:8" x14ac:dyDescent="0.35">
      <c r="B8712"/>
      <c r="C8712"/>
      <c r="H8712"/>
    </row>
    <row r="8713" spans="2:8" x14ac:dyDescent="0.35">
      <c r="B8713"/>
      <c r="C8713"/>
      <c r="H8713"/>
    </row>
    <row r="8714" spans="2:8" x14ac:dyDescent="0.35">
      <c r="B8714"/>
      <c r="C8714"/>
      <c r="H8714"/>
    </row>
    <row r="8715" spans="2:8" x14ac:dyDescent="0.35">
      <c r="B8715"/>
      <c r="C8715"/>
      <c r="H8715"/>
    </row>
    <row r="8716" spans="2:8" x14ac:dyDescent="0.35">
      <c r="B8716"/>
      <c r="C8716"/>
      <c r="H8716"/>
    </row>
    <row r="8717" spans="2:8" x14ac:dyDescent="0.35">
      <c r="B8717"/>
      <c r="C8717"/>
      <c r="H8717"/>
    </row>
    <row r="8718" spans="2:8" x14ac:dyDescent="0.35">
      <c r="B8718"/>
      <c r="C8718"/>
      <c r="H8718"/>
    </row>
    <row r="8719" spans="2:8" x14ac:dyDescent="0.35">
      <c r="B8719"/>
      <c r="C8719"/>
      <c r="H8719"/>
    </row>
    <row r="8720" spans="2:8" x14ac:dyDescent="0.35">
      <c r="B8720"/>
      <c r="C8720"/>
      <c r="H8720"/>
    </row>
    <row r="8721" spans="2:8" x14ac:dyDescent="0.35">
      <c r="B8721"/>
      <c r="C8721"/>
      <c r="H8721"/>
    </row>
    <row r="8722" spans="2:8" x14ac:dyDescent="0.35">
      <c r="B8722"/>
      <c r="C8722"/>
      <c r="H8722"/>
    </row>
    <row r="8723" spans="2:8" x14ac:dyDescent="0.35">
      <c r="B8723"/>
      <c r="C8723"/>
      <c r="H8723"/>
    </row>
    <row r="8724" spans="2:8" x14ac:dyDescent="0.35">
      <c r="B8724"/>
      <c r="C8724"/>
      <c r="H8724"/>
    </row>
    <row r="8725" spans="2:8" x14ac:dyDescent="0.35">
      <c r="B8725"/>
      <c r="C8725"/>
      <c r="H8725"/>
    </row>
    <row r="8726" spans="2:8" x14ac:dyDescent="0.35">
      <c r="B8726"/>
      <c r="C8726"/>
      <c r="H8726"/>
    </row>
    <row r="8727" spans="2:8" x14ac:dyDescent="0.35">
      <c r="B8727"/>
      <c r="C8727"/>
      <c r="H8727"/>
    </row>
    <row r="8728" spans="2:8" x14ac:dyDescent="0.35">
      <c r="B8728"/>
      <c r="C8728"/>
      <c r="H8728"/>
    </row>
    <row r="8729" spans="2:8" x14ac:dyDescent="0.35">
      <c r="B8729"/>
      <c r="C8729"/>
      <c r="H8729"/>
    </row>
    <row r="8730" spans="2:8" x14ac:dyDescent="0.35">
      <c r="B8730"/>
      <c r="C8730"/>
      <c r="H8730"/>
    </row>
    <row r="8731" spans="2:8" x14ac:dyDescent="0.35">
      <c r="B8731"/>
      <c r="C8731"/>
      <c r="H8731"/>
    </row>
    <row r="8732" spans="2:8" x14ac:dyDescent="0.35">
      <c r="B8732"/>
      <c r="C8732"/>
      <c r="H8732"/>
    </row>
    <row r="8733" spans="2:8" x14ac:dyDescent="0.35">
      <c r="B8733"/>
      <c r="C8733"/>
      <c r="H8733"/>
    </row>
    <row r="8734" spans="2:8" x14ac:dyDescent="0.35">
      <c r="B8734"/>
      <c r="C8734"/>
      <c r="H8734"/>
    </row>
    <row r="8735" spans="2:8" x14ac:dyDescent="0.35">
      <c r="B8735"/>
      <c r="C8735"/>
      <c r="H8735"/>
    </row>
    <row r="8736" spans="2:8" x14ac:dyDescent="0.35">
      <c r="B8736"/>
      <c r="C8736"/>
      <c r="H8736"/>
    </row>
    <row r="8737" spans="2:8" x14ac:dyDescent="0.35">
      <c r="B8737"/>
      <c r="C8737"/>
      <c r="H8737"/>
    </row>
    <row r="8738" spans="2:8" x14ac:dyDescent="0.35">
      <c r="B8738"/>
      <c r="C8738"/>
      <c r="H8738"/>
    </row>
    <row r="8739" spans="2:8" x14ac:dyDescent="0.35">
      <c r="B8739"/>
      <c r="C8739"/>
      <c r="H8739"/>
    </row>
    <row r="8740" spans="2:8" x14ac:dyDescent="0.35">
      <c r="B8740"/>
      <c r="C8740"/>
      <c r="H8740"/>
    </row>
    <row r="8741" spans="2:8" x14ac:dyDescent="0.35">
      <c r="B8741"/>
      <c r="C8741"/>
      <c r="H8741"/>
    </row>
    <row r="8742" spans="2:8" x14ac:dyDescent="0.35">
      <c r="B8742"/>
      <c r="C8742"/>
      <c r="H8742"/>
    </row>
    <row r="8743" spans="2:8" x14ac:dyDescent="0.35">
      <c r="B8743"/>
      <c r="C8743"/>
      <c r="H8743"/>
    </row>
    <row r="8744" spans="2:8" x14ac:dyDescent="0.35">
      <c r="B8744"/>
      <c r="C8744"/>
      <c r="H8744"/>
    </row>
    <row r="8745" spans="2:8" x14ac:dyDescent="0.35">
      <c r="B8745"/>
      <c r="C8745"/>
      <c r="H8745"/>
    </row>
    <row r="8746" spans="2:8" x14ac:dyDescent="0.35">
      <c r="B8746"/>
      <c r="C8746"/>
      <c r="H8746"/>
    </row>
    <row r="8747" spans="2:8" x14ac:dyDescent="0.35">
      <c r="B8747"/>
      <c r="C8747"/>
      <c r="H8747"/>
    </row>
    <row r="8748" spans="2:8" x14ac:dyDescent="0.35">
      <c r="B8748"/>
      <c r="C8748"/>
      <c r="H8748"/>
    </row>
    <row r="8749" spans="2:8" x14ac:dyDescent="0.35">
      <c r="B8749"/>
      <c r="C8749"/>
      <c r="H8749"/>
    </row>
    <row r="8750" spans="2:8" x14ac:dyDescent="0.35">
      <c r="B8750"/>
      <c r="C8750"/>
      <c r="H8750"/>
    </row>
    <row r="8751" spans="2:8" x14ac:dyDescent="0.35">
      <c r="B8751"/>
      <c r="C8751"/>
      <c r="H8751"/>
    </row>
    <row r="8752" spans="2:8" x14ac:dyDescent="0.35">
      <c r="B8752"/>
      <c r="C8752"/>
      <c r="H8752"/>
    </row>
    <row r="8753" spans="2:8" x14ac:dyDescent="0.35">
      <c r="B8753"/>
      <c r="C8753"/>
      <c r="H8753"/>
    </row>
    <row r="8754" spans="2:8" x14ac:dyDescent="0.35">
      <c r="B8754"/>
      <c r="C8754"/>
      <c r="H8754"/>
    </row>
    <row r="8755" spans="2:8" x14ac:dyDescent="0.35">
      <c r="B8755"/>
      <c r="C8755"/>
      <c r="H8755"/>
    </row>
    <row r="8756" spans="2:8" x14ac:dyDescent="0.35">
      <c r="B8756"/>
      <c r="C8756"/>
      <c r="H8756"/>
    </row>
    <row r="8757" spans="2:8" x14ac:dyDescent="0.35">
      <c r="B8757"/>
      <c r="C8757"/>
      <c r="H8757"/>
    </row>
    <row r="8758" spans="2:8" x14ac:dyDescent="0.35">
      <c r="B8758"/>
      <c r="C8758"/>
      <c r="H8758"/>
    </row>
    <row r="8759" spans="2:8" x14ac:dyDescent="0.35">
      <c r="B8759"/>
      <c r="C8759"/>
      <c r="H8759"/>
    </row>
    <row r="8760" spans="2:8" x14ac:dyDescent="0.35">
      <c r="B8760"/>
      <c r="C8760"/>
      <c r="H8760"/>
    </row>
    <row r="8761" spans="2:8" x14ac:dyDescent="0.35">
      <c r="B8761"/>
      <c r="C8761"/>
      <c r="H8761"/>
    </row>
    <row r="8762" spans="2:8" x14ac:dyDescent="0.35">
      <c r="B8762"/>
      <c r="C8762"/>
      <c r="H8762"/>
    </row>
    <row r="8763" spans="2:8" x14ac:dyDescent="0.35">
      <c r="B8763"/>
      <c r="C8763"/>
      <c r="H8763"/>
    </row>
    <row r="8764" spans="2:8" x14ac:dyDescent="0.35">
      <c r="B8764"/>
      <c r="C8764"/>
      <c r="H8764"/>
    </row>
    <row r="8765" spans="2:8" x14ac:dyDescent="0.35">
      <c r="B8765"/>
      <c r="C8765"/>
      <c r="H8765"/>
    </row>
    <row r="8766" spans="2:8" x14ac:dyDescent="0.35">
      <c r="B8766"/>
      <c r="C8766"/>
      <c r="H8766"/>
    </row>
    <row r="8767" spans="2:8" x14ac:dyDescent="0.35">
      <c r="B8767"/>
      <c r="C8767"/>
      <c r="H8767"/>
    </row>
    <row r="8768" spans="2:8" x14ac:dyDescent="0.35">
      <c r="B8768"/>
      <c r="C8768"/>
      <c r="H8768"/>
    </row>
    <row r="8769" spans="2:8" x14ac:dyDescent="0.35">
      <c r="B8769"/>
      <c r="C8769"/>
      <c r="H8769"/>
    </row>
    <row r="8770" spans="2:8" x14ac:dyDescent="0.35">
      <c r="B8770"/>
      <c r="C8770"/>
      <c r="H8770"/>
    </row>
    <row r="8771" spans="2:8" x14ac:dyDescent="0.35">
      <c r="B8771"/>
      <c r="C8771"/>
      <c r="H8771"/>
    </row>
    <row r="8772" spans="2:8" x14ac:dyDescent="0.35">
      <c r="B8772"/>
      <c r="C8772"/>
      <c r="H8772"/>
    </row>
    <row r="8773" spans="2:8" x14ac:dyDescent="0.35">
      <c r="B8773"/>
      <c r="C8773"/>
      <c r="H8773"/>
    </row>
    <row r="8774" spans="2:8" x14ac:dyDescent="0.35">
      <c r="B8774"/>
      <c r="C8774"/>
      <c r="H8774"/>
    </row>
    <row r="8775" spans="2:8" x14ac:dyDescent="0.35">
      <c r="B8775"/>
      <c r="C8775"/>
      <c r="H8775"/>
    </row>
    <row r="8776" spans="2:8" x14ac:dyDescent="0.35">
      <c r="B8776"/>
      <c r="C8776"/>
      <c r="H8776"/>
    </row>
    <row r="8777" spans="2:8" x14ac:dyDescent="0.35">
      <c r="B8777"/>
      <c r="C8777"/>
      <c r="H8777"/>
    </row>
    <row r="8778" spans="2:8" x14ac:dyDescent="0.35">
      <c r="B8778"/>
      <c r="C8778"/>
      <c r="H8778"/>
    </row>
    <row r="8779" spans="2:8" x14ac:dyDescent="0.35">
      <c r="B8779"/>
      <c r="C8779"/>
      <c r="H8779"/>
    </row>
    <row r="8780" spans="2:8" x14ac:dyDescent="0.35">
      <c r="B8780"/>
      <c r="C8780"/>
      <c r="H8780"/>
    </row>
    <row r="8781" spans="2:8" x14ac:dyDescent="0.35">
      <c r="B8781"/>
      <c r="C8781"/>
      <c r="H8781"/>
    </row>
    <row r="8782" spans="2:8" x14ac:dyDescent="0.35">
      <c r="B8782"/>
      <c r="C8782"/>
      <c r="H8782"/>
    </row>
    <row r="8783" spans="2:8" x14ac:dyDescent="0.35">
      <c r="B8783"/>
      <c r="C8783"/>
      <c r="H8783"/>
    </row>
    <row r="8784" spans="2:8" x14ac:dyDescent="0.35">
      <c r="B8784"/>
      <c r="C8784"/>
      <c r="H8784"/>
    </row>
    <row r="8785" spans="2:8" x14ac:dyDescent="0.35">
      <c r="B8785"/>
      <c r="C8785"/>
      <c r="H8785"/>
    </row>
    <row r="8786" spans="2:8" x14ac:dyDescent="0.35">
      <c r="B8786"/>
      <c r="C8786"/>
      <c r="H8786"/>
    </row>
    <row r="8787" spans="2:8" x14ac:dyDescent="0.35">
      <c r="B8787"/>
      <c r="C8787"/>
      <c r="H8787"/>
    </row>
    <row r="8788" spans="2:8" x14ac:dyDescent="0.35">
      <c r="B8788"/>
      <c r="C8788"/>
      <c r="H8788"/>
    </row>
    <row r="8789" spans="2:8" x14ac:dyDescent="0.35">
      <c r="B8789"/>
      <c r="C8789"/>
      <c r="H8789"/>
    </row>
    <row r="8790" spans="2:8" x14ac:dyDescent="0.35">
      <c r="B8790"/>
      <c r="C8790"/>
      <c r="H8790"/>
    </row>
    <row r="8791" spans="2:8" x14ac:dyDescent="0.35">
      <c r="B8791"/>
      <c r="C8791"/>
      <c r="H8791"/>
    </row>
    <row r="8792" spans="2:8" x14ac:dyDescent="0.35">
      <c r="B8792"/>
      <c r="C8792"/>
      <c r="H8792"/>
    </row>
    <row r="8793" spans="2:8" x14ac:dyDescent="0.35">
      <c r="B8793"/>
      <c r="C8793"/>
      <c r="H8793"/>
    </row>
    <row r="8794" spans="2:8" x14ac:dyDescent="0.35">
      <c r="B8794"/>
      <c r="C8794"/>
      <c r="H8794"/>
    </row>
    <row r="8795" spans="2:8" x14ac:dyDescent="0.35">
      <c r="B8795"/>
      <c r="C8795"/>
      <c r="H8795"/>
    </row>
    <row r="8796" spans="2:8" x14ac:dyDescent="0.35">
      <c r="B8796"/>
      <c r="C8796"/>
      <c r="H8796"/>
    </row>
    <row r="8797" spans="2:8" x14ac:dyDescent="0.35">
      <c r="B8797"/>
      <c r="C8797"/>
      <c r="H8797"/>
    </row>
    <row r="8798" spans="2:8" x14ac:dyDescent="0.35">
      <c r="B8798"/>
      <c r="C8798"/>
      <c r="H8798"/>
    </row>
    <row r="8799" spans="2:8" x14ac:dyDescent="0.35">
      <c r="B8799"/>
      <c r="C8799"/>
      <c r="H8799"/>
    </row>
    <row r="8800" spans="2:8" x14ac:dyDescent="0.35">
      <c r="B8800"/>
      <c r="C8800"/>
      <c r="H8800"/>
    </row>
    <row r="8801" spans="2:8" x14ac:dyDescent="0.35">
      <c r="B8801"/>
      <c r="C8801"/>
      <c r="H8801"/>
    </row>
    <row r="8802" spans="2:8" x14ac:dyDescent="0.35">
      <c r="B8802"/>
      <c r="C8802"/>
      <c r="H8802"/>
    </row>
    <row r="8803" spans="2:8" x14ac:dyDescent="0.35">
      <c r="B8803"/>
      <c r="C8803"/>
      <c r="H8803"/>
    </row>
    <row r="8804" spans="2:8" x14ac:dyDescent="0.35">
      <c r="B8804"/>
      <c r="C8804"/>
      <c r="H8804"/>
    </row>
    <row r="8805" spans="2:8" x14ac:dyDescent="0.35">
      <c r="B8805"/>
      <c r="C8805"/>
      <c r="H8805"/>
    </row>
    <row r="8806" spans="2:8" x14ac:dyDescent="0.35">
      <c r="B8806"/>
      <c r="C8806"/>
      <c r="H8806"/>
    </row>
    <row r="8807" spans="2:8" x14ac:dyDescent="0.35">
      <c r="B8807"/>
      <c r="C8807"/>
      <c r="H8807"/>
    </row>
    <row r="8808" spans="2:8" x14ac:dyDescent="0.35">
      <c r="B8808"/>
      <c r="C8808"/>
      <c r="H8808"/>
    </row>
    <row r="8809" spans="2:8" x14ac:dyDescent="0.35">
      <c r="B8809"/>
      <c r="C8809"/>
      <c r="H8809"/>
    </row>
    <row r="8810" spans="2:8" x14ac:dyDescent="0.35">
      <c r="B8810"/>
      <c r="C8810"/>
      <c r="H8810"/>
    </row>
    <row r="8811" spans="2:8" x14ac:dyDescent="0.35">
      <c r="B8811"/>
      <c r="C8811"/>
      <c r="H8811"/>
    </row>
    <row r="8812" spans="2:8" x14ac:dyDescent="0.35">
      <c r="B8812"/>
      <c r="C8812"/>
      <c r="H8812"/>
    </row>
    <row r="8813" spans="2:8" x14ac:dyDescent="0.35">
      <c r="B8813"/>
      <c r="C8813"/>
      <c r="H8813"/>
    </row>
    <row r="8814" spans="2:8" x14ac:dyDescent="0.35">
      <c r="B8814"/>
      <c r="C8814"/>
      <c r="H8814"/>
    </row>
    <row r="8815" spans="2:8" x14ac:dyDescent="0.35">
      <c r="B8815"/>
      <c r="C8815"/>
      <c r="H8815"/>
    </row>
    <row r="8816" spans="2:8" x14ac:dyDescent="0.35">
      <c r="B8816"/>
      <c r="C8816"/>
      <c r="H8816"/>
    </row>
    <row r="8817" spans="2:8" x14ac:dyDescent="0.35">
      <c r="B8817"/>
      <c r="C8817"/>
      <c r="H8817"/>
    </row>
    <row r="8818" spans="2:8" x14ac:dyDescent="0.35">
      <c r="B8818"/>
      <c r="C8818"/>
      <c r="H8818"/>
    </row>
    <row r="8819" spans="2:8" x14ac:dyDescent="0.35">
      <c r="B8819"/>
      <c r="C8819"/>
      <c r="H8819"/>
    </row>
    <row r="8820" spans="2:8" x14ac:dyDescent="0.35">
      <c r="B8820"/>
      <c r="C8820"/>
      <c r="H8820"/>
    </row>
    <row r="8821" spans="2:8" x14ac:dyDescent="0.35">
      <c r="B8821"/>
      <c r="C8821"/>
      <c r="H8821"/>
    </row>
    <row r="8822" spans="2:8" x14ac:dyDescent="0.35">
      <c r="B8822"/>
      <c r="C8822"/>
      <c r="H8822"/>
    </row>
    <row r="8823" spans="2:8" x14ac:dyDescent="0.35">
      <c r="B8823"/>
      <c r="C8823"/>
      <c r="H8823"/>
    </row>
    <row r="8824" spans="2:8" x14ac:dyDescent="0.35">
      <c r="B8824"/>
      <c r="C8824"/>
      <c r="H8824"/>
    </row>
    <row r="8825" spans="2:8" x14ac:dyDescent="0.35">
      <c r="B8825"/>
      <c r="C8825"/>
      <c r="H8825"/>
    </row>
    <row r="8826" spans="2:8" x14ac:dyDescent="0.35">
      <c r="B8826"/>
      <c r="C8826"/>
      <c r="H8826"/>
    </row>
    <row r="8827" spans="2:8" x14ac:dyDescent="0.35">
      <c r="B8827"/>
      <c r="C8827"/>
      <c r="H8827"/>
    </row>
    <row r="8828" spans="2:8" x14ac:dyDescent="0.35">
      <c r="B8828"/>
      <c r="C8828"/>
      <c r="H8828"/>
    </row>
    <row r="8829" spans="2:8" x14ac:dyDescent="0.35">
      <c r="B8829"/>
      <c r="C8829"/>
      <c r="H8829"/>
    </row>
    <row r="8830" spans="2:8" x14ac:dyDescent="0.35">
      <c r="B8830"/>
      <c r="C8830"/>
      <c r="H8830"/>
    </row>
    <row r="8831" spans="2:8" x14ac:dyDescent="0.35">
      <c r="B8831"/>
      <c r="C8831"/>
      <c r="H8831"/>
    </row>
    <row r="8832" spans="2:8" x14ac:dyDescent="0.35">
      <c r="B8832"/>
      <c r="C8832"/>
      <c r="H8832"/>
    </row>
    <row r="8833" spans="2:8" x14ac:dyDescent="0.35">
      <c r="B8833"/>
      <c r="C8833"/>
      <c r="H8833"/>
    </row>
    <row r="8834" spans="2:8" x14ac:dyDescent="0.35">
      <c r="B8834"/>
      <c r="C8834"/>
      <c r="H8834"/>
    </row>
    <row r="8835" spans="2:8" x14ac:dyDescent="0.35">
      <c r="B8835"/>
      <c r="C8835"/>
      <c r="H8835"/>
    </row>
    <row r="8836" spans="2:8" x14ac:dyDescent="0.35">
      <c r="B8836"/>
      <c r="C8836"/>
      <c r="H8836"/>
    </row>
    <row r="8837" spans="2:8" x14ac:dyDescent="0.35">
      <c r="B8837"/>
      <c r="C8837"/>
      <c r="H8837"/>
    </row>
    <row r="8838" spans="2:8" x14ac:dyDescent="0.35">
      <c r="B8838"/>
      <c r="C8838"/>
      <c r="H8838"/>
    </row>
    <row r="8839" spans="2:8" x14ac:dyDescent="0.35">
      <c r="B8839"/>
      <c r="C8839"/>
      <c r="H8839"/>
    </row>
    <row r="8840" spans="2:8" x14ac:dyDescent="0.35">
      <c r="B8840"/>
      <c r="C8840"/>
      <c r="H8840"/>
    </row>
    <row r="8841" spans="2:8" x14ac:dyDescent="0.35">
      <c r="B8841"/>
      <c r="C8841"/>
      <c r="H8841"/>
    </row>
    <row r="8842" spans="2:8" x14ac:dyDescent="0.35">
      <c r="B8842"/>
      <c r="C8842"/>
      <c r="H8842"/>
    </row>
    <row r="8843" spans="2:8" x14ac:dyDescent="0.35">
      <c r="B8843"/>
      <c r="C8843"/>
      <c r="H8843"/>
    </row>
    <row r="8844" spans="2:8" x14ac:dyDescent="0.35">
      <c r="B8844"/>
      <c r="C8844"/>
      <c r="H8844"/>
    </row>
    <row r="8845" spans="2:8" x14ac:dyDescent="0.35">
      <c r="B8845"/>
      <c r="C8845"/>
      <c r="H8845"/>
    </row>
    <row r="8846" spans="2:8" x14ac:dyDescent="0.35">
      <c r="B8846"/>
      <c r="C8846"/>
      <c r="H8846"/>
    </row>
    <row r="8847" spans="2:8" x14ac:dyDescent="0.35">
      <c r="B8847"/>
      <c r="C8847"/>
      <c r="H8847"/>
    </row>
    <row r="8848" spans="2:8" x14ac:dyDescent="0.35">
      <c r="B8848"/>
      <c r="C8848"/>
      <c r="H8848"/>
    </row>
    <row r="8849" spans="2:8" x14ac:dyDescent="0.35">
      <c r="B8849"/>
      <c r="C8849"/>
      <c r="H8849"/>
    </row>
    <row r="8850" spans="2:8" x14ac:dyDescent="0.35">
      <c r="B8850"/>
      <c r="C8850"/>
      <c r="H8850"/>
    </row>
    <row r="8851" spans="2:8" x14ac:dyDescent="0.35">
      <c r="B8851"/>
      <c r="C8851"/>
      <c r="H8851"/>
    </row>
    <row r="8852" spans="2:8" x14ac:dyDescent="0.35">
      <c r="B8852"/>
      <c r="C8852"/>
      <c r="H8852"/>
    </row>
    <row r="8853" spans="2:8" x14ac:dyDescent="0.35">
      <c r="B8853"/>
      <c r="C8853"/>
      <c r="H8853"/>
    </row>
    <row r="8854" spans="2:8" x14ac:dyDescent="0.35">
      <c r="B8854"/>
      <c r="C8854"/>
      <c r="H8854"/>
    </row>
    <row r="8855" spans="2:8" x14ac:dyDescent="0.35">
      <c r="B8855"/>
      <c r="C8855"/>
      <c r="H8855"/>
    </row>
    <row r="8856" spans="2:8" x14ac:dyDescent="0.35">
      <c r="B8856"/>
      <c r="C8856"/>
      <c r="H8856"/>
    </row>
    <row r="8857" spans="2:8" x14ac:dyDescent="0.35">
      <c r="B8857"/>
      <c r="C8857"/>
      <c r="H8857"/>
    </row>
    <row r="8858" spans="2:8" x14ac:dyDescent="0.35">
      <c r="B8858"/>
      <c r="C8858"/>
      <c r="H8858"/>
    </row>
    <row r="8859" spans="2:8" x14ac:dyDescent="0.35">
      <c r="B8859"/>
      <c r="C8859"/>
      <c r="H8859"/>
    </row>
    <row r="8860" spans="2:8" x14ac:dyDescent="0.35">
      <c r="B8860"/>
      <c r="C8860"/>
      <c r="H8860"/>
    </row>
    <row r="8861" spans="2:8" x14ac:dyDescent="0.35">
      <c r="B8861"/>
      <c r="C8861"/>
      <c r="H8861"/>
    </row>
    <row r="8862" spans="2:8" x14ac:dyDescent="0.35">
      <c r="B8862"/>
      <c r="C8862"/>
      <c r="H8862"/>
    </row>
    <row r="8863" spans="2:8" x14ac:dyDescent="0.35">
      <c r="B8863"/>
      <c r="C8863"/>
      <c r="H8863"/>
    </row>
    <row r="8864" spans="2:8" x14ac:dyDescent="0.35">
      <c r="B8864"/>
      <c r="C8864"/>
      <c r="H8864"/>
    </row>
    <row r="8865" spans="2:8" x14ac:dyDescent="0.35">
      <c r="B8865"/>
      <c r="C8865"/>
      <c r="H8865"/>
    </row>
    <row r="8866" spans="2:8" x14ac:dyDescent="0.35">
      <c r="B8866"/>
      <c r="C8866"/>
      <c r="H8866"/>
    </row>
    <row r="8867" spans="2:8" x14ac:dyDescent="0.35">
      <c r="B8867"/>
      <c r="C8867"/>
      <c r="H8867"/>
    </row>
    <row r="8868" spans="2:8" x14ac:dyDescent="0.35">
      <c r="B8868"/>
      <c r="C8868"/>
      <c r="H8868"/>
    </row>
    <row r="8869" spans="2:8" x14ac:dyDescent="0.35">
      <c r="B8869"/>
      <c r="C8869"/>
      <c r="H8869"/>
    </row>
    <row r="8870" spans="2:8" x14ac:dyDescent="0.35">
      <c r="B8870"/>
      <c r="C8870"/>
      <c r="H8870"/>
    </row>
    <row r="8871" spans="2:8" x14ac:dyDescent="0.35">
      <c r="B8871"/>
      <c r="C8871"/>
      <c r="H8871"/>
    </row>
    <row r="8872" spans="2:8" x14ac:dyDescent="0.35">
      <c r="B8872"/>
      <c r="C8872"/>
      <c r="H8872"/>
    </row>
    <row r="8873" spans="2:8" x14ac:dyDescent="0.35">
      <c r="B8873"/>
      <c r="C8873"/>
      <c r="H8873"/>
    </row>
    <row r="8874" spans="2:8" x14ac:dyDescent="0.35">
      <c r="B8874"/>
      <c r="C8874"/>
      <c r="H8874"/>
    </row>
    <row r="8875" spans="2:8" x14ac:dyDescent="0.35">
      <c r="B8875"/>
      <c r="C8875"/>
      <c r="H8875"/>
    </row>
    <row r="8876" spans="2:8" x14ac:dyDescent="0.35">
      <c r="B8876"/>
      <c r="C8876"/>
      <c r="H8876"/>
    </row>
    <row r="8877" spans="2:8" x14ac:dyDescent="0.35">
      <c r="B8877"/>
      <c r="C8877"/>
      <c r="H8877"/>
    </row>
    <row r="8878" spans="2:8" x14ac:dyDescent="0.35">
      <c r="B8878"/>
      <c r="C8878"/>
      <c r="H8878"/>
    </row>
    <row r="8879" spans="2:8" x14ac:dyDescent="0.35">
      <c r="B8879"/>
      <c r="C8879"/>
      <c r="H8879"/>
    </row>
    <row r="8880" spans="2:8" x14ac:dyDescent="0.35">
      <c r="B8880"/>
      <c r="C8880"/>
      <c r="H8880"/>
    </row>
    <row r="8881" spans="2:8" x14ac:dyDescent="0.35">
      <c r="B8881"/>
      <c r="C8881"/>
      <c r="H8881"/>
    </row>
    <row r="8882" spans="2:8" x14ac:dyDescent="0.35">
      <c r="B8882"/>
      <c r="C8882"/>
      <c r="H8882"/>
    </row>
    <row r="8883" spans="2:8" x14ac:dyDescent="0.35">
      <c r="B8883"/>
      <c r="C8883"/>
      <c r="H8883"/>
    </row>
    <row r="8884" spans="2:8" x14ac:dyDescent="0.35">
      <c r="B8884"/>
      <c r="C8884"/>
      <c r="H8884"/>
    </row>
    <row r="8885" spans="2:8" x14ac:dyDescent="0.35">
      <c r="B8885"/>
      <c r="C8885"/>
      <c r="H8885"/>
    </row>
    <row r="8886" spans="2:8" x14ac:dyDescent="0.35">
      <c r="B8886"/>
      <c r="C8886"/>
      <c r="H8886"/>
    </row>
    <row r="8887" spans="2:8" x14ac:dyDescent="0.35">
      <c r="B8887"/>
      <c r="C8887"/>
      <c r="H8887"/>
    </row>
    <row r="8888" spans="2:8" x14ac:dyDescent="0.35">
      <c r="B8888"/>
      <c r="C8888"/>
      <c r="H8888"/>
    </row>
    <row r="8889" spans="2:8" x14ac:dyDescent="0.35">
      <c r="B8889"/>
      <c r="C8889"/>
      <c r="H8889"/>
    </row>
    <row r="8890" spans="2:8" x14ac:dyDescent="0.35">
      <c r="B8890"/>
      <c r="C8890"/>
      <c r="H8890"/>
    </row>
    <row r="8891" spans="2:8" x14ac:dyDescent="0.35">
      <c r="B8891"/>
      <c r="C8891"/>
      <c r="H8891"/>
    </row>
    <row r="8892" spans="2:8" x14ac:dyDescent="0.35">
      <c r="B8892"/>
      <c r="C8892"/>
      <c r="H8892"/>
    </row>
    <row r="8893" spans="2:8" x14ac:dyDescent="0.35">
      <c r="B8893"/>
      <c r="C8893"/>
      <c r="H8893"/>
    </row>
    <row r="8894" spans="2:8" x14ac:dyDescent="0.35">
      <c r="B8894"/>
      <c r="C8894"/>
      <c r="H8894"/>
    </row>
    <row r="8895" spans="2:8" x14ac:dyDescent="0.35">
      <c r="B8895"/>
      <c r="C8895"/>
      <c r="H8895"/>
    </row>
    <row r="8896" spans="2:8" x14ac:dyDescent="0.35">
      <c r="B8896"/>
      <c r="C8896"/>
      <c r="H8896"/>
    </row>
    <row r="8897" spans="2:8" x14ac:dyDescent="0.35">
      <c r="B8897"/>
      <c r="C8897"/>
      <c r="H8897"/>
    </row>
    <row r="8898" spans="2:8" x14ac:dyDescent="0.35">
      <c r="B8898"/>
      <c r="C8898"/>
      <c r="H8898"/>
    </row>
    <row r="8899" spans="2:8" x14ac:dyDescent="0.35">
      <c r="B8899"/>
      <c r="C8899"/>
      <c r="H8899"/>
    </row>
    <row r="8900" spans="2:8" x14ac:dyDescent="0.35">
      <c r="B8900"/>
      <c r="C8900"/>
      <c r="H8900"/>
    </row>
    <row r="8901" spans="2:8" x14ac:dyDescent="0.35">
      <c r="B8901"/>
      <c r="C8901"/>
      <c r="H8901"/>
    </row>
    <row r="8902" spans="2:8" x14ac:dyDescent="0.35">
      <c r="B8902"/>
      <c r="C8902"/>
      <c r="H8902"/>
    </row>
    <row r="8903" spans="2:8" x14ac:dyDescent="0.35">
      <c r="B8903"/>
      <c r="C8903"/>
      <c r="H8903"/>
    </row>
    <row r="8904" spans="2:8" x14ac:dyDescent="0.35">
      <c r="B8904"/>
      <c r="C8904"/>
      <c r="H8904"/>
    </row>
    <row r="8905" spans="2:8" x14ac:dyDescent="0.35">
      <c r="B8905"/>
      <c r="C8905"/>
      <c r="H8905"/>
    </row>
    <row r="8906" spans="2:8" x14ac:dyDescent="0.35">
      <c r="B8906"/>
      <c r="C8906"/>
      <c r="H8906"/>
    </row>
    <row r="8907" spans="2:8" x14ac:dyDescent="0.35">
      <c r="B8907"/>
      <c r="C8907"/>
      <c r="H8907"/>
    </row>
    <row r="8908" spans="2:8" x14ac:dyDescent="0.35">
      <c r="B8908"/>
      <c r="C8908"/>
      <c r="H8908"/>
    </row>
    <row r="8909" spans="2:8" x14ac:dyDescent="0.35">
      <c r="B8909"/>
      <c r="C8909"/>
      <c r="H8909"/>
    </row>
    <row r="8910" spans="2:8" x14ac:dyDescent="0.35">
      <c r="B8910"/>
      <c r="C8910"/>
      <c r="H8910"/>
    </row>
    <row r="8911" spans="2:8" x14ac:dyDescent="0.35">
      <c r="B8911"/>
      <c r="C8911"/>
      <c r="H8911"/>
    </row>
    <row r="8912" spans="2:8" x14ac:dyDescent="0.35">
      <c r="B8912"/>
      <c r="C8912"/>
      <c r="H8912"/>
    </row>
    <row r="8913" spans="2:8" x14ac:dyDescent="0.35">
      <c r="B8913"/>
      <c r="C8913"/>
      <c r="H8913"/>
    </row>
    <row r="8914" spans="2:8" x14ac:dyDescent="0.35">
      <c r="B8914"/>
      <c r="C8914"/>
      <c r="H8914"/>
    </row>
    <row r="8915" spans="2:8" x14ac:dyDescent="0.35">
      <c r="B8915"/>
      <c r="C8915"/>
      <c r="H8915"/>
    </row>
    <row r="8916" spans="2:8" x14ac:dyDescent="0.35">
      <c r="B8916"/>
      <c r="C8916"/>
      <c r="H8916"/>
    </row>
    <row r="8917" spans="2:8" x14ac:dyDescent="0.35">
      <c r="B8917"/>
      <c r="C8917"/>
      <c r="H8917"/>
    </row>
    <row r="8918" spans="2:8" x14ac:dyDescent="0.35">
      <c r="B8918"/>
      <c r="C8918"/>
      <c r="H8918"/>
    </row>
    <row r="8919" spans="2:8" x14ac:dyDescent="0.35">
      <c r="B8919"/>
      <c r="C8919"/>
      <c r="H8919"/>
    </row>
    <row r="8920" spans="2:8" x14ac:dyDescent="0.35">
      <c r="B8920"/>
      <c r="C8920"/>
      <c r="H8920"/>
    </row>
    <row r="8921" spans="2:8" x14ac:dyDescent="0.35">
      <c r="B8921"/>
      <c r="C8921"/>
      <c r="H8921"/>
    </row>
    <row r="8922" spans="2:8" x14ac:dyDescent="0.35">
      <c r="B8922"/>
      <c r="C8922"/>
      <c r="H8922"/>
    </row>
    <row r="8923" spans="2:8" x14ac:dyDescent="0.35">
      <c r="B8923"/>
      <c r="C8923"/>
      <c r="H8923"/>
    </row>
    <row r="8924" spans="2:8" x14ac:dyDescent="0.35">
      <c r="B8924"/>
      <c r="C8924"/>
      <c r="H8924"/>
    </row>
    <row r="8925" spans="2:8" x14ac:dyDescent="0.35">
      <c r="B8925"/>
      <c r="C8925"/>
      <c r="H8925"/>
    </row>
    <row r="8926" spans="2:8" x14ac:dyDescent="0.35">
      <c r="B8926"/>
      <c r="C8926"/>
      <c r="H8926"/>
    </row>
    <row r="8927" spans="2:8" x14ac:dyDescent="0.35">
      <c r="B8927"/>
      <c r="C8927"/>
      <c r="H8927"/>
    </row>
    <row r="8928" spans="2:8" x14ac:dyDescent="0.35">
      <c r="B8928"/>
      <c r="C8928"/>
      <c r="H8928"/>
    </row>
    <row r="8929" spans="2:8" x14ac:dyDescent="0.35">
      <c r="B8929"/>
      <c r="C8929"/>
      <c r="H8929"/>
    </row>
    <row r="8930" spans="2:8" x14ac:dyDescent="0.35">
      <c r="B8930"/>
      <c r="C8930"/>
      <c r="H8930"/>
    </row>
    <row r="8931" spans="2:8" x14ac:dyDescent="0.35">
      <c r="B8931"/>
      <c r="C8931"/>
      <c r="H8931"/>
    </row>
    <row r="8932" spans="2:8" x14ac:dyDescent="0.35">
      <c r="B8932"/>
      <c r="C8932"/>
      <c r="H8932"/>
    </row>
    <row r="8933" spans="2:8" x14ac:dyDescent="0.35">
      <c r="B8933"/>
      <c r="C8933"/>
      <c r="H8933"/>
    </row>
    <row r="8934" spans="2:8" x14ac:dyDescent="0.35">
      <c r="B8934"/>
      <c r="C8934"/>
      <c r="H8934"/>
    </row>
    <row r="8935" spans="2:8" x14ac:dyDescent="0.35">
      <c r="B8935"/>
      <c r="C8935"/>
      <c r="H8935"/>
    </row>
    <row r="8936" spans="2:8" x14ac:dyDescent="0.35">
      <c r="B8936"/>
      <c r="C8936"/>
      <c r="H8936"/>
    </row>
    <row r="8937" spans="2:8" x14ac:dyDescent="0.35">
      <c r="B8937"/>
      <c r="C8937"/>
      <c r="H8937"/>
    </row>
    <row r="8938" spans="2:8" x14ac:dyDescent="0.35">
      <c r="B8938"/>
      <c r="C8938"/>
      <c r="H8938"/>
    </row>
    <row r="8939" spans="2:8" x14ac:dyDescent="0.35">
      <c r="B8939"/>
      <c r="C8939"/>
      <c r="H8939"/>
    </row>
    <row r="8940" spans="2:8" x14ac:dyDescent="0.35">
      <c r="B8940"/>
      <c r="C8940"/>
      <c r="H8940"/>
    </row>
    <row r="8941" spans="2:8" x14ac:dyDescent="0.35">
      <c r="B8941"/>
      <c r="C8941"/>
      <c r="H8941"/>
    </row>
    <row r="8942" spans="2:8" x14ac:dyDescent="0.35">
      <c r="B8942"/>
      <c r="C8942"/>
      <c r="H8942"/>
    </row>
    <row r="8943" spans="2:8" x14ac:dyDescent="0.35">
      <c r="B8943"/>
      <c r="C8943"/>
      <c r="H8943"/>
    </row>
    <row r="8944" spans="2:8" x14ac:dyDescent="0.35">
      <c r="B8944"/>
      <c r="C8944"/>
      <c r="H8944"/>
    </row>
    <row r="8945" spans="2:8" x14ac:dyDescent="0.35">
      <c r="B8945"/>
      <c r="C8945"/>
      <c r="H8945"/>
    </row>
    <row r="8946" spans="2:8" x14ac:dyDescent="0.35">
      <c r="B8946"/>
      <c r="C8946"/>
      <c r="H8946"/>
    </row>
    <row r="8947" spans="2:8" x14ac:dyDescent="0.35">
      <c r="B8947"/>
      <c r="C8947"/>
      <c r="H8947"/>
    </row>
    <row r="8948" spans="2:8" x14ac:dyDescent="0.35">
      <c r="B8948"/>
      <c r="C8948"/>
      <c r="H8948"/>
    </row>
    <row r="8949" spans="2:8" x14ac:dyDescent="0.35">
      <c r="B8949"/>
      <c r="C8949"/>
      <c r="H8949"/>
    </row>
    <row r="8950" spans="2:8" x14ac:dyDescent="0.35">
      <c r="B8950"/>
      <c r="C8950"/>
      <c r="H8950"/>
    </row>
    <row r="8951" spans="2:8" x14ac:dyDescent="0.35">
      <c r="B8951"/>
      <c r="C8951"/>
      <c r="H8951"/>
    </row>
    <row r="8952" spans="2:8" x14ac:dyDescent="0.35">
      <c r="B8952"/>
      <c r="C8952"/>
      <c r="H8952"/>
    </row>
    <row r="8953" spans="2:8" x14ac:dyDescent="0.35">
      <c r="B8953"/>
      <c r="C8953"/>
      <c r="H8953"/>
    </row>
    <row r="8954" spans="2:8" x14ac:dyDescent="0.35">
      <c r="B8954"/>
      <c r="C8954"/>
      <c r="H8954"/>
    </row>
    <row r="8955" spans="2:8" x14ac:dyDescent="0.35">
      <c r="B8955"/>
      <c r="C8955"/>
      <c r="H8955"/>
    </row>
    <row r="8956" spans="2:8" x14ac:dyDescent="0.35">
      <c r="B8956"/>
      <c r="C8956"/>
      <c r="H8956"/>
    </row>
    <row r="8957" spans="2:8" x14ac:dyDescent="0.35">
      <c r="B8957"/>
      <c r="C8957"/>
      <c r="H8957"/>
    </row>
    <row r="8958" spans="2:8" x14ac:dyDescent="0.35">
      <c r="B8958"/>
      <c r="C8958"/>
      <c r="H8958"/>
    </row>
    <row r="8959" spans="2:8" x14ac:dyDescent="0.35">
      <c r="B8959"/>
      <c r="C8959"/>
      <c r="H8959"/>
    </row>
    <row r="8960" spans="2:8" x14ac:dyDescent="0.35">
      <c r="B8960"/>
      <c r="C8960"/>
      <c r="H8960"/>
    </row>
    <row r="8961" spans="2:8" x14ac:dyDescent="0.35">
      <c r="B8961"/>
      <c r="C8961"/>
      <c r="H8961"/>
    </row>
    <row r="8962" spans="2:8" x14ac:dyDescent="0.35">
      <c r="B8962"/>
      <c r="C8962"/>
      <c r="H8962"/>
    </row>
    <row r="8963" spans="2:8" x14ac:dyDescent="0.35">
      <c r="B8963"/>
      <c r="C8963"/>
      <c r="H8963"/>
    </row>
    <row r="8964" spans="2:8" x14ac:dyDescent="0.35">
      <c r="B8964"/>
      <c r="C8964"/>
      <c r="H8964"/>
    </row>
    <row r="8965" spans="2:8" x14ac:dyDescent="0.35">
      <c r="B8965"/>
      <c r="C8965"/>
      <c r="H8965"/>
    </row>
    <row r="8966" spans="2:8" x14ac:dyDescent="0.35">
      <c r="B8966"/>
      <c r="C8966"/>
      <c r="H8966"/>
    </row>
    <row r="8967" spans="2:8" x14ac:dyDescent="0.35">
      <c r="B8967"/>
      <c r="C8967"/>
      <c r="H8967"/>
    </row>
    <row r="8968" spans="2:8" x14ac:dyDescent="0.35">
      <c r="B8968"/>
      <c r="C8968"/>
      <c r="H8968"/>
    </row>
    <row r="8969" spans="2:8" x14ac:dyDescent="0.35">
      <c r="B8969"/>
      <c r="C8969"/>
      <c r="H8969"/>
    </row>
    <row r="8970" spans="2:8" x14ac:dyDescent="0.35">
      <c r="B8970"/>
      <c r="C8970"/>
      <c r="H8970"/>
    </row>
    <row r="8971" spans="2:8" x14ac:dyDescent="0.35">
      <c r="B8971"/>
      <c r="C8971"/>
      <c r="H8971"/>
    </row>
    <row r="8972" spans="2:8" x14ac:dyDescent="0.35">
      <c r="B8972"/>
      <c r="C8972"/>
      <c r="H8972"/>
    </row>
    <row r="8973" spans="2:8" x14ac:dyDescent="0.35">
      <c r="B8973"/>
      <c r="C8973"/>
      <c r="H8973"/>
    </row>
    <row r="8974" spans="2:8" x14ac:dyDescent="0.35">
      <c r="B8974"/>
      <c r="C8974"/>
      <c r="H8974"/>
    </row>
    <row r="8975" spans="2:8" x14ac:dyDescent="0.35">
      <c r="B8975"/>
      <c r="C8975"/>
      <c r="H8975"/>
    </row>
    <row r="8976" spans="2:8" x14ac:dyDescent="0.35">
      <c r="B8976"/>
      <c r="C8976"/>
      <c r="H8976"/>
    </row>
    <row r="8977" spans="2:8" x14ac:dyDescent="0.35">
      <c r="B8977"/>
      <c r="C8977"/>
      <c r="H8977"/>
    </row>
    <row r="8978" spans="2:8" x14ac:dyDescent="0.35">
      <c r="B8978"/>
      <c r="C8978"/>
      <c r="H8978"/>
    </row>
    <row r="8979" spans="2:8" x14ac:dyDescent="0.35">
      <c r="B8979"/>
      <c r="C8979"/>
      <c r="H8979"/>
    </row>
    <row r="8980" spans="2:8" x14ac:dyDescent="0.35">
      <c r="B8980"/>
      <c r="C8980"/>
      <c r="H8980"/>
    </row>
    <row r="8981" spans="2:8" x14ac:dyDescent="0.35">
      <c r="B8981"/>
      <c r="C8981"/>
      <c r="H8981"/>
    </row>
    <row r="8982" spans="2:8" x14ac:dyDescent="0.35">
      <c r="B8982"/>
      <c r="C8982"/>
      <c r="H8982"/>
    </row>
    <row r="8983" spans="2:8" x14ac:dyDescent="0.35">
      <c r="B8983"/>
      <c r="C8983"/>
      <c r="H8983"/>
    </row>
    <row r="8984" spans="2:8" x14ac:dyDescent="0.35">
      <c r="B8984"/>
      <c r="C8984"/>
      <c r="H8984"/>
    </row>
    <row r="8985" spans="2:8" x14ac:dyDescent="0.35">
      <c r="B8985"/>
      <c r="C8985"/>
      <c r="H8985"/>
    </row>
    <row r="8986" spans="2:8" x14ac:dyDescent="0.35">
      <c r="B8986"/>
      <c r="C8986"/>
      <c r="H8986"/>
    </row>
    <row r="8987" spans="2:8" x14ac:dyDescent="0.35">
      <c r="B8987"/>
      <c r="C8987"/>
      <c r="H8987"/>
    </row>
    <row r="8988" spans="2:8" x14ac:dyDescent="0.35">
      <c r="B8988"/>
      <c r="C8988"/>
      <c r="H8988"/>
    </row>
    <row r="8989" spans="2:8" x14ac:dyDescent="0.35">
      <c r="B8989"/>
      <c r="C8989"/>
      <c r="H8989"/>
    </row>
    <row r="8990" spans="2:8" x14ac:dyDescent="0.35">
      <c r="B8990"/>
      <c r="C8990"/>
      <c r="H8990"/>
    </row>
    <row r="8991" spans="2:8" x14ac:dyDescent="0.35">
      <c r="B8991"/>
      <c r="C8991"/>
      <c r="H8991"/>
    </row>
    <row r="8992" spans="2:8" x14ac:dyDescent="0.35">
      <c r="B8992"/>
      <c r="C8992"/>
      <c r="H8992"/>
    </row>
    <row r="8993" spans="2:8" x14ac:dyDescent="0.35">
      <c r="B8993"/>
      <c r="C8993"/>
      <c r="H8993"/>
    </row>
    <row r="8994" spans="2:8" x14ac:dyDescent="0.35">
      <c r="B8994"/>
      <c r="C8994"/>
      <c r="H8994"/>
    </row>
    <row r="8995" spans="2:8" x14ac:dyDescent="0.35">
      <c r="B8995"/>
      <c r="C8995"/>
      <c r="H8995"/>
    </row>
    <row r="8996" spans="2:8" x14ac:dyDescent="0.35">
      <c r="B8996"/>
      <c r="C8996"/>
      <c r="H8996"/>
    </row>
    <row r="8997" spans="2:8" x14ac:dyDescent="0.35">
      <c r="B8997"/>
      <c r="C8997"/>
      <c r="H8997"/>
    </row>
    <row r="8998" spans="2:8" x14ac:dyDescent="0.35">
      <c r="B8998"/>
      <c r="C8998"/>
      <c r="H8998"/>
    </row>
    <row r="8999" spans="2:8" x14ac:dyDescent="0.35">
      <c r="B8999"/>
      <c r="C8999"/>
      <c r="H8999"/>
    </row>
    <row r="9000" spans="2:8" x14ac:dyDescent="0.35">
      <c r="B9000"/>
      <c r="C9000"/>
      <c r="H9000"/>
    </row>
    <row r="9001" spans="2:8" x14ac:dyDescent="0.35">
      <c r="B9001"/>
      <c r="C9001"/>
      <c r="H9001"/>
    </row>
    <row r="9002" spans="2:8" x14ac:dyDescent="0.35">
      <c r="B9002"/>
      <c r="C9002"/>
      <c r="H9002"/>
    </row>
    <row r="9003" spans="2:8" x14ac:dyDescent="0.35">
      <c r="B9003"/>
      <c r="C9003"/>
      <c r="H9003"/>
    </row>
    <row r="9004" spans="2:8" x14ac:dyDescent="0.35">
      <c r="B9004"/>
      <c r="C9004"/>
      <c r="H9004"/>
    </row>
    <row r="9005" spans="2:8" x14ac:dyDescent="0.35">
      <c r="B9005"/>
      <c r="C9005"/>
      <c r="H9005"/>
    </row>
    <row r="9006" spans="2:8" x14ac:dyDescent="0.35">
      <c r="B9006"/>
      <c r="C9006"/>
      <c r="H9006"/>
    </row>
    <row r="9007" spans="2:8" x14ac:dyDescent="0.35">
      <c r="B9007"/>
      <c r="C9007"/>
      <c r="H9007"/>
    </row>
    <row r="9008" spans="2:8" x14ac:dyDescent="0.35">
      <c r="B9008"/>
      <c r="C9008"/>
      <c r="H9008"/>
    </row>
    <row r="9009" spans="2:8" x14ac:dyDescent="0.35">
      <c r="B9009"/>
      <c r="C9009"/>
      <c r="H9009"/>
    </row>
    <row r="9010" spans="2:8" x14ac:dyDescent="0.35">
      <c r="B9010"/>
      <c r="C9010"/>
      <c r="H9010"/>
    </row>
    <row r="9011" spans="2:8" x14ac:dyDescent="0.35">
      <c r="B9011"/>
      <c r="C9011"/>
      <c r="H9011"/>
    </row>
    <row r="9012" spans="2:8" x14ac:dyDescent="0.35">
      <c r="B9012"/>
      <c r="C9012"/>
      <c r="H9012"/>
    </row>
    <row r="9013" spans="2:8" x14ac:dyDescent="0.35">
      <c r="B9013"/>
      <c r="C9013"/>
      <c r="H9013"/>
    </row>
    <row r="9014" spans="2:8" x14ac:dyDescent="0.35">
      <c r="B9014"/>
      <c r="C9014"/>
      <c r="H9014"/>
    </row>
    <row r="9015" spans="2:8" x14ac:dyDescent="0.35">
      <c r="B9015"/>
      <c r="C9015"/>
      <c r="H9015"/>
    </row>
    <row r="9016" spans="2:8" x14ac:dyDescent="0.35">
      <c r="B9016"/>
      <c r="C9016"/>
      <c r="H9016"/>
    </row>
    <row r="9017" spans="2:8" x14ac:dyDescent="0.35">
      <c r="B9017"/>
      <c r="C9017"/>
      <c r="H9017"/>
    </row>
    <row r="9018" spans="2:8" x14ac:dyDescent="0.35">
      <c r="B9018"/>
      <c r="C9018"/>
      <c r="H9018"/>
    </row>
    <row r="9019" spans="2:8" x14ac:dyDescent="0.35">
      <c r="B9019"/>
      <c r="C9019"/>
      <c r="H9019"/>
    </row>
    <row r="9020" spans="2:8" x14ac:dyDescent="0.35">
      <c r="B9020"/>
      <c r="C9020"/>
      <c r="H9020"/>
    </row>
    <row r="9021" spans="2:8" x14ac:dyDescent="0.35">
      <c r="B9021"/>
      <c r="C9021"/>
      <c r="H9021"/>
    </row>
    <row r="9022" spans="2:8" x14ac:dyDescent="0.35">
      <c r="B9022"/>
      <c r="C9022"/>
      <c r="H9022"/>
    </row>
    <row r="9023" spans="2:8" x14ac:dyDescent="0.35">
      <c r="B9023"/>
      <c r="C9023"/>
      <c r="H9023"/>
    </row>
    <row r="9024" spans="2:8" x14ac:dyDescent="0.35">
      <c r="B9024"/>
      <c r="C9024"/>
      <c r="H9024"/>
    </row>
    <row r="9025" spans="2:8" x14ac:dyDescent="0.35">
      <c r="B9025"/>
      <c r="C9025"/>
      <c r="H9025"/>
    </row>
    <row r="9026" spans="2:8" x14ac:dyDescent="0.35">
      <c r="B9026"/>
      <c r="C9026"/>
      <c r="H9026"/>
    </row>
    <row r="9027" spans="2:8" x14ac:dyDescent="0.35">
      <c r="B9027"/>
      <c r="C9027"/>
      <c r="H9027"/>
    </row>
    <row r="9028" spans="2:8" x14ac:dyDescent="0.35">
      <c r="B9028"/>
      <c r="C9028"/>
      <c r="H9028"/>
    </row>
    <row r="9029" spans="2:8" x14ac:dyDescent="0.35">
      <c r="B9029"/>
      <c r="C9029"/>
      <c r="H9029"/>
    </row>
    <row r="9030" spans="2:8" x14ac:dyDescent="0.35">
      <c r="B9030"/>
      <c r="C9030"/>
      <c r="H9030"/>
    </row>
    <row r="9031" spans="2:8" x14ac:dyDescent="0.35">
      <c r="B9031"/>
      <c r="C9031"/>
      <c r="H9031"/>
    </row>
    <row r="9032" spans="2:8" x14ac:dyDescent="0.35">
      <c r="B9032"/>
      <c r="C9032"/>
      <c r="H9032"/>
    </row>
    <row r="9033" spans="2:8" x14ac:dyDescent="0.35">
      <c r="B9033"/>
      <c r="C9033"/>
      <c r="H9033"/>
    </row>
    <row r="9034" spans="2:8" x14ac:dyDescent="0.35">
      <c r="B9034"/>
      <c r="C9034"/>
      <c r="H9034"/>
    </row>
    <row r="9035" spans="2:8" x14ac:dyDescent="0.35">
      <c r="B9035"/>
      <c r="C9035"/>
      <c r="H9035"/>
    </row>
    <row r="9036" spans="2:8" x14ac:dyDescent="0.35">
      <c r="B9036"/>
      <c r="C9036"/>
      <c r="H9036"/>
    </row>
    <row r="9037" spans="2:8" x14ac:dyDescent="0.35">
      <c r="B9037"/>
      <c r="C9037"/>
      <c r="H9037"/>
    </row>
    <row r="9038" spans="2:8" x14ac:dyDescent="0.35">
      <c r="B9038"/>
      <c r="C9038"/>
      <c r="H9038"/>
    </row>
    <row r="9039" spans="2:8" x14ac:dyDescent="0.35">
      <c r="B9039"/>
      <c r="C9039"/>
      <c r="H9039"/>
    </row>
    <row r="9040" spans="2:8" x14ac:dyDescent="0.35">
      <c r="B9040"/>
      <c r="C9040"/>
      <c r="H9040"/>
    </row>
    <row r="9041" spans="2:8" x14ac:dyDescent="0.35">
      <c r="B9041"/>
      <c r="C9041"/>
      <c r="H9041"/>
    </row>
    <row r="9042" spans="2:8" x14ac:dyDescent="0.35">
      <c r="B9042"/>
      <c r="C9042"/>
      <c r="H9042"/>
    </row>
    <row r="9043" spans="2:8" x14ac:dyDescent="0.35">
      <c r="B9043"/>
      <c r="C9043"/>
      <c r="H9043"/>
    </row>
    <row r="9044" spans="2:8" x14ac:dyDescent="0.35">
      <c r="B9044"/>
      <c r="C9044"/>
      <c r="H9044"/>
    </row>
    <row r="9045" spans="2:8" x14ac:dyDescent="0.35">
      <c r="B9045"/>
      <c r="C9045"/>
      <c r="H9045"/>
    </row>
    <row r="9046" spans="2:8" x14ac:dyDescent="0.35">
      <c r="B9046"/>
      <c r="C9046"/>
      <c r="H9046"/>
    </row>
    <row r="9047" spans="2:8" x14ac:dyDescent="0.35">
      <c r="B9047"/>
      <c r="C9047"/>
      <c r="H9047"/>
    </row>
    <row r="9048" spans="2:8" x14ac:dyDescent="0.35">
      <c r="B9048"/>
      <c r="C9048"/>
      <c r="H9048"/>
    </row>
    <row r="9049" spans="2:8" x14ac:dyDescent="0.35">
      <c r="B9049"/>
      <c r="C9049"/>
      <c r="H9049"/>
    </row>
    <row r="9050" spans="2:8" x14ac:dyDescent="0.35">
      <c r="B9050"/>
      <c r="C9050"/>
      <c r="H9050"/>
    </row>
    <row r="9051" spans="2:8" x14ac:dyDescent="0.35">
      <c r="B9051"/>
      <c r="C9051"/>
      <c r="H9051"/>
    </row>
    <row r="9052" spans="2:8" x14ac:dyDescent="0.35">
      <c r="B9052"/>
      <c r="C9052"/>
      <c r="H9052"/>
    </row>
    <row r="9053" spans="2:8" x14ac:dyDescent="0.35">
      <c r="B9053"/>
      <c r="C9053"/>
      <c r="H9053"/>
    </row>
    <row r="9054" spans="2:8" x14ac:dyDescent="0.35">
      <c r="B9054"/>
      <c r="C9054"/>
      <c r="H9054"/>
    </row>
    <row r="9055" spans="2:8" x14ac:dyDescent="0.35">
      <c r="B9055"/>
      <c r="C9055"/>
      <c r="H9055"/>
    </row>
    <row r="9056" spans="2:8" x14ac:dyDescent="0.35">
      <c r="B9056"/>
      <c r="C9056"/>
      <c r="H9056"/>
    </row>
    <row r="9057" spans="2:8" x14ac:dyDescent="0.35">
      <c r="B9057"/>
      <c r="C9057"/>
      <c r="H9057"/>
    </row>
    <row r="9058" spans="2:8" x14ac:dyDescent="0.35">
      <c r="B9058"/>
      <c r="C9058"/>
      <c r="H9058"/>
    </row>
    <row r="9059" spans="2:8" x14ac:dyDescent="0.35">
      <c r="B9059"/>
      <c r="C9059"/>
      <c r="H9059"/>
    </row>
    <row r="9060" spans="2:8" x14ac:dyDescent="0.35">
      <c r="B9060"/>
      <c r="C9060"/>
      <c r="H9060"/>
    </row>
    <row r="9061" spans="2:8" x14ac:dyDescent="0.35">
      <c r="B9061"/>
      <c r="C9061"/>
      <c r="H9061"/>
    </row>
    <row r="9062" spans="2:8" x14ac:dyDescent="0.35">
      <c r="B9062"/>
      <c r="C9062"/>
      <c r="H9062"/>
    </row>
    <row r="9063" spans="2:8" x14ac:dyDescent="0.35">
      <c r="B9063"/>
      <c r="C9063"/>
      <c r="H9063"/>
    </row>
    <row r="9064" spans="2:8" x14ac:dyDescent="0.35">
      <c r="B9064"/>
      <c r="C9064"/>
      <c r="H9064"/>
    </row>
    <row r="9065" spans="2:8" x14ac:dyDescent="0.35">
      <c r="B9065"/>
      <c r="C9065"/>
      <c r="H9065"/>
    </row>
    <row r="9066" spans="2:8" x14ac:dyDescent="0.35">
      <c r="B9066"/>
      <c r="C9066"/>
      <c r="H9066"/>
    </row>
    <row r="9067" spans="2:8" x14ac:dyDescent="0.35">
      <c r="B9067"/>
      <c r="C9067"/>
      <c r="H9067"/>
    </row>
    <row r="9068" spans="2:8" x14ac:dyDescent="0.35">
      <c r="B9068"/>
      <c r="C9068"/>
      <c r="H9068"/>
    </row>
    <row r="9069" spans="2:8" x14ac:dyDescent="0.35">
      <c r="B9069"/>
      <c r="C9069"/>
      <c r="H9069"/>
    </row>
    <row r="9070" spans="2:8" x14ac:dyDescent="0.35">
      <c r="B9070"/>
      <c r="C9070"/>
      <c r="H9070"/>
    </row>
    <row r="9071" spans="2:8" x14ac:dyDescent="0.35">
      <c r="B9071"/>
      <c r="C9071"/>
      <c r="H9071"/>
    </row>
    <row r="9072" spans="2:8" x14ac:dyDescent="0.35">
      <c r="B9072"/>
      <c r="C9072"/>
      <c r="H9072"/>
    </row>
    <row r="9073" spans="2:8" x14ac:dyDescent="0.35">
      <c r="B9073"/>
      <c r="C9073"/>
      <c r="H9073"/>
    </row>
    <row r="9074" spans="2:8" x14ac:dyDescent="0.35">
      <c r="B9074"/>
      <c r="C9074"/>
      <c r="H9074"/>
    </row>
    <row r="9075" spans="2:8" x14ac:dyDescent="0.35">
      <c r="B9075"/>
      <c r="C9075"/>
      <c r="H9075"/>
    </row>
    <row r="9076" spans="2:8" x14ac:dyDescent="0.35">
      <c r="B9076"/>
      <c r="C9076"/>
      <c r="H9076"/>
    </row>
    <row r="9077" spans="2:8" x14ac:dyDescent="0.35">
      <c r="B9077"/>
      <c r="C9077"/>
      <c r="H9077"/>
    </row>
    <row r="9078" spans="2:8" x14ac:dyDescent="0.35">
      <c r="B9078"/>
      <c r="C9078"/>
      <c r="H9078"/>
    </row>
    <row r="9079" spans="2:8" x14ac:dyDescent="0.35">
      <c r="B9079"/>
      <c r="C9079"/>
      <c r="H9079"/>
    </row>
    <row r="9080" spans="2:8" x14ac:dyDescent="0.35">
      <c r="B9080"/>
      <c r="C9080"/>
      <c r="H9080"/>
    </row>
    <row r="9081" spans="2:8" x14ac:dyDescent="0.35">
      <c r="B9081"/>
      <c r="C9081"/>
      <c r="H9081"/>
    </row>
    <row r="9082" spans="2:8" x14ac:dyDescent="0.35">
      <c r="B9082"/>
      <c r="C9082"/>
      <c r="H9082"/>
    </row>
    <row r="9083" spans="2:8" x14ac:dyDescent="0.35">
      <c r="B9083"/>
      <c r="C9083"/>
      <c r="H9083"/>
    </row>
    <row r="9084" spans="2:8" x14ac:dyDescent="0.35">
      <c r="B9084"/>
      <c r="C9084"/>
      <c r="H9084"/>
    </row>
    <row r="9085" spans="2:8" x14ac:dyDescent="0.35">
      <c r="B9085"/>
      <c r="C9085"/>
      <c r="H9085"/>
    </row>
    <row r="9086" spans="2:8" x14ac:dyDescent="0.35">
      <c r="B9086"/>
      <c r="C9086"/>
      <c r="H9086"/>
    </row>
    <row r="9087" spans="2:8" x14ac:dyDescent="0.35">
      <c r="B9087"/>
      <c r="C9087"/>
      <c r="H9087"/>
    </row>
    <row r="9088" spans="2:8" x14ac:dyDescent="0.35">
      <c r="B9088"/>
      <c r="C9088"/>
      <c r="H9088"/>
    </row>
    <row r="9089" spans="2:8" x14ac:dyDescent="0.35">
      <c r="B9089"/>
      <c r="C9089"/>
      <c r="H9089"/>
    </row>
    <row r="9090" spans="2:8" x14ac:dyDescent="0.35">
      <c r="B9090"/>
      <c r="C9090"/>
      <c r="H9090"/>
    </row>
    <row r="9091" spans="2:8" x14ac:dyDescent="0.35">
      <c r="B9091"/>
      <c r="C9091"/>
      <c r="H9091"/>
    </row>
    <row r="9092" spans="2:8" x14ac:dyDescent="0.35">
      <c r="B9092"/>
      <c r="C9092"/>
      <c r="H9092"/>
    </row>
    <row r="9093" spans="2:8" x14ac:dyDescent="0.35">
      <c r="B9093"/>
      <c r="C9093"/>
      <c r="H9093"/>
    </row>
    <row r="9094" spans="2:8" x14ac:dyDescent="0.35">
      <c r="B9094"/>
      <c r="C9094"/>
      <c r="H9094"/>
    </row>
    <row r="9095" spans="2:8" x14ac:dyDescent="0.35">
      <c r="B9095"/>
      <c r="C9095"/>
      <c r="H9095"/>
    </row>
    <row r="9096" spans="2:8" x14ac:dyDescent="0.35">
      <c r="B9096"/>
      <c r="C9096"/>
      <c r="H9096"/>
    </row>
    <row r="9097" spans="2:8" x14ac:dyDescent="0.35">
      <c r="B9097"/>
      <c r="C9097"/>
      <c r="H9097"/>
    </row>
    <row r="9098" spans="2:8" x14ac:dyDescent="0.35">
      <c r="B9098"/>
      <c r="C9098"/>
      <c r="H9098"/>
    </row>
    <row r="9099" spans="2:8" x14ac:dyDescent="0.35">
      <c r="B9099"/>
      <c r="C9099"/>
      <c r="H9099"/>
    </row>
    <row r="9100" spans="2:8" x14ac:dyDescent="0.35">
      <c r="B9100"/>
      <c r="C9100"/>
      <c r="H9100"/>
    </row>
    <row r="9101" spans="2:8" x14ac:dyDescent="0.35">
      <c r="B9101"/>
      <c r="C9101"/>
      <c r="H9101"/>
    </row>
    <row r="9102" spans="2:8" x14ac:dyDescent="0.35">
      <c r="B9102"/>
      <c r="C9102"/>
      <c r="H9102"/>
    </row>
    <row r="9103" spans="2:8" x14ac:dyDescent="0.35">
      <c r="B9103"/>
      <c r="C9103"/>
      <c r="H9103"/>
    </row>
    <row r="9104" spans="2:8" x14ac:dyDescent="0.35">
      <c r="B9104"/>
      <c r="C9104"/>
      <c r="H9104"/>
    </row>
    <row r="9105" spans="2:8" x14ac:dyDescent="0.35">
      <c r="B9105"/>
      <c r="C9105"/>
      <c r="H9105"/>
    </row>
    <row r="9106" spans="2:8" x14ac:dyDescent="0.35">
      <c r="B9106"/>
      <c r="C9106"/>
      <c r="H9106"/>
    </row>
    <row r="9107" spans="2:8" x14ac:dyDescent="0.35">
      <c r="B9107"/>
      <c r="C9107"/>
      <c r="H9107"/>
    </row>
    <row r="9108" spans="2:8" x14ac:dyDescent="0.35">
      <c r="B9108"/>
      <c r="C9108"/>
      <c r="H9108"/>
    </row>
    <row r="9109" spans="2:8" x14ac:dyDescent="0.35">
      <c r="B9109"/>
      <c r="C9109"/>
      <c r="H9109"/>
    </row>
    <row r="9110" spans="2:8" x14ac:dyDescent="0.35">
      <c r="B9110"/>
      <c r="C9110"/>
      <c r="H9110"/>
    </row>
    <row r="9111" spans="2:8" x14ac:dyDescent="0.35">
      <c r="B9111"/>
      <c r="C9111"/>
      <c r="H9111"/>
    </row>
    <row r="9112" spans="2:8" x14ac:dyDescent="0.35">
      <c r="B9112"/>
      <c r="C9112"/>
      <c r="H9112"/>
    </row>
    <row r="9113" spans="2:8" x14ac:dyDescent="0.35">
      <c r="B9113"/>
      <c r="C9113"/>
      <c r="H9113"/>
    </row>
    <row r="9114" spans="2:8" x14ac:dyDescent="0.35">
      <c r="B9114"/>
      <c r="C9114"/>
      <c r="H9114"/>
    </row>
    <row r="9115" spans="2:8" x14ac:dyDescent="0.35">
      <c r="B9115"/>
      <c r="C9115"/>
      <c r="H9115"/>
    </row>
    <row r="9116" spans="2:8" x14ac:dyDescent="0.35">
      <c r="B9116"/>
      <c r="C9116"/>
      <c r="H9116"/>
    </row>
    <row r="9117" spans="2:8" x14ac:dyDescent="0.35">
      <c r="B9117"/>
      <c r="C9117"/>
      <c r="H9117"/>
    </row>
    <row r="9118" spans="2:8" x14ac:dyDescent="0.35">
      <c r="B9118"/>
      <c r="C9118"/>
      <c r="H9118"/>
    </row>
    <row r="9119" spans="2:8" x14ac:dyDescent="0.35">
      <c r="B9119"/>
      <c r="C9119"/>
      <c r="H9119"/>
    </row>
    <row r="9120" spans="2:8" x14ac:dyDescent="0.35">
      <c r="B9120"/>
      <c r="C9120"/>
      <c r="H9120"/>
    </row>
    <row r="9121" spans="2:8" x14ac:dyDescent="0.35">
      <c r="B9121"/>
      <c r="C9121"/>
      <c r="H9121"/>
    </row>
    <row r="9122" spans="2:8" x14ac:dyDescent="0.35">
      <c r="B9122"/>
      <c r="C9122"/>
      <c r="H9122"/>
    </row>
    <row r="9123" spans="2:8" x14ac:dyDescent="0.35">
      <c r="B9123"/>
      <c r="C9123"/>
      <c r="H9123"/>
    </row>
    <row r="9124" spans="2:8" x14ac:dyDescent="0.35">
      <c r="B9124"/>
      <c r="C9124"/>
      <c r="H9124"/>
    </row>
    <row r="9125" spans="2:8" x14ac:dyDescent="0.35">
      <c r="B9125"/>
      <c r="C9125"/>
      <c r="H9125"/>
    </row>
    <row r="9126" spans="2:8" x14ac:dyDescent="0.35">
      <c r="B9126"/>
      <c r="C9126"/>
      <c r="H9126"/>
    </row>
    <row r="9127" spans="2:8" x14ac:dyDescent="0.35">
      <c r="B9127"/>
      <c r="C9127"/>
      <c r="H9127"/>
    </row>
    <row r="9128" spans="2:8" x14ac:dyDescent="0.35">
      <c r="B9128"/>
      <c r="C9128"/>
      <c r="H9128"/>
    </row>
    <row r="9129" spans="2:8" x14ac:dyDescent="0.35">
      <c r="B9129"/>
      <c r="C9129"/>
      <c r="H9129"/>
    </row>
    <row r="9130" spans="2:8" x14ac:dyDescent="0.35">
      <c r="B9130"/>
      <c r="C9130"/>
      <c r="H9130"/>
    </row>
    <row r="9131" spans="2:8" x14ac:dyDescent="0.35">
      <c r="B9131"/>
      <c r="C9131"/>
      <c r="H9131"/>
    </row>
    <row r="9132" spans="2:8" x14ac:dyDescent="0.35">
      <c r="B9132"/>
      <c r="C9132"/>
      <c r="H9132"/>
    </row>
    <row r="9133" spans="2:8" x14ac:dyDescent="0.35">
      <c r="B9133"/>
      <c r="C9133"/>
      <c r="H9133"/>
    </row>
    <row r="9134" spans="2:8" x14ac:dyDescent="0.35">
      <c r="B9134"/>
      <c r="C9134"/>
      <c r="H9134"/>
    </row>
    <row r="9135" spans="2:8" x14ac:dyDescent="0.35">
      <c r="B9135"/>
      <c r="C9135"/>
      <c r="H9135"/>
    </row>
    <row r="9136" spans="2:8" x14ac:dyDescent="0.35">
      <c r="B9136"/>
      <c r="C9136"/>
      <c r="H9136"/>
    </row>
    <row r="9137" spans="2:8" x14ac:dyDescent="0.35">
      <c r="B9137"/>
      <c r="C9137"/>
      <c r="H9137"/>
    </row>
    <row r="9138" spans="2:8" x14ac:dyDescent="0.35">
      <c r="B9138"/>
      <c r="C9138"/>
      <c r="H9138"/>
    </row>
    <row r="9139" spans="2:8" x14ac:dyDescent="0.35">
      <c r="B9139"/>
      <c r="C9139"/>
      <c r="H9139"/>
    </row>
    <row r="9140" spans="2:8" x14ac:dyDescent="0.35">
      <c r="B9140"/>
      <c r="C9140"/>
      <c r="H9140"/>
    </row>
    <row r="9141" spans="2:8" x14ac:dyDescent="0.35">
      <c r="B9141"/>
      <c r="C9141"/>
      <c r="H9141"/>
    </row>
    <row r="9142" spans="2:8" x14ac:dyDescent="0.35">
      <c r="B9142"/>
      <c r="C9142"/>
      <c r="H9142"/>
    </row>
    <row r="9143" spans="2:8" x14ac:dyDescent="0.35">
      <c r="B9143"/>
      <c r="C9143"/>
      <c r="H9143"/>
    </row>
    <row r="9144" spans="2:8" x14ac:dyDescent="0.35">
      <c r="B9144"/>
      <c r="C9144"/>
      <c r="H9144"/>
    </row>
    <row r="9145" spans="2:8" x14ac:dyDescent="0.35">
      <c r="B9145"/>
      <c r="C9145"/>
      <c r="H9145"/>
    </row>
    <row r="9146" spans="2:8" x14ac:dyDescent="0.35">
      <c r="B9146"/>
      <c r="C9146"/>
      <c r="H9146"/>
    </row>
    <row r="9147" spans="2:8" x14ac:dyDescent="0.35">
      <c r="B9147"/>
      <c r="C9147"/>
      <c r="H9147"/>
    </row>
    <row r="9148" spans="2:8" x14ac:dyDescent="0.35">
      <c r="B9148"/>
      <c r="C9148"/>
      <c r="H9148"/>
    </row>
    <row r="9149" spans="2:8" x14ac:dyDescent="0.35">
      <c r="B9149"/>
      <c r="C9149"/>
      <c r="H9149"/>
    </row>
    <row r="9150" spans="2:8" x14ac:dyDescent="0.35">
      <c r="B9150"/>
      <c r="C9150"/>
      <c r="H9150"/>
    </row>
    <row r="9151" spans="2:8" x14ac:dyDescent="0.35">
      <c r="B9151"/>
      <c r="C9151"/>
      <c r="H9151"/>
    </row>
    <row r="9152" spans="2:8" x14ac:dyDescent="0.35">
      <c r="B9152"/>
      <c r="C9152"/>
      <c r="H9152"/>
    </row>
    <row r="9153" spans="2:8" x14ac:dyDescent="0.35">
      <c r="B9153"/>
      <c r="C9153"/>
      <c r="H9153"/>
    </row>
    <row r="9154" spans="2:8" x14ac:dyDescent="0.35">
      <c r="B9154"/>
      <c r="C9154"/>
      <c r="H9154"/>
    </row>
    <row r="9155" spans="2:8" x14ac:dyDescent="0.35">
      <c r="B9155"/>
      <c r="C9155"/>
      <c r="H9155"/>
    </row>
    <row r="9156" spans="2:8" x14ac:dyDescent="0.35">
      <c r="B9156"/>
      <c r="C9156"/>
      <c r="H9156"/>
    </row>
    <row r="9157" spans="2:8" x14ac:dyDescent="0.35">
      <c r="B9157"/>
      <c r="C9157"/>
      <c r="H9157"/>
    </row>
    <row r="9158" spans="2:8" x14ac:dyDescent="0.35">
      <c r="B9158"/>
      <c r="C9158"/>
      <c r="H9158"/>
    </row>
    <row r="9159" spans="2:8" x14ac:dyDescent="0.35">
      <c r="B9159"/>
      <c r="C9159"/>
      <c r="H9159"/>
    </row>
    <row r="9160" spans="2:8" x14ac:dyDescent="0.35">
      <c r="B9160"/>
      <c r="C9160"/>
      <c r="H9160"/>
    </row>
    <row r="9161" spans="2:8" x14ac:dyDescent="0.35">
      <c r="B9161"/>
      <c r="C9161"/>
      <c r="H9161"/>
    </row>
    <row r="9162" spans="2:8" x14ac:dyDescent="0.35">
      <c r="B9162"/>
      <c r="C9162"/>
      <c r="H9162"/>
    </row>
    <row r="9163" spans="2:8" x14ac:dyDescent="0.35">
      <c r="B9163"/>
      <c r="C9163"/>
      <c r="H9163"/>
    </row>
    <row r="9164" spans="2:8" x14ac:dyDescent="0.35">
      <c r="B9164"/>
      <c r="C9164"/>
      <c r="H9164"/>
    </row>
    <row r="9165" spans="2:8" x14ac:dyDescent="0.35">
      <c r="B9165"/>
      <c r="C9165"/>
      <c r="H9165"/>
    </row>
    <row r="9166" spans="2:8" x14ac:dyDescent="0.35">
      <c r="B9166"/>
      <c r="C9166"/>
      <c r="H9166"/>
    </row>
    <row r="9167" spans="2:8" x14ac:dyDescent="0.35">
      <c r="B9167"/>
      <c r="C9167"/>
      <c r="H9167"/>
    </row>
    <row r="9168" spans="2:8" x14ac:dyDescent="0.35">
      <c r="B9168"/>
      <c r="C9168"/>
      <c r="H9168"/>
    </row>
    <row r="9169" spans="2:8" x14ac:dyDescent="0.35">
      <c r="B9169"/>
      <c r="C9169"/>
      <c r="H9169"/>
    </row>
    <row r="9170" spans="2:8" x14ac:dyDescent="0.35">
      <c r="B9170"/>
      <c r="C9170"/>
      <c r="H9170"/>
    </row>
    <row r="9171" spans="2:8" x14ac:dyDescent="0.35">
      <c r="B9171"/>
      <c r="C9171"/>
      <c r="H9171"/>
    </row>
    <row r="9172" spans="2:8" x14ac:dyDescent="0.35">
      <c r="B9172"/>
      <c r="C9172"/>
      <c r="H9172"/>
    </row>
    <row r="9173" spans="2:8" x14ac:dyDescent="0.35">
      <c r="B9173"/>
      <c r="C9173"/>
      <c r="H9173"/>
    </row>
    <row r="9174" spans="2:8" x14ac:dyDescent="0.35">
      <c r="B9174"/>
      <c r="C9174"/>
      <c r="H9174"/>
    </row>
    <row r="9175" spans="2:8" x14ac:dyDescent="0.35">
      <c r="B9175"/>
      <c r="C9175"/>
      <c r="H9175"/>
    </row>
    <row r="9176" spans="2:8" x14ac:dyDescent="0.35">
      <c r="B9176"/>
      <c r="C9176"/>
      <c r="H9176"/>
    </row>
    <row r="9177" spans="2:8" x14ac:dyDescent="0.35">
      <c r="B9177"/>
      <c r="C9177"/>
      <c r="H9177"/>
    </row>
    <row r="9178" spans="2:8" x14ac:dyDescent="0.35">
      <c r="B9178"/>
      <c r="C9178"/>
      <c r="H9178"/>
    </row>
    <row r="9179" spans="2:8" x14ac:dyDescent="0.35">
      <c r="B9179"/>
      <c r="C9179"/>
      <c r="H9179"/>
    </row>
    <row r="9180" spans="2:8" x14ac:dyDescent="0.35">
      <c r="B9180"/>
      <c r="C9180"/>
      <c r="H9180"/>
    </row>
    <row r="9181" spans="2:8" x14ac:dyDescent="0.35">
      <c r="B9181"/>
      <c r="C9181"/>
      <c r="H9181"/>
    </row>
    <row r="9182" spans="2:8" x14ac:dyDescent="0.35">
      <c r="B9182"/>
      <c r="C9182"/>
      <c r="H9182"/>
    </row>
    <row r="9183" spans="2:8" x14ac:dyDescent="0.35">
      <c r="B9183"/>
      <c r="C9183"/>
      <c r="H9183"/>
    </row>
    <row r="9184" spans="2:8" x14ac:dyDescent="0.35">
      <c r="B9184"/>
      <c r="C9184"/>
      <c r="H9184"/>
    </row>
    <row r="9185" spans="2:8" x14ac:dyDescent="0.35">
      <c r="B9185"/>
      <c r="C9185"/>
      <c r="H9185"/>
    </row>
    <row r="9186" spans="2:8" x14ac:dyDescent="0.35">
      <c r="B9186"/>
      <c r="C9186"/>
      <c r="H9186"/>
    </row>
    <row r="9187" spans="2:8" x14ac:dyDescent="0.35">
      <c r="B9187"/>
      <c r="C9187"/>
      <c r="H9187"/>
    </row>
    <row r="9188" spans="2:8" x14ac:dyDescent="0.35">
      <c r="B9188"/>
      <c r="C9188"/>
      <c r="H9188"/>
    </row>
    <row r="9189" spans="2:8" x14ac:dyDescent="0.35">
      <c r="B9189"/>
      <c r="C9189"/>
      <c r="H9189"/>
    </row>
    <row r="9190" spans="2:8" x14ac:dyDescent="0.35">
      <c r="B9190"/>
      <c r="C9190"/>
      <c r="H9190"/>
    </row>
    <row r="9191" spans="2:8" x14ac:dyDescent="0.35">
      <c r="B9191"/>
      <c r="C9191"/>
      <c r="H9191"/>
    </row>
    <row r="9192" spans="2:8" x14ac:dyDescent="0.35">
      <c r="B9192"/>
      <c r="C9192"/>
      <c r="H9192"/>
    </row>
    <row r="9193" spans="2:8" x14ac:dyDescent="0.35">
      <c r="B9193"/>
      <c r="C9193"/>
      <c r="H9193"/>
    </row>
    <row r="9194" spans="2:8" x14ac:dyDescent="0.35">
      <c r="B9194"/>
      <c r="C9194"/>
      <c r="H9194"/>
    </row>
    <row r="9195" spans="2:8" x14ac:dyDescent="0.35">
      <c r="B9195"/>
      <c r="C9195"/>
      <c r="H9195"/>
    </row>
    <row r="9196" spans="2:8" x14ac:dyDescent="0.35">
      <c r="B9196"/>
      <c r="C9196"/>
      <c r="H9196"/>
    </row>
    <row r="9197" spans="2:8" x14ac:dyDescent="0.35">
      <c r="B9197"/>
      <c r="C9197"/>
      <c r="H9197"/>
    </row>
    <row r="9198" spans="2:8" x14ac:dyDescent="0.35">
      <c r="B9198"/>
      <c r="C9198"/>
      <c r="H9198"/>
    </row>
    <row r="9199" spans="2:8" x14ac:dyDescent="0.35">
      <c r="B9199"/>
      <c r="C9199"/>
      <c r="H9199"/>
    </row>
    <row r="9200" spans="2:8" x14ac:dyDescent="0.35">
      <c r="B9200"/>
      <c r="C9200"/>
      <c r="H9200"/>
    </row>
    <row r="9201" spans="2:8" x14ac:dyDescent="0.35">
      <c r="B9201"/>
      <c r="C9201"/>
      <c r="H9201"/>
    </row>
    <row r="9202" spans="2:8" x14ac:dyDescent="0.35">
      <c r="B9202"/>
      <c r="C9202"/>
      <c r="H9202"/>
    </row>
    <row r="9203" spans="2:8" x14ac:dyDescent="0.35">
      <c r="B9203"/>
      <c r="C9203"/>
      <c r="H9203"/>
    </row>
    <row r="9204" spans="2:8" x14ac:dyDescent="0.35">
      <c r="B9204"/>
      <c r="C9204"/>
      <c r="H9204"/>
    </row>
    <row r="9205" spans="2:8" x14ac:dyDescent="0.35">
      <c r="B9205"/>
      <c r="C9205"/>
      <c r="H9205"/>
    </row>
    <row r="9206" spans="2:8" x14ac:dyDescent="0.35">
      <c r="B9206"/>
      <c r="C9206"/>
      <c r="H9206"/>
    </row>
    <row r="9207" spans="2:8" x14ac:dyDescent="0.35">
      <c r="B9207"/>
      <c r="C9207"/>
      <c r="H9207"/>
    </row>
    <row r="9208" spans="2:8" x14ac:dyDescent="0.35">
      <c r="B9208"/>
      <c r="C9208"/>
      <c r="H9208"/>
    </row>
    <row r="9209" spans="2:8" x14ac:dyDescent="0.35">
      <c r="B9209"/>
      <c r="C9209"/>
      <c r="H9209"/>
    </row>
    <row r="9210" spans="2:8" x14ac:dyDescent="0.35">
      <c r="B9210"/>
      <c r="C9210"/>
      <c r="H9210"/>
    </row>
    <row r="9211" spans="2:8" x14ac:dyDescent="0.35">
      <c r="B9211"/>
      <c r="C9211"/>
      <c r="H9211"/>
    </row>
    <row r="9212" spans="2:8" x14ac:dyDescent="0.35">
      <c r="B9212"/>
      <c r="C9212"/>
      <c r="H9212"/>
    </row>
    <row r="9213" spans="2:8" x14ac:dyDescent="0.35">
      <c r="B9213"/>
      <c r="C9213"/>
      <c r="H9213"/>
    </row>
    <row r="9214" spans="2:8" x14ac:dyDescent="0.35">
      <c r="B9214"/>
      <c r="C9214"/>
      <c r="H9214"/>
    </row>
    <row r="9215" spans="2:8" x14ac:dyDescent="0.35">
      <c r="B9215"/>
      <c r="C9215"/>
      <c r="H9215"/>
    </row>
    <row r="9216" spans="2:8" x14ac:dyDescent="0.35">
      <c r="B9216"/>
      <c r="C9216"/>
      <c r="H9216"/>
    </row>
    <row r="9217" spans="2:8" x14ac:dyDescent="0.35">
      <c r="B9217"/>
      <c r="C9217"/>
      <c r="H9217"/>
    </row>
    <row r="9218" spans="2:8" x14ac:dyDescent="0.35">
      <c r="B9218"/>
      <c r="C9218"/>
      <c r="H9218"/>
    </row>
    <row r="9219" spans="2:8" x14ac:dyDescent="0.35">
      <c r="B9219"/>
      <c r="C9219"/>
      <c r="H9219"/>
    </row>
    <row r="9220" spans="2:8" x14ac:dyDescent="0.35">
      <c r="B9220"/>
      <c r="C9220"/>
      <c r="H9220"/>
    </row>
    <row r="9221" spans="2:8" x14ac:dyDescent="0.35">
      <c r="B9221"/>
      <c r="C9221"/>
      <c r="H9221"/>
    </row>
    <row r="9222" spans="2:8" x14ac:dyDescent="0.35">
      <c r="B9222"/>
      <c r="C9222"/>
      <c r="H9222"/>
    </row>
    <row r="9223" spans="2:8" x14ac:dyDescent="0.35">
      <c r="B9223"/>
      <c r="C9223"/>
      <c r="H9223"/>
    </row>
    <row r="9224" spans="2:8" x14ac:dyDescent="0.35">
      <c r="B9224"/>
      <c r="C9224"/>
      <c r="H9224"/>
    </row>
    <row r="9225" spans="2:8" x14ac:dyDescent="0.35">
      <c r="B9225"/>
      <c r="C9225"/>
      <c r="H9225"/>
    </row>
    <row r="9226" spans="2:8" x14ac:dyDescent="0.35">
      <c r="B9226"/>
      <c r="C9226"/>
      <c r="H9226"/>
    </row>
    <row r="9227" spans="2:8" x14ac:dyDescent="0.35">
      <c r="B9227"/>
      <c r="C9227"/>
      <c r="H9227"/>
    </row>
    <row r="9228" spans="2:8" x14ac:dyDescent="0.35">
      <c r="B9228"/>
      <c r="C9228"/>
      <c r="H9228"/>
    </row>
    <row r="9229" spans="2:8" x14ac:dyDescent="0.35">
      <c r="B9229"/>
      <c r="C9229"/>
      <c r="H9229"/>
    </row>
    <row r="9230" spans="2:8" x14ac:dyDescent="0.35">
      <c r="B9230"/>
      <c r="C9230"/>
      <c r="H9230"/>
    </row>
    <row r="9231" spans="2:8" x14ac:dyDescent="0.35">
      <c r="B9231"/>
      <c r="C9231"/>
      <c r="H9231"/>
    </row>
    <row r="9232" spans="2:8" x14ac:dyDescent="0.35">
      <c r="B9232"/>
      <c r="C9232"/>
      <c r="H9232"/>
    </row>
    <row r="9233" spans="2:8" x14ac:dyDescent="0.35">
      <c r="B9233"/>
      <c r="C9233"/>
      <c r="H9233"/>
    </row>
    <row r="9234" spans="2:8" x14ac:dyDescent="0.35">
      <c r="B9234"/>
      <c r="C9234"/>
      <c r="H9234"/>
    </row>
    <row r="9235" spans="2:8" x14ac:dyDescent="0.35">
      <c r="B9235"/>
      <c r="C9235"/>
      <c r="H9235"/>
    </row>
    <row r="9236" spans="2:8" x14ac:dyDescent="0.35">
      <c r="B9236"/>
      <c r="C9236"/>
      <c r="H9236"/>
    </row>
    <row r="9237" spans="2:8" x14ac:dyDescent="0.35">
      <c r="B9237"/>
      <c r="C9237"/>
      <c r="H9237"/>
    </row>
    <row r="9238" spans="2:8" x14ac:dyDescent="0.35">
      <c r="B9238"/>
      <c r="C9238"/>
      <c r="H9238"/>
    </row>
    <row r="9239" spans="2:8" x14ac:dyDescent="0.35">
      <c r="B9239"/>
      <c r="C9239"/>
      <c r="H9239"/>
    </row>
    <row r="9240" spans="2:8" x14ac:dyDescent="0.35">
      <c r="B9240"/>
      <c r="C9240"/>
      <c r="H9240"/>
    </row>
    <row r="9241" spans="2:8" x14ac:dyDescent="0.35">
      <c r="B9241"/>
      <c r="C9241"/>
      <c r="H9241"/>
    </row>
    <row r="9242" spans="2:8" x14ac:dyDescent="0.35">
      <c r="B9242"/>
      <c r="C9242"/>
      <c r="H9242"/>
    </row>
    <row r="9243" spans="2:8" x14ac:dyDescent="0.35">
      <c r="B9243"/>
      <c r="C9243"/>
      <c r="H9243"/>
    </row>
    <row r="9244" spans="2:8" x14ac:dyDescent="0.35">
      <c r="B9244"/>
      <c r="C9244"/>
      <c r="H9244"/>
    </row>
    <row r="9245" spans="2:8" x14ac:dyDescent="0.35">
      <c r="B9245"/>
      <c r="C9245"/>
      <c r="H9245"/>
    </row>
    <row r="9246" spans="2:8" x14ac:dyDescent="0.35">
      <c r="B9246"/>
      <c r="C9246"/>
      <c r="H9246"/>
    </row>
    <row r="9247" spans="2:8" x14ac:dyDescent="0.35">
      <c r="B9247"/>
      <c r="C9247"/>
      <c r="H9247"/>
    </row>
    <row r="9248" spans="2:8" x14ac:dyDescent="0.35">
      <c r="B9248"/>
      <c r="C9248"/>
      <c r="H9248"/>
    </row>
    <row r="9249" spans="2:8" x14ac:dyDescent="0.35">
      <c r="B9249"/>
      <c r="C9249"/>
      <c r="H9249"/>
    </row>
    <row r="9250" spans="2:8" x14ac:dyDescent="0.35">
      <c r="B9250"/>
      <c r="C9250"/>
      <c r="H9250"/>
    </row>
    <row r="9251" spans="2:8" x14ac:dyDescent="0.35">
      <c r="B9251"/>
      <c r="C9251"/>
      <c r="H9251"/>
    </row>
    <row r="9252" spans="2:8" x14ac:dyDescent="0.35">
      <c r="B9252"/>
      <c r="C9252"/>
      <c r="H9252"/>
    </row>
    <row r="9253" spans="2:8" x14ac:dyDescent="0.35">
      <c r="B9253"/>
      <c r="C9253"/>
      <c r="H9253"/>
    </row>
    <row r="9254" spans="2:8" x14ac:dyDescent="0.35">
      <c r="B9254"/>
      <c r="C9254"/>
      <c r="H9254"/>
    </row>
    <row r="9255" spans="2:8" x14ac:dyDescent="0.35">
      <c r="B9255"/>
      <c r="C9255"/>
      <c r="H9255"/>
    </row>
    <row r="9256" spans="2:8" x14ac:dyDescent="0.35">
      <c r="B9256"/>
      <c r="C9256"/>
      <c r="H9256"/>
    </row>
    <row r="9257" spans="2:8" x14ac:dyDescent="0.35">
      <c r="B9257"/>
      <c r="C9257"/>
      <c r="H9257"/>
    </row>
    <row r="9258" spans="2:8" x14ac:dyDescent="0.35">
      <c r="B9258"/>
      <c r="C9258"/>
      <c r="H9258"/>
    </row>
    <row r="9259" spans="2:8" x14ac:dyDescent="0.35">
      <c r="B9259"/>
      <c r="C9259"/>
      <c r="H9259"/>
    </row>
    <row r="9260" spans="2:8" x14ac:dyDescent="0.35">
      <c r="B9260"/>
      <c r="C9260"/>
      <c r="H9260"/>
    </row>
    <row r="9261" spans="2:8" x14ac:dyDescent="0.35">
      <c r="B9261"/>
      <c r="C9261"/>
      <c r="H9261"/>
    </row>
    <row r="9262" spans="2:8" x14ac:dyDescent="0.35">
      <c r="B9262"/>
      <c r="C9262"/>
      <c r="H9262"/>
    </row>
    <row r="9263" spans="2:8" x14ac:dyDescent="0.35">
      <c r="B9263"/>
      <c r="C9263"/>
      <c r="H9263"/>
    </row>
    <row r="9264" spans="2:8" x14ac:dyDescent="0.35">
      <c r="B9264"/>
      <c r="C9264"/>
      <c r="H9264"/>
    </row>
    <row r="9265" spans="2:8" x14ac:dyDescent="0.35">
      <c r="B9265"/>
      <c r="C9265"/>
      <c r="H9265"/>
    </row>
    <row r="9266" spans="2:8" x14ac:dyDescent="0.35">
      <c r="B9266"/>
      <c r="C9266"/>
      <c r="H9266"/>
    </row>
    <row r="9267" spans="2:8" x14ac:dyDescent="0.35">
      <c r="B9267"/>
      <c r="C9267"/>
      <c r="H9267"/>
    </row>
    <row r="9268" spans="2:8" x14ac:dyDescent="0.35">
      <c r="B9268"/>
      <c r="C9268"/>
      <c r="H9268"/>
    </row>
    <row r="9269" spans="2:8" x14ac:dyDescent="0.35">
      <c r="B9269"/>
      <c r="C9269"/>
      <c r="H9269"/>
    </row>
    <row r="9270" spans="2:8" x14ac:dyDescent="0.35">
      <c r="B9270"/>
      <c r="C9270"/>
      <c r="H9270"/>
    </row>
    <row r="9271" spans="2:8" x14ac:dyDescent="0.35">
      <c r="B9271"/>
      <c r="C9271"/>
      <c r="H9271"/>
    </row>
    <row r="9272" spans="2:8" x14ac:dyDescent="0.35">
      <c r="B9272"/>
      <c r="C9272"/>
      <c r="H9272"/>
    </row>
    <row r="9273" spans="2:8" x14ac:dyDescent="0.35">
      <c r="B9273"/>
      <c r="C9273"/>
      <c r="H9273"/>
    </row>
    <row r="9274" spans="2:8" x14ac:dyDescent="0.35">
      <c r="B9274"/>
      <c r="C9274"/>
      <c r="H9274"/>
    </row>
    <row r="9275" spans="2:8" x14ac:dyDescent="0.35">
      <c r="B9275"/>
      <c r="C9275"/>
      <c r="H9275"/>
    </row>
    <row r="9276" spans="2:8" x14ac:dyDescent="0.35">
      <c r="B9276"/>
      <c r="C9276"/>
      <c r="H9276"/>
    </row>
    <row r="9277" spans="2:8" x14ac:dyDescent="0.35">
      <c r="B9277"/>
      <c r="C9277"/>
      <c r="H9277"/>
    </row>
    <row r="9278" spans="2:8" x14ac:dyDescent="0.35">
      <c r="B9278"/>
      <c r="C9278"/>
      <c r="H9278"/>
    </row>
    <row r="9279" spans="2:8" x14ac:dyDescent="0.35">
      <c r="B9279"/>
      <c r="C9279"/>
      <c r="H9279"/>
    </row>
    <row r="9280" spans="2:8" x14ac:dyDescent="0.35">
      <c r="B9280"/>
      <c r="C9280"/>
      <c r="H9280"/>
    </row>
    <row r="9281" spans="2:8" x14ac:dyDescent="0.35">
      <c r="B9281"/>
      <c r="C9281"/>
      <c r="H9281"/>
    </row>
    <row r="9282" spans="2:8" x14ac:dyDescent="0.35">
      <c r="B9282"/>
      <c r="C9282"/>
      <c r="H9282"/>
    </row>
    <row r="9283" spans="2:8" x14ac:dyDescent="0.35">
      <c r="B9283"/>
      <c r="C9283"/>
      <c r="H9283"/>
    </row>
    <row r="9284" spans="2:8" x14ac:dyDescent="0.35">
      <c r="B9284"/>
      <c r="C9284"/>
      <c r="H9284"/>
    </row>
    <row r="9285" spans="2:8" x14ac:dyDescent="0.35">
      <c r="B9285"/>
      <c r="C9285"/>
      <c r="H9285"/>
    </row>
    <row r="9286" spans="2:8" x14ac:dyDescent="0.35">
      <c r="B9286"/>
      <c r="C9286"/>
      <c r="H9286"/>
    </row>
    <row r="9287" spans="2:8" x14ac:dyDescent="0.35">
      <c r="B9287"/>
      <c r="C9287"/>
      <c r="H9287"/>
    </row>
    <row r="9288" spans="2:8" x14ac:dyDescent="0.35">
      <c r="B9288"/>
      <c r="C9288"/>
      <c r="H9288"/>
    </row>
    <row r="9289" spans="2:8" x14ac:dyDescent="0.35">
      <c r="B9289"/>
      <c r="C9289"/>
      <c r="H9289"/>
    </row>
    <row r="9290" spans="2:8" x14ac:dyDescent="0.35">
      <c r="B9290"/>
      <c r="C9290"/>
      <c r="H9290"/>
    </row>
    <row r="9291" spans="2:8" x14ac:dyDescent="0.35">
      <c r="B9291"/>
      <c r="C9291"/>
      <c r="H9291"/>
    </row>
    <row r="9292" spans="2:8" x14ac:dyDescent="0.35">
      <c r="B9292"/>
      <c r="C9292"/>
      <c r="H9292"/>
    </row>
    <row r="9293" spans="2:8" x14ac:dyDescent="0.35">
      <c r="B9293"/>
      <c r="C9293"/>
      <c r="H9293"/>
    </row>
    <row r="9294" spans="2:8" x14ac:dyDescent="0.35">
      <c r="B9294"/>
      <c r="C9294"/>
      <c r="H9294"/>
    </row>
    <row r="9295" spans="2:8" x14ac:dyDescent="0.35">
      <c r="B9295"/>
      <c r="C9295"/>
      <c r="H9295"/>
    </row>
    <row r="9296" spans="2:8" x14ac:dyDescent="0.35">
      <c r="B9296"/>
      <c r="C9296"/>
      <c r="H9296"/>
    </row>
    <row r="9297" spans="2:8" x14ac:dyDescent="0.35">
      <c r="B9297"/>
      <c r="C9297"/>
      <c r="H9297"/>
    </row>
    <row r="9298" spans="2:8" x14ac:dyDescent="0.35">
      <c r="B9298"/>
      <c r="C9298"/>
      <c r="H9298"/>
    </row>
    <row r="9299" spans="2:8" x14ac:dyDescent="0.35">
      <c r="B9299"/>
      <c r="C9299"/>
      <c r="H9299"/>
    </row>
    <row r="9300" spans="2:8" x14ac:dyDescent="0.35">
      <c r="B9300"/>
      <c r="C9300"/>
      <c r="H9300"/>
    </row>
    <row r="9301" spans="2:8" x14ac:dyDescent="0.35">
      <c r="B9301"/>
      <c r="C9301"/>
      <c r="H9301"/>
    </row>
    <row r="9302" spans="2:8" x14ac:dyDescent="0.35">
      <c r="B9302"/>
      <c r="C9302"/>
      <c r="H9302"/>
    </row>
    <row r="9303" spans="2:8" x14ac:dyDescent="0.35">
      <c r="B9303"/>
      <c r="C9303"/>
      <c r="H9303"/>
    </row>
    <row r="9304" spans="2:8" x14ac:dyDescent="0.35">
      <c r="B9304"/>
      <c r="C9304"/>
      <c r="H9304"/>
    </row>
    <row r="9305" spans="2:8" x14ac:dyDescent="0.35">
      <c r="B9305"/>
      <c r="C9305"/>
      <c r="H9305"/>
    </row>
    <row r="9306" spans="2:8" x14ac:dyDescent="0.35">
      <c r="B9306"/>
      <c r="C9306"/>
      <c r="H9306"/>
    </row>
    <row r="9307" spans="2:8" x14ac:dyDescent="0.35">
      <c r="B9307"/>
      <c r="C9307"/>
      <c r="H9307"/>
    </row>
    <row r="9308" spans="2:8" x14ac:dyDescent="0.35">
      <c r="B9308"/>
      <c r="C9308"/>
      <c r="H9308"/>
    </row>
    <row r="9309" spans="2:8" x14ac:dyDescent="0.35">
      <c r="B9309"/>
      <c r="C9309"/>
      <c r="H9309"/>
    </row>
    <row r="9310" spans="2:8" x14ac:dyDescent="0.35">
      <c r="B9310"/>
      <c r="C9310"/>
      <c r="H9310"/>
    </row>
    <row r="9311" spans="2:8" x14ac:dyDescent="0.35">
      <c r="B9311"/>
      <c r="C9311"/>
      <c r="H9311"/>
    </row>
    <row r="9312" spans="2:8" x14ac:dyDescent="0.35">
      <c r="B9312"/>
      <c r="C9312"/>
      <c r="H9312"/>
    </row>
    <row r="9313" spans="2:8" x14ac:dyDescent="0.35">
      <c r="B9313"/>
      <c r="C9313"/>
      <c r="H9313"/>
    </row>
    <row r="9314" spans="2:8" x14ac:dyDescent="0.35">
      <c r="B9314"/>
      <c r="C9314"/>
      <c r="H9314"/>
    </row>
    <row r="9315" spans="2:8" x14ac:dyDescent="0.35">
      <c r="B9315"/>
      <c r="C9315"/>
      <c r="H9315"/>
    </row>
    <row r="9316" spans="2:8" x14ac:dyDescent="0.35">
      <c r="B9316"/>
      <c r="C9316"/>
      <c r="H9316"/>
    </row>
    <row r="9317" spans="2:8" x14ac:dyDescent="0.35">
      <c r="B9317"/>
      <c r="C9317"/>
      <c r="H9317"/>
    </row>
    <row r="9318" spans="2:8" x14ac:dyDescent="0.35">
      <c r="B9318"/>
      <c r="C9318"/>
      <c r="H9318"/>
    </row>
    <row r="9319" spans="2:8" x14ac:dyDescent="0.35">
      <c r="B9319"/>
      <c r="C9319"/>
      <c r="H9319"/>
    </row>
    <row r="9320" spans="2:8" x14ac:dyDescent="0.35">
      <c r="B9320"/>
      <c r="C9320"/>
      <c r="H9320"/>
    </row>
    <row r="9321" spans="2:8" x14ac:dyDescent="0.35">
      <c r="B9321"/>
      <c r="C9321"/>
      <c r="H9321"/>
    </row>
    <row r="9322" spans="2:8" x14ac:dyDescent="0.35">
      <c r="B9322"/>
      <c r="C9322"/>
      <c r="H9322"/>
    </row>
    <row r="9323" spans="2:8" x14ac:dyDescent="0.35">
      <c r="B9323"/>
      <c r="C9323"/>
      <c r="H9323"/>
    </row>
    <row r="9324" spans="2:8" x14ac:dyDescent="0.35">
      <c r="B9324"/>
      <c r="C9324"/>
      <c r="H9324"/>
    </row>
    <row r="9325" spans="2:8" x14ac:dyDescent="0.35">
      <c r="B9325"/>
      <c r="C9325"/>
      <c r="H9325"/>
    </row>
    <row r="9326" spans="2:8" x14ac:dyDescent="0.35">
      <c r="B9326"/>
      <c r="C9326"/>
      <c r="H9326"/>
    </row>
    <row r="9327" spans="2:8" x14ac:dyDescent="0.35">
      <c r="B9327"/>
      <c r="C9327"/>
      <c r="H9327"/>
    </row>
    <row r="9328" spans="2:8" x14ac:dyDescent="0.35">
      <c r="B9328"/>
      <c r="C9328"/>
      <c r="H9328"/>
    </row>
    <row r="9329" spans="2:8" x14ac:dyDescent="0.35">
      <c r="B9329"/>
      <c r="C9329"/>
      <c r="H9329"/>
    </row>
    <row r="9330" spans="2:8" x14ac:dyDescent="0.35">
      <c r="B9330"/>
      <c r="C9330"/>
      <c r="H9330"/>
    </row>
    <row r="9331" spans="2:8" x14ac:dyDescent="0.35">
      <c r="B9331"/>
      <c r="C9331"/>
      <c r="H9331"/>
    </row>
    <row r="9332" spans="2:8" x14ac:dyDescent="0.35">
      <c r="B9332"/>
      <c r="C9332"/>
      <c r="H9332"/>
    </row>
    <row r="9333" spans="2:8" x14ac:dyDescent="0.35">
      <c r="B9333"/>
      <c r="C9333"/>
      <c r="H9333"/>
    </row>
    <row r="9334" spans="2:8" x14ac:dyDescent="0.35">
      <c r="B9334"/>
      <c r="C9334"/>
      <c r="H9334"/>
    </row>
    <row r="9335" spans="2:8" x14ac:dyDescent="0.35">
      <c r="B9335"/>
      <c r="C9335"/>
      <c r="H9335"/>
    </row>
    <row r="9336" spans="2:8" x14ac:dyDescent="0.35">
      <c r="B9336"/>
      <c r="C9336"/>
      <c r="H9336"/>
    </row>
    <row r="9337" spans="2:8" x14ac:dyDescent="0.35">
      <c r="B9337"/>
      <c r="C9337"/>
      <c r="H9337"/>
    </row>
    <row r="9338" spans="2:8" x14ac:dyDescent="0.35">
      <c r="B9338"/>
      <c r="C9338"/>
      <c r="H9338"/>
    </row>
    <row r="9339" spans="2:8" x14ac:dyDescent="0.35">
      <c r="B9339"/>
      <c r="C9339"/>
      <c r="H9339"/>
    </row>
    <row r="9340" spans="2:8" x14ac:dyDescent="0.35">
      <c r="B9340"/>
      <c r="C9340"/>
      <c r="H9340"/>
    </row>
    <row r="9341" spans="2:8" x14ac:dyDescent="0.35">
      <c r="B9341"/>
      <c r="C9341"/>
      <c r="H9341"/>
    </row>
    <row r="9342" spans="2:8" x14ac:dyDescent="0.35">
      <c r="B9342"/>
      <c r="C9342"/>
      <c r="H9342"/>
    </row>
    <row r="9343" spans="2:8" x14ac:dyDescent="0.35">
      <c r="B9343"/>
      <c r="C9343"/>
      <c r="H9343"/>
    </row>
    <row r="9344" spans="2:8" x14ac:dyDescent="0.35">
      <c r="B9344"/>
      <c r="C9344"/>
      <c r="H9344"/>
    </row>
    <row r="9345" spans="2:8" x14ac:dyDescent="0.35">
      <c r="B9345"/>
      <c r="C9345"/>
      <c r="H9345"/>
    </row>
    <row r="9346" spans="2:8" x14ac:dyDescent="0.35">
      <c r="B9346"/>
      <c r="C9346"/>
      <c r="H9346"/>
    </row>
    <row r="9347" spans="2:8" x14ac:dyDescent="0.35">
      <c r="B9347"/>
      <c r="C9347"/>
      <c r="H9347"/>
    </row>
    <row r="9348" spans="2:8" x14ac:dyDescent="0.35">
      <c r="B9348"/>
      <c r="C9348"/>
      <c r="H9348"/>
    </row>
    <row r="9349" spans="2:8" x14ac:dyDescent="0.35">
      <c r="B9349"/>
      <c r="C9349"/>
      <c r="H9349"/>
    </row>
    <row r="9350" spans="2:8" x14ac:dyDescent="0.35">
      <c r="B9350"/>
      <c r="C9350"/>
      <c r="H9350"/>
    </row>
    <row r="9351" spans="2:8" x14ac:dyDescent="0.35">
      <c r="B9351"/>
      <c r="C9351"/>
      <c r="H9351"/>
    </row>
    <row r="9352" spans="2:8" x14ac:dyDescent="0.35">
      <c r="B9352"/>
      <c r="C9352"/>
      <c r="H9352"/>
    </row>
    <row r="9353" spans="2:8" x14ac:dyDescent="0.35">
      <c r="B9353"/>
      <c r="C9353"/>
      <c r="H9353"/>
    </row>
    <row r="9354" spans="2:8" x14ac:dyDescent="0.35">
      <c r="B9354"/>
      <c r="C9354"/>
      <c r="H9354"/>
    </row>
    <row r="9355" spans="2:8" x14ac:dyDescent="0.35">
      <c r="B9355"/>
      <c r="C9355"/>
      <c r="H9355"/>
    </row>
    <row r="9356" spans="2:8" x14ac:dyDescent="0.35">
      <c r="B9356"/>
      <c r="C9356"/>
      <c r="H9356"/>
    </row>
    <row r="9357" spans="2:8" x14ac:dyDescent="0.35">
      <c r="B9357"/>
      <c r="C9357"/>
      <c r="H9357"/>
    </row>
    <row r="9358" spans="2:8" x14ac:dyDescent="0.35">
      <c r="B9358"/>
      <c r="C9358"/>
      <c r="H9358"/>
    </row>
    <row r="9359" spans="2:8" x14ac:dyDescent="0.35">
      <c r="B9359"/>
      <c r="C9359"/>
      <c r="H9359"/>
    </row>
    <row r="9360" spans="2:8" x14ac:dyDescent="0.35">
      <c r="B9360"/>
      <c r="C9360"/>
      <c r="H9360"/>
    </row>
    <row r="9361" spans="2:8" x14ac:dyDescent="0.35">
      <c r="B9361"/>
      <c r="C9361"/>
      <c r="H9361"/>
    </row>
    <row r="9362" spans="2:8" x14ac:dyDescent="0.35">
      <c r="B9362"/>
      <c r="C9362"/>
      <c r="H9362"/>
    </row>
    <row r="9363" spans="2:8" x14ac:dyDescent="0.35">
      <c r="B9363"/>
      <c r="C9363"/>
      <c r="H9363"/>
    </row>
    <row r="9364" spans="2:8" x14ac:dyDescent="0.35">
      <c r="B9364"/>
      <c r="C9364"/>
      <c r="H9364"/>
    </row>
    <row r="9365" spans="2:8" x14ac:dyDescent="0.35">
      <c r="B9365"/>
      <c r="C9365"/>
      <c r="H9365"/>
    </row>
    <row r="9366" spans="2:8" x14ac:dyDescent="0.35">
      <c r="B9366"/>
      <c r="C9366"/>
      <c r="H9366"/>
    </row>
    <row r="9367" spans="2:8" x14ac:dyDescent="0.35">
      <c r="B9367"/>
      <c r="C9367"/>
      <c r="H9367"/>
    </row>
    <row r="9368" spans="2:8" x14ac:dyDescent="0.35">
      <c r="B9368"/>
      <c r="C9368"/>
      <c r="H9368"/>
    </row>
    <row r="9369" spans="2:8" x14ac:dyDescent="0.35">
      <c r="B9369"/>
      <c r="C9369"/>
      <c r="H9369"/>
    </row>
    <row r="9370" spans="2:8" x14ac:dyDescent="0.35">
      <c r="B9370"/>
      <c r="C9370"/>
      <c r="H9370"/>
    </row>
    <row r="9371" spans="2:8" x14ac:dyDescent="0.35">
      <c r="B9371"/>
      <c r="C9371"/>
      <c r="H9371"/>
    </row>
    <row r="9372" spans="2:8" x14ac:dyDescent="0.35">
      <c r="B9372"/>
      <c r="C9372"/>
      <c r="H9372"/>
    </row>
    <row r="9373" spans="2:8" x14ac:dyDescent="0.35">
      <c r="B9373"/>
      <c r="C9373"/>
      <c r="H9373"/>
    </row>
    <row r="9374" spans="2:8" x14ac:dyDescent="0.35">
      <c r="B9374"/>
      <c r="C9374"/>
      <c r="H9374"/>
    </row>
    <row r="9375" spans="2:8" x14ac:dyDescent="0.35">
      <c r="B9375"/>
      <c r="C9375"/>
      <c r="H9375"/>
    </row>
    <row r="9376" spans="2:8" x14ac:dyDescent="0.35">
      <c r="B9376"/>
      <c r="C9376"/>
      <c r="H9376"/>
    </row>
    <row r="9377" spans="2:8" x14ac:dyDescent="0.35">
      <c r="B9377"/>
      <c r="C9377"/>
      <c r="H9377"/>
    </row>
    <row r="9378" spans="2:8" x14ac:dyDescent="0.35">
      <c r="B9378"/>
      <c r="C9378"/>
      <c r="H9378"/>
    </row>
    <row r="9379" spans="2:8" x14ac:dyDescent="0.35">
      <c r="B9379"/>
      <c r="C9379"/>
      <c r="H9379"/>
    </row>
    <row r="9380" spans="2:8" x14ac:dyDescent="0.35">
      <c r="B9380"/>
      <c r="C9380"/>
      <c r="H9380"/>
    </row>
    <row r="9381" spans="2:8" x14ac:dyDescent="0.35">
      <c r="B9381"/>
      <c r="C9381"/>
      <c r="H9381"/>
    </row>
    <row r="9382" spans="2:8" x14ac:dyDescent="0.35">
      <c r="B9382"/>
      <c r="C9382"/>
      <c r="H9382"/>
    </row>
    <row r="9383" spans="2:8" x14ac:dyDescent="0.35">
      <c r="B9383"/>
      <c r="C9383"/>
      <c r="H9383"/>
    </row>
    <row r="9384" spans="2:8" x14ac:dyDescent="0.35">
      <c r="B9384"/>
      <c r="C9384"/>
      <c r="H9384"/>
    </row>
    <row r="9385" spans="2:8" x14ac:dyDescent="0.35">
      <c r="B9385"/>
      <c r="C9385"/>
      <c r="H9385"/>
    </row>
    <row r="9386" spans="2:8" x14ac:dyDescent="0.35">
      <c r="B9386"/>
      <c r="C9386"/>
      <c r="H9386"/>
    </row>
    <row r="9387" spans="2:8" x14ac:dyDescent="0.35">
      <c r="B9387"/>
      <c r="C9387"/>
      <c r="H9387"/>
    </row>
    <row r="9388" spans="2:8" x14ac:dyDescent="0.35">
      <c r="B9388"/>
      <c r="C9388"/>
      <c r="H9388"/>
    </row>
    <row r="9389" spans="2:8" x14ac:dyDescent="0.35">
      <c r="B9389"/>
      <c r="C9389"/>
      <c r="H9389"/>
    </row>
    <row r="9390" spans="2:8" x14ac:dyDescent="0.35">
      <c r="B9390"/>
      <c r="C9390"/>
      <c r="H9390"/>
    </row>
    <row r="9391" spans="2:8" x14ac:dyDescent="0.35">
      <c r="B9391"/>
      <c r="C9391"/>
      <c r="H9391"/>
    </row>
    <row r="9392" spans="2:8" x14ac:dyDescent="0.35">
      <c r="B9392"/>
      <c r="C9392"/>
      <c r="H9392"/>
    </row>
    <row r="9393" spans="2:8" x14ac:dyDescent="0.35">
      <c r="B9393"/>
      <c r="C9393"/>
      <c r="H9393"/>
    </row>
    <row r="9394" spans="2:8" x14ac:dyDescent="0.35">
      <c r="B9394"/>
      <c r="C9394"/>
      <c r="H9394"/>
    </row>
    <row r="9395" spans="2:8" x14ac:dyDescent="0.35">
      <c r="B9395"/>
      <c r="C9395"/>
      <c r="H9395"/>
    </row>
    <row r="9396" spans="2:8" x14ac:dyDescent="0.35">
      <c r="B9396"/>
      <c r="C9396"/>
      <c r="H9396"/>
    </row>
    <row r="9397" spans="2:8" x14ac:dyDescent="0.35">
      <c r="B9397"/>
      <c r="C9397"/>
      <c r="H9397"/>
    </row>
    <row r="9398" spans="2:8" x14ac:dyDescent="0.35">
      <c r="B9398"/>
      <c r="C9398"/>
      <c r="H9398"/>
    </row>
    <row r="9399" spans="2:8" x14ac:dyDescent="0.35">
      <c r="B9399"/>
      <c r="C9399"/>
      <c r="H9399"/>
    </row>
    <row r="9400" spans="2:8" x14ac:dyDescent="0.35">
      <c r="B9400"/>
      <c r="C9400"/>
      <c r="H9400"/>
    </row>
    <row r="9401" spans="2:8" x14ac:dyDescent="0.35">
      <c r="B9401"/>
      <c r="C9401"/>
      <c r="H9401"/>
    </row>
    <row r="9402" spans="2:8" x14ac:dyDescent="0.35">
      <c r="B9402"/>
      <c r="C9402"/>
      <c r="H9402"/>
    </row>
    <row r="9403" spans="2:8" x14ac:dyDescent="0.35">
      <c r="B9403"/>
      <c r="C9403"/>
      <c r="H9403"/>
    </row>
    <row r="9404" spans="2:8" x14ac:dyDescent="0.35">
      <c r="B9404"/>
      <c r="C9404"/>
      <c r="H9404"/>
    </row>
    <row r="9405" spans="2:8" x14ac:dyDescent="0.35">
      <c r="B9405"/>
      <c r="C9405"/>
      <c r="H9405"/>
    </row>
    <row r="9406" spans="2:8" x14ac:dyDescent="0.35">
      <c r="B9406"/>
      <c r="C9406"/>
      <c r="H9406"/>
    </row>
    <row r="9407" spans="2:8" x14ac:dyDescent="0.35">
      <c r="B9407"/>
      <c r="C9407"/>
      <c r="H9407"/>
    </row>
    <row r="9408" spans="2:8" x14ac:dyDescent="0.35">
      <c r="B9408"/>
      <c r="C9408"/>
      <c r="H9408"/>
    </row>
    <row r="9409" spans="2:8" x14ac:dyDescent="0.35">
      <c r="B9409"/>
      <c r="C9409"/>
      <c r="H9409"/>
    </row>
    <row r="9410" spans="2:8" x14ac:dyDescent="0.35">
      <c r="B9410"/>
      <c r="C9410"/>
      <c r="H9410"/>
    </row>
    <row r="9411" spans="2:8" x14ac:dyDescent="0.35">
      <c r="B9411"/>
      <c r="C9411"/>
      <c r="H9411"/>
    </row>
    <row r="9412" spans="2:8" x14ac:dyDescent="0.35">
      <c r="B9412"/>
      <c r="C9412"/>
      <c r="H9412"/>
    </row>
    <row r="9413" spans="2:8" x14ac:dyDescent="0.35">
      <c r="B9413"/>
      <c r="C9413"/>
      <c r="H9413"/>
    </row>
    <row r="9414" spans="2:8" x14ac:dyDescent="0.35">
      <c r="B9414"/>
      <c r="C9414"/>
      <c r="H9414"/>
    </row>
    <row r="9415" spans="2:8" x14ac:dyDescent="0.35">
      <c r="B9415"/>
      <c r="C9415"/>
      <c r="H9415"/>
    </row>
    <row r="9416" spans="2:8" x14ac:dyDescent="0.35">
      <c r="B9416"/>
      <c r="C9416"/>
      <c r="H9416"/>
    </row>
    <row r="9417" spans="2:8" x14ac:dyDescent="0.35">
      <c r="B9417"/>
      <c r="C9417"/>
      <c r="H9417"/>
    </row>
    <row r="9418" spans="2:8" x14ac:dyDescent="0.35">
      <c r="B9418"/>
      <c r="C9418"/>
      <c r="H9418"/>
    </row>
    <row r="9419" spans="2:8" x14ac:dyDescent="0.35">
      <c r="B9419"/>
      <c r="C9419"/>
      <c r="H9419"/>
    </row>
    <row r="9420" spans="2:8" x14ac:dyDescent="0.35">
      <c r="B9420"/>
      <c r="C9420"/>
      <c r="H9420"/>
    </row>
    <row r="9421" spans="2:8" x14ac:dyDescent="0.35">
      <c r="B9421"/>
      <c r="C9421"/>
      <c r="H9421"/>
    </row>
    <row r="9422" spans="2:8" x14ac:dyDescent="0.35">
      <c r="B9422"/>
      <c r="C9422"/>
      <c r="H9422"/>
    </row>
    <row r="9423" spans="2:8" x14ac:dyDescent="0.35">
      <c r="B9423"/>
      <c r="C9423"/>
      <c r="H9423"/>
    </row>
    <row r="9424" spans="2:8" x14ac:dyDescent="0.35">
      <c r="B9424"/>
      <c r="C9424"/>
      <c r="H9424"/>
    </row>
    <row r="9425" spans="2:8" x14ac:dyDescent="0.35">
      <c r="B9425"/>
      <c r="C9425"/>
      <c r="H9425"/>
    </row>
    <row r="9426" spans="2:8" x14ac:dyDescent="0.35">
      <c r="B9426"/>
      <c r="C9426"/>
      <c r="H9426"/>
    </row>
    <row r="9427" spans="2:8" x14ac:dyDescent="0.35">
      <c r="B9427"/>
      <c r="C9427"/>
      <c r="H9427"/>
    </row>
    <row r="9428" spans="2:8" x14ac:dyDescent="0.35">
      <c r="B9428"/>
      <c r="C9428"/>
      <c r="H9428"/>
    </row>
    <row r="9429" spans="2:8" x14ac:dyDescent="0.35">
      <c r="B9429"/>
      <c r="C9429"/>
      <c r="H9429"/>
    </row>
    <row r="9430" spans="2:8" x14ac:dyDescent="0.35">
      <c r="B9430"/>
      <c r="C9430"/>
      <c r="H9430"/>
    </row>
    <row r="9431" spans="2:8" x14ac:dyDescent="0.35">
      <c r="B9431"/>
      <c r="C9431"/>
      <c r="H9431"/>
    </row>
    <row r="9432" spans="2:8" x14ac:dyDescent="0.35">
      <c r="B9432"/>
      <c r="C9432"/>
      <c r="H9432"/>
    </row>
    <row r="9433" spans="2:8" x14ac:dyDescent="0.35">
      <c r="B9433"/>
      <c r="C9433"/>
      <c r="H9433"/>
    </row>
    <row r="9434" spans="2:8" x14ac:dyDescent="0.35">
      <c r="B9434"/>
      <c r="C9434"/>
      <c r="H9434"/>
    </row>
    <row r="9435" spans="2:8" x14ac:dyDescent="0.35">
      <c r="B9435"/>
      <c r="C9435"/>
      <c r="H9435"/>
    </row>
    <row r="9436" spans="2:8" x14ac:dyDescent="0.35">
      <c r="B9436"/>
      <c r="C9436"/>
      <c r="H9436"/>
    </row>
    <row r="9437" spans="2:8" x14ac:dyDescent="0.35">
      <c r="B9437"/>
      <c r="C9437"/>
      <c r="H9437"/>
    </row>
    <row r="9438" spans="2:8" x14ac:dyDescent="0.35">
      <c r="B9438"/>
      <c r="C9438"/>
      <c r="H9438"/>
    </row>
    <row r="9439" spans="2:8" x14ac:dyDescent="0.35">
      <c r="B9439"/>
      <c r="C9439"/>
      <c r="H9439"/>
    </row>
    <row r="9440" spans="2:8" x14ac:dyDescent="0.35">
      <c r="B9440"/>
      <c r="C9440"/>
      <c r="H9440"/>
    </row>
    <row r="9441" spans="2:8" x14ac:dyDescent="0.35">
      <c r="B9441"/>
      <c r="C9441"/>
      <c r="H9441"/>
    </row>
    <row r="9442" spans="2:8" x14ac:dyDescent="0.35">
      <c r="B9442"/>
      <c r="C9442"/>
      <c r="H9442"/>
    </row>
    <row r="9443" spans="2:8" x14ac:dyDescent="0.35">
      <c r="B9443"/>
      <c r="C9443"/>
      <c r="H9443"/>
    </row>
    <row r="9444" spans="2:8" x14ac:dyDescent="0.35">
      <c r="B9444"/>
      <c r="C9444"/>
      <c r="H9444"/>
    </row>
    <row r="9445" spans="2:8" x14ac:dyDescent="0.35">
      <c r="B9445"/>
      <c r="C9445"/>
      <c r="H9445"/>
    </row>
    <row r="9446" spans="2:8" x14ac:dyDescent="0.35">
      <c r="B9446"/>
      <c r="C9446"/>
      <c r="H9446"/>
    </row>
    <row r="9447" spans="2:8" x14ac:dyDescent="0.35">
      <c r="B9447"/>
      <c r="C9447"/>
      <c r="H9447"/>
    </row>
    <row r="9448" spans="2:8" x14ac:dyDescent="0.35">
      <c r="B9448"/>
      <c r="C9448"/>
      <c r="H9448"/>
    </row>
    <row r="9449" spans="2:8" x14ac:dyDescent="0.35">
      <c r="B9449"/>
      <c r="C9449"/>
      <c r="H9449"/>
    </row>
    <row r="9450" spans="2:8" x14ac:dyDescent="0.35">
      <c r="B9450"/>
      <c r="C9450"/>
      <c r="H9450"/>
    </row>
    <row r="9451" spans="2:8" x14ac:dyDescent="0.35">
      <c r="B9451"/>
      <c r="C9451"/>
      <c r="H9451"/>
    </row>
    <row r="9452" spans="2:8" x14ac:dyDescent="0.35">
      <c r="B9452"/>
      <c r="C9452"/>
      <c r="H9452"/>
    </row>
    <row r="9453" spans="2:8" x14ac:dyDescent="0.35">
      <c r="B9453"/>
      <c r="C9453"/>
      <c r="H9453"/>
    </row>
    <row r="9454" spans="2:8" x14ac:dyDescent="0.35">
      <c r="B9454"/>
      <c r="C9454"/>
      <c r="H9454"/>
    </row>
    <row r="9455" spans="2:8" x14ac:dyDescent="0.35">
      <c r="B9455"/>
      <c r="C9455"/>
      <c r="H9455"/>
    </row>
    <row r="9456" spans="2:8" x14ac:dyDescent="0.35">
      <c r="B9456"/>
      <c r="C9456"/>
      <c r="H9456"/>
    </row>
    <row r="9457" spans="2:8" x14ac:dyDescent="0.35">
      <c r="B9457"/>
      <c r="C9457"/>
      <c r="H9457"/>
    </row>
    <row r="9458" spans="2:8" x14ac:dyDescent="0.35">
      <c r="B9458"/>
      <c r="C9458"/>
      <c r="H9458"/>
    </row>
    <row r="9459" spans="2:8" x14ac:dyDescent="0.35">
      <c r="B9459"/>
      <c r="C9459"/>
      <c r="H9459"/>
    </row>
    <row r="9460" spans="2:8" x14ac:dyDescent="0.35">
      <c r="B9460"/>
      <c r="C9460"/>
      <c r="H9460"/>
    </row>
    <row r="9461" spans="2:8" x14ac:dyDescent="0.35">
      <c r="B9461"/>
      <c r="C9461"/>
      <c r="H9461"/>
    </row>
    <row r="9462" spans="2:8" x14ac:dyDescent="0.35">
      <c r="B9462"/>
      <c r="C9462"/>
      <c r="H9462"/>
    </row>
    <row r="9463" spans="2:8" x14ac:dyDescent="0.35">
      <c r="B9463"/>
      <c r="C9463"/>
      <c r="H9463"/>
    </row>
    <row r="9464" spans="2:8" x14ac:dyDescent="0.35">
      <c r="B9464"/>
      <c r="C9464"/>
      <c r="H9464"/>
    </row>
    <row r="9465" spans="2:8" x14ac:dyDescent="0.35">
      <c r="B9465"/>
      <c r="C9465"/>
      <c r="H9465"/>
    </row>
    <row r="9466" spans="2:8" x14ac:dyDescent="0.35">
      <c r="B9466"/>
      <c r="C9466"/>
      <c r="H9466"/>
    </row>
    <row r="9467" spans="2:8" x14ac:dyDescent="0.35">
      <c r="B9467"/>
      <c r="C9467"/>
      <c r="H9467"/>
    </row>
    <row r="9468" spans="2:8" x14ac:dyDescent="0.35">
      <c r="B9468"/>
      <c r="C9468"/>
      <c r="H9468"/>
    </row>
    <row r="9469" spans="2:8" x14ac:dyDescent="0.35">
      <c r="B9469"/>
      <c r="C9469"/>
      <c r="H9469"/>
    </row>
    <row r="9470" spans="2:8" x14ac:dyDescent="0.35">
      <c r="B9470"/>
      <c r="C9470"/>
      <c r="H9470"/>
    </row>
    <row r="9471" spans="2:8" x14ac:dyDescent="0.35">
      <c r="B9471"/>
      <c r="C9471"/>
      <c r="H9471"/>
    </row>
    <row r="9472" spans="2:8" x14ac:dyDescent="0.35">
      <c r="B9472"/>
      <c r="C9472"/>
      <c r="H9472"/>
    </row>
    <row r="9473" spans="2:8" x14ac:dyDescent="0.35">
      <c r="B9473"/>
      <c r="C9473"/>
      <c r="H9473"/>
    </row>
    <row r="9474" spans="2:8" x14ac:dyDescent="0.35">
      <c r="B9474"/>
      <c r="C9474"/>
      <c r="H9474"/>
    </row>
    <row r="9475" spans="2:8" x14ac:dyDescent="0.35">
      <c r="B9475"/>
      <c r="C9475"/>
      <c r="H9475"/>
    </row>
    <row r="9476" spans="2:8" x14ac:dyDescent="0.35">
      <c r="B9476"/>
      <c r="C9476"/>
      <c r="H9476"/>
    </row>
    <row r="9477" spans="2:8" x14ac:dyDescent="0.35">
      <c r="B9477"/>
      <c r="C9477"/>
      <c r="H9477"/>
    </row>
    <row r="9478" spans="2:8" x14ac:dyDescent="0.35">
      <c r="B9478"/>
      <c r="C9478"/>
      <c r="H9478"/>
    </row>
    <row r="9479" spans="2:8" x14ac:dyDescent="0.35">
      <c r="B9479"/>
      <c r="C9479"/>
      <c r="H9479"/>
    </row>
    <row r="9480" spans="2:8" x14ac:dyDescent="0.35">
      <c r="B9480"/>
      <c r="C9480"/>
      <c r="H9480"/>
    </row>
    <row r="9481" spans="2:8" x14ac:dyDescent="0.35">
      <c r="B9481"/>
      <c r="C9481"/>
      <c r="H9481"/>
    </row>
    <row r="9482" spans="2:8" x14ac:dyDescent="0.35">
      <c r="B9482"/>
      <c r="C9482"/>
      <c r="H9482"/>
    </row>
    <row r="9483" spans="2:8" x14ac:dyDescent="0.35">
      <c r="B9483"/>
      <c r="C9483"/>
      <c r="H9483"/>
    </row>
    <row r="9484" spans="2:8" x14ac:dyDescent="0.35">
      <c r="B9484"/>
      <c r="C9484"/>
      <c r="H9484"/>
    </row>
    <row r="9485" spans="2:8" x14ac:dyDescent="0.35">
      <c r="B9485"/>
      <c r="C9485"/>
      <c r="H9485"/>
    </row>
    <row r="9486" spans="2:8" x14ac:dyDescent="0.35">
      <c r="B9486"/>
      <c r="C9486"/>
      <c r="H9486"/>
    </row>
    <row r="9487" spans="2:8" x14ac:dyDescent="0.35">
      <c r="B9487"/>
      <c r="C9487"/>
      <c r="H9487"/>
    </row>
    <row r="9488" spans="2:8" x14ac:dyDescent="0.35">
      <c r="B9488"/>
      <c r="C9488"/>
      <c r="H9488"/>
    </row>
    <row r="9489" spans="2:8" x14ac:dyDescent="0.35">
      <c r="B9489"/>
      <c r="C9489"/>
      <c r="H9489"/>
    </row>
    <row r="9490" spans="2:8" x14ac:dyDescent="0.35">
      <c r="B9490"/>
      <c r="C9490"/>
      <c r="H9490"/>
    </row>
    <row r="9491" spans="2:8" x14ac:dyDescent="0.35">
      <c r="B9491"/>
      <c r="C9491"/>
      <c r="H9491"/>
    </row>
    <row r="9492" spans="2:8" x14ac:dyDescent="0.35">
      <c r="B9492"/>
      <c r="C9492"/>
      <c r="H9492"/>
    </row>
    <row r="9493" spans="2:8" x14ac:dyDescent="0.35">
      <c r="B9493"/>
      <c r="C9493"/>
      <c r="H9493"/>
    </row>
    <row r="9494" spans="2:8" x14ac:dyDescent="0.35">
      <c r="B9494"/>
      <c r="C9494"/>
      <c r="H9494"/>
    </row>
    <row r="9495" spans="2:8" x14ac:dyDescent="0.35">
      <c r="B9495"/>
      <c r="C9495"/>
      <c r="H9495"/>
    </row>
    <row r="9496" spans="2:8" x14ac:dyDescent="0.35">
      <c r="B9496"/>
      <c r="C9496"/>
      <c r="H9496"/>
    </row>
    <row r="9497" spans="2:8" x14ac:dyDescent="0.35">
      <c r="B9497"/>
      <c r="C9497"/>
      <c r="H9497"/>
    </row>
    <row r="9498" spans="2:8" x14ac:dyDescent="0.35">
      <c r="B9498"/>
      <c r="C9498"/>
      <c r="H9498"/>
    </row>
    <row r="9499" spans="2:8" x14ac:dyDescent="0.35">
      <c r="B9499"/>
      <c r="C9499"/>
      <c r="H9499"/>
    </row>
    <row r="9500" spans="2:8" x14ac:dyDescent="0.35">
      <c r="B9500"/>
      <c r="C9500"/>
      <c r="H9500"/>
    </row>
    <row r="9501" spans="2:8" x14ac:dyDescent="0.35">
      <c r="B9501"/>
      <c r="C9501"/>
      <c r="H9501"/>
    </row>
    <row r="9502" spans="2:8" x14ac:dyDescent="0.35">
      <c r="B9502"/>
      <c r="C9502"/>
      <c r="H9502"/>
    </row>
    <row r="9503" spans="2:8" x14ac:dyDescent="0.35">
      <c r="B9503"/>
      <c r="C9503"/>
      <c r="H9503"/>
    </row>
    <row r="9504" spans="2:8" x14ac:dyDescent="0.35">
      <c r="B9504"/>
      <c r="C9504"/>
      <c r="H9504"/>
    </row>
    <row r="9505" spans="2:8" x14ac:dyDescent="0.35">
      <c r="B9505"/>
      <c r="C9505"/>
      <c r="H9505"/>
    </row>
    <row r="9506" spans="2:8" x14ac:dyDescent="0.35">
      <c r="B9506"/>
      <c r="C9506"/>
      <c r="H9506"/>
    </row>
    <row r="9507" spans="2:8" x14ac:dyDescent="0.35">
      <c r="B9507"/>
      <c r="C9507"/>
      <c r="H9507"/>
    </row>
    <row r="9508" spans="2:8" x14ac:dyDescent="0.35">
      <c r="B9508"/>
      <c r="C9508"/>
      <c r="H9508"/>
    </row>
    <row r="9509" spans="2:8" x14ac:dyDescent="0.35">
      <c r="B9509"/>
      <c r="C9509"/>
      <c r="H9509"/>
    </row>
    <row r="9510" spans="2:8" x14ac:dyDescent="0.35">
      <c r="B9510"/>
      <c r="C9510"/>
      <c r="H9510"/>
    </row>
    <row r="9511" spans="2:8" x14ac:dyDescent="0.35">
      <c r="B9511"/>
      <c r="C9511"/>
      <c r="H9511"/>
    </row>
    <row r="9512" spans="2:8" x14ac:dyDescent="0.35">
      <c r="B9512"/>
      <c r="C9512"/>
      <c r="H9512"/>
    </row>
    <row r="9513" spans="2:8" x14ac:dyDescent="0.35">
      <c r="B9513"/>
      <c r="C9513"/>
      <c r="H9513"/>
    </row>
    <row r="9514" spans="2:8" x14ac:dyDescent="0.35">
      <c r="B9514"/>
      <c r="C9514"/>
      <c r="H9514"/>
    </row>
    <row r="9515" spans="2:8" x14ac:dyDescent="0.35">
      <c r="B9515"/>
      <c r="C9515"/>
      <c r="H9515"/>
    </row>
    <row r="9516" spans="2:8" x14ac:dyDescent="0.35">
      <c r="B9516"/>
      <c r="C9516"/>
      <c r="H9516"/>
    </row>
    <row r="9517" spans="2:8" x14ac:dyDescent="0.35">
      <c r="B9517"/>
      <c r="C9517"/>
      <c r="H9517"/>
    </row>
    <row r="9518" spans="2:8" x14ac:dyDescent="0.35">
      <c r="B9518"/>
      <c r="C9518"/>
      <c r="H9518"/>
    </row>
    <row r="9519" spans="2:8" x14ac:dyDescent="0.35">
      <c r="B9519"/>
      <c r="C9519"/>
      <c r="H9519"/>
    </row>
    <row r="9520" spans="2:8" x14ac:dyDescent="0.35">
      <c r="B9520"/>
      <c r="C9520"/>
      <c r="H9520"/>
    </row>
    <row r="9521" spans="2:8" x14ac:dyDescent="0.35">
      <c r="B9521"/>
      <c r="C9521"/>
      <c r="H9521"/>
    </row>
    <row r="9522" spans="2:8" x14ac:dyDescent="0.35">
      <c r="B9522"/>
      <c r="C9522"/>
      <c r="H9522"/>
    </row>
    <row r="9523" spans="2:8" x14ac:dyDescent="0.35">
      <c r="B9523"/>
      <c r="C9523"/>
      <c r="H9523"/>
    </row>
    <row r="9524" spans="2:8" x14ac:dyDescent="0.35">
      <c r="B9524"/>
      <c r="C9524"/>
      <c r="H9524"/>
    </row>
    <row r="9525" spans="2:8" x14ac:dyDescent="0.35">
      <c r="B9525"/>
      <c r="C9525"/>
      <c r="H9525"/>
    </row>
    <row r="9526" spans="2:8" x14ac:dyDescent="0.35">
      <c r="B9526"/>
      <c r="C9526"/>
      <c r="H9526"/>
    </row>
    <row r="9527" spans="2:8" x14ac:dyDescent="0.35">
      <c r="B9527"/>
      <c r="C9527"/>
      <c r="H9527"/>
    </row>
    <row r="9528" spans="2:8" x14ac:dyDescent="0.35">
      <c r="B9528"/>
      <c r="C9528"/>
      <c r="H9528"/>
    </row>
    <row r="9529" spans="2:8" x14ac:dyDescent="0.35">
      <c r="B9529"/>
      <c r="C9529"/>
      <c r="H9529"/>
    </row>
    <row r="9530" spans="2:8" x14ac:dyDescent="0.35">
      <c r="B9530"/>
      <c r="C9530"/>
      <c r="H9530"/>
    </row>
    <row r="9531" spans="2:8" x14ac:dyDescent="0.35">
      <c r="B9531"/>
      <c r="C9531"/>
      <c r="H9531"/>
    </row>
    <row r="9532" spans="2:8" x14ac:dyDescent="0.35">
      <c r="B9532"/>
      <c r="C9532"/>
      <c r="H9532"/>
    </row>
    <row r="9533" spans="2:8" x14ac:dyDescent="0.35">
      <c r="B9533"/>
      <c r="C9533"/>
      <c r="H9533"/>
    </row>
    <row r="9534" spans="2:8" x14ac:dyDescent="0.35">
      <c r="B9534"/>
      <c r="C9534"/>
      <c r="H9534"/>
    </row>
    <row r="9535" spans="2:8" x14ac:dyDescent="0.35">
      <c r="B9535"/>
      <c r="C9535"/>
      <c r="H9535"/>
    </row>
    <row r="9536" spans="2:8" x14ac:dyDescent="0.35">
      <c r="B9536"/>
      <c r="C9536"/>
      <c r="H9536"/>
    </row>
    <row r="9537" spans="2:8" x14ac:dyDescent="0.35">
      <c r="B9537"/>
      <c r="C9537"/>
      <c r="H9537"/>
    </row>
    <row r="9538" spans="2:8" x14ac:dyDescent="0.35">
      <c r="B9538"/>
      <c r="C9538"/>
      <c r="H9538"/>
    </row>
    <row r="9539" spans="2:8" x14ac:dyDescent="0.35">
      <c r="B9539"/>
      <c r="C9539"/>
      <c r="H9539"/>
    </row>
    <row r="9540" spans="2:8" x14ac:dyDescent="0.35">
      <c r="B9540"/>
      <c r="C9540"/>
      <c r="H9540"/>
    </row>
    <row r="9541" spans="2:8" x14ac:dyDescent="0.35">
      <c r="B9541"/>
      <c r="C9541"/>
      <c r="H9541"/>
    </row>
    <row r="9542" spans="2:8" x14ac:dyDescent="0.35">
      <c r="B9542"/>
      <c r="C9542"/>
      <c r="H9542"/>
    </row>
    <row r="9543" spans="2:8" x14ac:dyDescent="0.35">
      <c r="B9543"/>
      <c r="C9543"/>
      <c r="H9543"/>
    </row>
    <row r="9544" spans="2:8" x14ac:dyDescent="0.35">
      <c r="B9544"/>
      <c r="C9544"/>
      <c r="H9544"/>
    </row>
    <row r="9545" spans="2:8" x14ac:dyDescent="0.35">
      <c r="B9545"/>
      <c r="C9545"/>
      <c r="H9545"/>
    </row>
    <row r="9546" spans="2:8" x14ac:dyDescent="0.35">
      <c r="B9546"/>
      <c r="C9546"/>
      <c r="H9546"/>
    </row>
    <row r="9547" spans="2:8" x14ac:dyDescent="0.35">
      <c r="B9547"/>
      <c r="C9547"/>
      <c r="H9547"/>
    </row>
    <row r="9548" spans="2:8" x14ac:dyDescent="0.35">
      <c r="B9548"/>
      <c r="C9548"/>
      <c r="H9548"/>
    </row>
    <row r="9549" spans="2:8" x14ac:dyDescent="0.35">
      <c r="B9549"/>
      <c r="C9549"/>
      <c r="H9549"/>
    </row>
    <row r="9550" spans="2:8" x14ac:dyDescent="0.35">
      <c r="B9550"/>
      <c r="C9550"/>
      <c r="H9550"/>
    </row>
    <row r="9551" spans="2:8" x14ac:dyDescent="0.35">
      <c r="B9551"/>
      <c r="C9551"/>
      <c r="H9551"/>
    </row>
    <row r="9552" spans="2:8" x14ac:dyDescent="0.35">
      <c r="B9552"/>
      <c r="C9552"/>
      <c r="H9552"/>
    </row>
    <row r="9553" spans="2:8" x14ac:dyDescent="0.35">
      <c r="B9553"/>
      <c r="C9553"/>
      <c r="H9553"/>
    </row>
    <row r="9554" spans="2:8" x14ac:dyDescent="0.35">
      <c r="B9554"/>
      <c r="C9554"/>
      <c r="H9554"/>
    </row>
    <row r="9555" spans="2:8" x14ac:dyDescent="0.35">
      <c r="B9555"/>
      <c r="C9555"/>
      <c r="H9555"/>
    </row>
    <row r="9556" spans="2:8" x14ac:dyDescent="0.35">
      <c r="B9556"/>
      <c r="C9556"/>
      <c r="H9556"/>
    </row>
    <row r="9557" spans="2:8" x14ac:dyDescent="0.35">
      <c r="B9557"/>
      <c r="C9557"/>
      <c r="H9557"/>
    </row>
    <row r="9558" spans="2:8" x14ac:dyDescent="0.35">
      <c r="B9558"/>
      <c r="C9558"/>
      <c r="H9558"/>
    </row>
    <row r="9559" spans="2:8" x14ac:dyDescent="0.35">
      <c r="B9559"/>
      <c r="C9559"/>
      <c r="H9559"/>
    </row>
    <row r="9560" spans="2:8" x14ac:dyDescent="0.35">
      <c r="B9560"/>
      <c r="C9560"/>
      <c r="H9560"/>
    </row>
    <row r="9561" spans="2:8" x14ac:dyDescent="0.35">
      <c r="B9561"/>
      <c r="C9561"/>
      <c r="H9561"/>
    </row>
    <row r="9562" spans="2:8" x14ac:dyDescent="0.35">
      <c r="B9562"/>
      <c r="C9562"/>
      <c r="H9562"/>
    </row>
    <row r="9563" spans="2:8" x14ac:dyDescent="0.35">
      <c r="B9563"/>
      <c r="C9563"/>
      <c r="H9563"/>
    </row>
    <row r="9564" spans="2:8" x14ac:dyDescent="0.35">
      <c r="B9564"/>
      <c r="C9564"/>
      <c r="H9564"/>
    </row>
    <row r="9565" spans="2:8" x14ac:dyDescent="0.35">
      <c r="B9565"/>
      <c r="C9565"/>
      <c r="H9565"/>
    </row>
    <row r="9566" spans="2:8" x14ac:dyDescent="0.35">
      <c r="B9566"/>
      <c r="C9566"/>
      <c r="H9566"/>
    </row>
    <row r="9567" spans="2:8" x14ac:dyDescent="0.35">
      <c r="B9567"/>
      <c r="C9567"/>
      <c r="H9567"/>
    </row>
    <row r="9568" spans="2:8" x14ac:dyDescent="0.35">
      <c r="B9568"/>
      <c r="C9568"/>
      <c r="H9568"/>
    </row>
    <row r="9569" spans="2:8" x14ac:dyDescent="0.35">
      <c r="B9569"/>
      <c r="C9569"/>
      <c r="H9569"/>
    </row>
    <row r="9570" spans="2:8" x14ac:dyDescent="0.35">
      <c r="B9570"/>
      <c r="C9570"/>
      <c r="H9570"/>
    </row>
    <row r="9571" spans="2:8" x14ac:dyDescent="0.35">
      <c r="B9571"/>
      <c r="C9571"/>
      <c r="H9571"/>
    </row>
    <row r="9572" spans="2:8" x14ac:dyDescent="0.35">
      <c r="B9572"/>
      <c r="C9572"/>
      <c r="H9572"/>
    </row>
    <row r="9573" spans="2:8" x14ac:dyDescent="0.35">
      <c r="B9573"/>
      <c r="C9573"/>
      <c r="H9573"/>
    </row>
    <row r="9574" spans="2:8" x14ac:dyDescent="0.35">
      <c r="B9574"/>
      <c r="C9574"/>
      <c r="H9574"/>
    </row>
    <row r="9575" spans="2:8" x14ac:dyDescent="0.35">
      <c r="B9575"/>
      <c r="C9575"/>
      <c r="H9575"/>
    </row>
    <row r="9576" spans="2:8" x14ac:dyDescent="0.35">
      <c r="B9576"/>
      <c r="C9576"/>
      <c r="H9576"/>
    </row>
    <row r="9577" spans="2:8" x14ac:dyDescent="0.35">
      <c r="B9577"/>
      <c r="C9577"/>
      <c r="H9577"/>
    </row>
    <row r="9578" spans="2:8" x14ac:dyDescent="0.35">
      <c r="B9578"/>
      <c r="C9578"/>
      <c r="H9578"/>
    </row>
    <row r="9579" spans="2:8" x14ac:dyDescent="0.35">
      <c r="B9579"/>
      <c r="C9579"/>
      <c r="H9579"/>
    </row>
    <row r="9580" spans="2:8" x14ac:dyDescent="0.35">
      <c r="B9580"/>
      <c r="C9580"/>
      <c r="H9580"/>
    </row>
    <row r="9581" spans="2:8" x14ac:dyDescent="0.35">
      <c r="B9581"/>
      <c r="C9581"/>
      <c r="H9581"/>
    </row>
    <row r="9582" spans="2:8" x14ac:dyDescent="0.35">
      <c r="B9582"/>
      <c r="C9582"/>
      <c r="H9582"/>
    </row>
    <row r="9583" spans="2:8" x14ac:dyDescent="0.35">
      <c r="B9583"/>
      <c r="C9583"/>
      <c r="H9583"/>
    </row>
    <row r="9584" spans="2:8" x14ac:dyDescent="0.35">
      <c r="B9584"/>
      <c r="C9584"/>
      <c r="H9584"/>
    </row>
    <row r="9585" spans="2:8" x14ac:dyDescent="0.35">
      <c r="B9585"/>
      <c r="C9585"/>
      <c r="H9585"/>
    </row>
    <row r="9586" spans="2:8" x14ac:dyDescent="0.35">
      <c r="B9586"/>
      <c r="C9586"/>
      <c r="H9586"/>
    </row>
    <row r="9587" spans="2:8" x14ac:dyDescent="0.35">
      <c r="B9587"/>
      <c r="C9587"/>
      <c r="H9587"/>
    </row>
    <row r="9588" spans="2:8" x14ac:dyDescent="0.35">
      <c r="B9588"/>
      <c r="C9588"/>
      <c r="H9588"/>
    </row>
    <row r="9589" spans="2:8" x14ac:dyDescent="0.35">
      <c r="B9589"/>
      <c r="C9589"/>
      <c r="H9589"/>
    </row>
    <row r="9590" spans="2:8" x14ac:dyDescent="0.35">
      <c r="B9590"/>
      <c r="C9590"/>
      <c r="H9590"/>
    </row>
    <row r="9591" spans="2:8" x14ac:dyDescent="0.35">
      <c r="B9591"/>
      <c r="C9591"/>
      <c r="H9591"/>
    </row>
    <row r="9592" spans="2:8" x14ac:dyDescent="0.35">
      <c r="B9592"/>
      <c r="C9592"/>
      <c r="H9592"/>
    </row>
    <row r="9593" spans="2:8" x14ac:dyDescent="0.35">
      <c r="B9593"/>
      <c r="C9593"/>
      <c r="H9593"/>
    </row>
    <row r="9594" spans="2:8" x14ac:dyDescent="0.35">
      <c r="B9594"/>
      <c r="C9594"/>
      <c r="H9594"/>
    </row>
    <row r="9595" spans="2:8" x14ac:dyDescent="0.35">
      <c r="B9595"/>
      <c r="C9595"/>
      <c r="H9595"/>
    </row>
    <row r="9596" spans="2:8" x14ac:dyDescent="0.35">
      <c r="B9596"/>
      <c r="C9596"/>
      <c r="H9596"/>
    </row>
    <row r="9597" spans="2:8" x14ac:dyDescent="0.35">
      <c r="B9597"/>
      <c r="C9597"/>
      <c r="H9597"/>
    </row>
    <row r="9598" spans="2:8" x14ac:dyDescent="0.35">
      <c r="B9598"/>
      <c r="C9598"/>
      <c r="H9598"/>
    </row>
    <row r="9599" spans="2:8" x14ac:dyDescent="0.35">
      <c r="B9599"/>
      <c r="C9599"/>
      <c r="H9599"/>
    </row>
    <row r="9600" spans="2:8" x14ac:dyDescent="0.35">
      <c r="B9600"/>
      <c r="C9600"/>
      <c r="H9600"/>
    </row>
    <row r="9601" spans="2:8" x14ac:dyDescent="0.35">
      <c r="B9601"/>
      <c r="C9601"/>
      <c r="H9601"/>
    </row>
    <row r="9602" spans="2:8" x14ac:dyDescent="0.35">
      <c r="B9602"/>
      <c r="C9602"/>
      <c r="H9602"/>
    </row>
    <row r="9603" spans="2:8" x14ac:dyDescent="0.35">
      <c r="B9603"/>
      <c r="C9603"/>
      <c r="H9603"/>
    </row>
    <row r="9604" spans="2:8" x14ac:dyDescent="0.35">
      <c r="B9604"/>
      <c r="C9604"/>
      <c r="H9604"/>
    </row>
    <row r="9605" spans="2:8" x14ac:dyDescent="0.35">
      <c r="B9605"/>
      <c r="C9605"/>
      <c r="H9605"/>
    </row>
    <row r="9606" spans="2:8" x14ac:dyDescent="0.35">
      <c r="B9606"/>
      <c r="C9606"/>
      <c r="H9606"/>
    </row>
    <row r="9607" spans="2:8" x14ac:dyDescent="0.35">
      <c r="B9607"/>
      <c r="C9607"/>
      <c r="H9607"/>
    </row>
    <row r="9608" spans="2:8" x14ac:dyDescent="0.35">
      <c r="B9608"/>
      <c r="C9608"/>
      <c r="H9608"/>
    </row>
    <row r="9609" spans="2:8" x14ac:dyDescent="0.35">
      <c r="B9609"/>
      <c r="C9609"/>
      <c r="H9609"/>
    </row>
    <row r="9610" spans="2:8" x14ac:dyDescent="0.35">
      <c r="B9610"/>
      <c r="C9610"/>
      <c r="H9610"/>
    </row>
    <row r="9611" spans="2:8" x14ac:dyDescent="0.35">
      <c r="B9611"/>
      <c r="C9611"/>
      <c r="H9611"/>
    </row>
    <row r="9612" spans="2:8" x14ac:dyDescent="0.35">
      <c r="B9612"/>
      <c r="C9612"/>
      <c r="H9612"/>
    </row>
    <row r="9613" spans="2:8" x14ac:dyDescent="0.35">
      <c r="B9613"/>
      <c r="C9613"/>
      <c r="H9613"/>
    </row>
    <row r="9614" spans="2:8" x14ac:dyDescent="0.35">
      <c r="B9614"/>
      <c r="C9614"/>
      <c r="H9614"/>
    </row>
    <row r="9615" spans="2:8" x14ac:dyDescent="0.35">
      <c r="B9615"/>
      <c r="C9615"/>
      <c r="H9615"/>
    </row>
    <row r="9616" spans="2:8" x14ac:dyDescent="0.35">
      <c r="B9616"/>
      <c r="C9616"/>
      <c r="H9616"/>
    </row>
    <row r="9617" spans="2:8" x14ac:dyDescent="0.35">
      <c r="B9617"/>
      <c r="C9617"/>
      <c r="H9617"/>
    </row>
    <row r="9618" spans="2:8" x14ac:dyDescent="0.35">
      <c r="B9618"/>
      <c r="C9618"/>
      <c r="H9618"/>
    </row>
    <row r="9619" spans="2:8" x14ac:dyDescent="0.35">
      <c r="B9619"/>
      <c r="C9619"/>
      <c r="H9619"/>
    </row>
    <row r="9620" spans="2:8" x14ac:dyDescent="0.35">
      <c r="B9620"/>
      <c r="C9620"/>
      <c r="H9620"/>
    </row>
    <row r="9621" spans="2:8" x14ac:dyDescent="0.35">
      <c r="B9621"/>
      <c r="C9621"/>
      <c r="H9621"/>
    </row>
    <row r="9622" spans="2:8" x14ac:dyDescent="0.35">
      <c r="B9622"/>
      <c r="C9622"/>
      <c r="H9622"/>
    </row>
    <row r="9623" spans="2:8" x14ac:dyDescent="0.35">
      <c r="B9623"/>
      <c r="C9623"/>
      <c r="H9623"/>
    </row>
    <row r="9624" spans="2:8" x14ac:dyDescent="0.35">
      <c r="B9624"/>
      <c r="C9624"/>
      <c r="H9624"/>
    </row>
    <row r="9625" spans="2:8" x14ac:dyDescent="0.35">
      <c r="B9625"/>
      <c r="C9625"/>
      <c r="H9625"/>
    </row>
    <row r="9626" spans="2:8" x14ac:dyDescent="0.35">
      <c r="B9626"/>
      <c r="C9626"/>
      <c r="H9626"/>
    </row>
    <row r="9627" spans="2:8" x14ac:dyDescent="0.35">
      <c r="B9627"/>
      <c r="C9627"/>
      <c r="H9627"/>
    </row>
    <row r="9628" spans="2:8" x14ac:dyDescent="0.35">
      <c r="B9628"/>
      <c r="C9628"/>
      <c r="H9628"/>
    </row>
    <row r="9629" spans="2:8" x14ac:dyDescent="0.35">
      <c r="B9629"/>
      <c r="C9629"/>
      <c r="H9629"/>
    </row>
    <row r="9630" spans="2:8" x14ac:dyDescent="0.35">
      <c r="B9630"/>
      <c r="C9630"/>
      <c r="H9630"/>
    </row>
    <row r="9631" spans="2:8" x14ac:dyDescent="0.35">
      <c r="B9631"/>
      <c r="C9631"/>
      <c r="H9631"/>
    </row>
    <row r="9632" spans="2:8" x14ac:dyDescent="0.35">
      <c r="B9632"/>
      <c r="C9632"/>
      <c r="H9632"/>
    </row>
    <row r="9633" spans="2:8" x14ac:dyDescent="0.35">
      <c r="B9633"/>
      <c r="C9633"/>
      <c r="H9633"/>
    </row>
    <row r="9634" spans="2:8" x14ac:dyDescent="0.35">
      <c r="B9634"/>
      <c r="C9634"/>
      <c r="H9634"/>
    </row>
    <row r="9635" spans="2:8" x14ac:dyDescent="0.35">
      <c r="B9635"/>
      <c r="C9635"/>
      <c r="H9635"/>
    </row>
    <row r="9636" spans="2:8" x14ac:dyDescent="0.35">
      <c r="B9636"/>
      <c r="C9636"/>
      <c r="H9636"/>
    </row>
    <row r="9637" spans="2:8" x14ac:dyDescent="0.35">
      <c r="B9637"/>
      <c r="C9637"/>
      <c r="H9637"/>
    </row>
    <row r="9638" spans="2:8" x14ac:dyDescent="0.35">
      <c r="B9638"/>
      <c r="C9638"/>
      <c r="H9638"/>
    </row>
    <row r="9639" spans="2:8" x14ac:dyDescent="0.35">
      <c r="B9639"/>
      <c r="C9639"/>
      <c r="H9639"/>
    </row>
    <row r="9640" spans="2:8" x14ac:dyDescent="0.35">
      <c r="B9640"/>
      <c r="C9640"/>
      <c r="H9640"/>
    </row>
    <row r="9641" spans="2:8" x14ac:dyDescent="0.35">
      <c r="B9641"/>
      <c r="C9641"/>
      <c r="H9641"/>
    </row>
    <row r="9642" spans="2:8" x14ac:dyDescent="0.35">
      <c r="B9642"/>
      <c r="C9642"/>
      <c r="H9642"/>
    </row>
    <row r="9643" spans="2:8" x14ac:dyDescent="0.35">
      <c r="B9643"/>
      <c r="C9643"/>
      <c r="H9643"/>
    </row>
    <row r="9644" spans="2:8" x14ac:dyDescent="0.35">
      <c r="B9644"/>
      <c r="C9644"/>
      <c r="H9644"/>
    </row>
    <row r="9645" spans="2:8" x14ac:dyDescent="0.35">
      <c r="B9645"/>
      <c r="C9645"/>
      <c r="H9645"/>
    </row>
    <row r="9646" spans="2:8" x14ac:dyDescent="0.35">
      <c r="B9646"/>
      <c r="C9646"/>
      <c r="H9646"/>
    </row>
    <row r="9647" spans="2:8" x14ac:dyDescent="0.35">
      <c r="B9647"/>
      <c r="C9647"/>
      <c r="H9647"/>
    </row>
    <row r="9648" spans="2:8" x14ac:dyDescent="0.35">
      <c r="B9648"/>
      <c r="C9648"/>
      <c r="H9648"/>
    </row>
    <row r="9649" spans="2:8" x14ac:dyDescent="0.35">
      <c r="B9649"/>
      <c r="C9649"/>
      <c r="H9649"/>
    </row>
    <row r="9650" spans="2:8" x14ac:dyDescent="0.35">
      <c r="B9650"/>
      <c r="C9650"/>
      <c r="H9650"/>
    </row>
    <row r="9651" spans="2:8" x14ac:dyDescent="0.35">
      <c r="B9651"/>
      <c r="C9651"/>
      <c r="H9651"/>
    </row>
    <row r="9652" spans="2:8" x14ac:dyDescent="0.35">
      <c r="B9652"/>
      <c r="C9652"/>
      <c r="H9652"/>
    </row>
    <row r="9653" spans="2:8" x14ac:dyDescent="0.35">
      <c r="B9653"/>
      <c r="C9653"/>
      <c r="H9653"/>
    </row>
    <row r="9654" spans="2:8" x14ac:dyDescent="0.35">
      <c r="B9654"/>
      <c r="C9654"/>
      <c r="H9654"/>
    </row>
    <row r="9655" spans="2:8" x14ac:dyDescent="0.35">
      <c r="B9655"/>
      <c r="C9655"/>
      <c r="H9655"/>
    </row>
    <row r="9656" spans="2:8" x14ac:dyDescent="0.35">
      <c r="B9656"/>
      <c r="C9656"/>
      <c r="H9656"/>
    </row>
    <row r="9657" spans="2:8" x14ac:dyDescent="0.35">
      <c r="B9657"/>
      <c r="C9657"/>
      <c r="H9657"/>
    </row>
    <row r="9658" spans="2:8" x14ac:dyDescent="0.35">
      <c r="B9658"/>
      <c r="C9658"/>
      <c r="H9658"/>
    </row>
    <row r="9659" spans="2:8" x14ac:dyDescent="0.35">
      <c r="B9659"/>
      <c r="C9659"/>
      <c r="H9659"/>
    </row>
    <row r="9660" spans="2:8" x14ac:dyDescent="0.35">
      <c r="B9660"/>
      <c r="C9660"/>
      <c r="H9660"/>
    </row>
    <row r="9661" spans="2:8" x14ac:dyDescent="0.35">
      <c r="B9661"/>
      <c r="C9661"/>
      <c r="H9661"/>
    </row>
    <row r="9662" spans="2:8" x14ac:dyDescent="0.35">
      <c r="B9662"/>
      <c r="C9662"/>
      <c r="H9662"/>
    </row>
    <row r="9663" spans="2:8" x14ac:dyDescent="0.35">
      <c r="B9663"/>
      <c r="C9663"/>
      <c r="H9663"/>
    </row>
    <row r="9664" spans="2:8" x14ac:dyDescent="0.35">
      <c r="B9664"/>
      <c r="C9664"/>
      <c r="H9664"/>
    </row>
    <row r="9665" spans="2:8" x14ac:dyDescent="0.35">
      <c r="B9665"/>
      <c r="C9665"/>
      <c r="H9665"/>
    </row>
    <row r="9666" spans="2:8" x14ac:dyDescent="0.35">
      <c r="B9666"/>
      <c r="C9666"/>
      <c r="H9666"/>
    </row>
    <row r="9667" spans="2:8" x14ac:dyDescent="0.35">
      <c r="B9667"/>
      <c r="C9667"/>
      <c r="H9667"/>
    </row>
    <row r="9668" spans="2:8" x14ac:dyDescent="0.35">
      <c r="B9668"/>
      <c r="C9668"/>
      <c r="H9668"/>
    </row>
    <row r="9669" spans="2:8" x14ac:dyDescent="0.35">
      <c r="B9669"/>
      <c r="C9669"/>
      <c r="H9669"/>
    </row>
    <row r="9670" spans="2:8" x14ac:dyDescent="0.35">
      <c r="B9670"/>
      <c r="C9670"/>
      <c r="H9670"/>
    </row>
    <row r="9671" spans="2:8" x14ac:dyDescent="0.35">
      <c r="B9671"/>
      <c r="C9671"/>
      <c r="H9671"/>
    </row>
    <row r="9672" spans="2:8" x14ac:dyDescent="0.35">
      <c r="B9672"/>
      <c r="C9672"/>
      <c r="H9672"/>
    </row>
    <row r="9673" spans="2:8" x14ac:dyDescent="0.35">
      <c r="B9673"/>
      <c r="C9673"/>
      <c r="H9673"/>
    </row>
    <row r="9674" spans="2:8" x14ac:dyDescent="0.35">
      <c r="B9674"/>
      <c r="C9674"/>
      <c r="H9674"/>
    </row>
    <row r="9675" spans="2:8" x14ac:dyDescent="0.35">
      <c r="B9675"/>
      <c r="C9675"/>
      <c r="H9675"/>
    </row>
    <row r="9676" spans="2:8" x14ac:dyDescent="0.35">
      <c r="B9676"/>
      <c r="C9676"/>
      <c r="H9676"/>
    </row>
    <row r="9677" spans="2:8" x14ac:dyDescent="0.35">
      <c r="B9677"/>
      <c r="C9677"/>
      <c r="H9677"/>
    </row>
    <row r="9678" spans="2:8" x14ac:dyDescent="0.35">
      <c r="B9678"/>
      <c r="C9678"/>
      <c r="H9678"/>
    </row>
    <row r="9679" spans="2:8" x14ac:dyDescent="0.35">
      <c r="B9679"/>
      <c r="C9679"/>
      <c r="H9679"/>
    </row>
    <row r="9680" spans="2:8" x14ac:dyDescent="0.35">
      <c r="B9680"/>
      <c r="C9680"/>
      <c r="H9680"/>
    </row>
    <row r="9681" spans="2:8" x14ac:dyDescent="0.35">
      <c r="B9681"/>
      <c r="C9681"/>
      <c r="H9681"/>
    </row>
    <row r="9682" spans="2:8" x14ac:dyDescent="0.35">
      <c r="B9682"/>
      <c r="C9682"/>
      <c r="H9682"/>
    </row>
    <row r="9683" spans="2:8" x14ac:dyDescent="0.35">
      <c r="B9683"/>
      <c r="C9683"/>
      <c r="H9683"/>
    </row>
    <row r="9684" spans="2:8" x14ac:dyDescent="0.35">
      <c r="B9684"/>
      <c r="C9684"/>
      <c r="H9684"/>
    </row>
    <row r="9685" spans="2:8" x14ac:dyDescent="0.35">
      <c r="B9685"/>
      <c r="C9685"/>
      <c r="H9685"/>
    </row>
    <row r="9686" spans="2:8" x14ac:dyDescent="0.35">
      <c r="B9686"/>
      <c r="C9686"/>
      <c r="H9686"/>
    </row>
    <row r="9687" spans="2:8" x14ac:dyDescent="0.35">
      <c r="B9687"/>
      <c r="C9687"/>
      <c r="H9687"/>
    </row>
    <row r="9688" spans="2:8" x14ac:dyDescent="0.35">
      <c r="B9688"/>
      <c r="C9688"/>
      <c r="H9688"/>
    </row>
    <row r="9689" spans="2:8" x14ac:dyDescent="0.35">
      <c r="B9689"/>
      <c r="C9689"/>
      <c r="H9689"/>
    </row>
    <row r="9690" spans="2:8" x14ac:dyDescent="0.35">
      <c r="B9690"/>
      <c r="C9690"/>
      <c r="H9690"/>
    </row>
    <row r="9691" spans="2:8" x14ac:dyDescent="0.35">
      <c r="B9691"/>
      <c r="C9691"/>
      <c r="H9691"/>
    </row>
    <row r="9692" spans="2:8" x14ac:dyDescent="0.35">
      <c r="B9692"/>
      <c r="C9692"/>
      <c r="H9692"/>
    </row>
    <row r="9693" spans="2:8" x14ac:dyDescent="0.35">
      <c r="B9693"/>
      <c r="C9693"/>
      <c r="H9693"/>
    </row>
    <row r="9694" spans="2:8" x14ac:dyDescent="0.35">
      <c r="B9694"/>
      <c r="C9694"/>
      <c r="H9694"/>
    </row>
    <row r="9695" spans="2:8" x14ac:dyDescent="0.35">
      <c r="B9695"/>
      <c r="C9695"/>
      <c r="H9695"/>
    </row>
    <row r="9696" spans="2:8" x14ac:dyDescent="0.35">
      <c r="B9696"/>
      <c r="C9696"/>
      <c r="H9696"/>
    </row>
    <row r="9697" spans="2:8" x14ac:dyDescent="0.35">
      <c r="B9697"/>
      <c r="C9697"/>
      <c r="H9697"/>
    </row>
    <row r="9698" spans="2:8" x14ac:dyDescent="0.35">
      <c r="B9698"/>
      <c r="C9698"/>
      <c r="H9698"/>
    </row>
    <row r="9699" spans="2:8" x14ac:dyDescent="0.35">
      <c r="B9699"/>
      <c r="C9699"/>
      <c r="H9699"/>
    </row>
    <row r="9700" spans="2:8" x14ac:dyDescent="0.35">
      <c r="B9700"/>
      <c r="C9700"/>
      <c r="H9700"/>
    </row>
    <row r="9701" spans="2:8" x14ac:dyDescent="0.35">
      <c r="B9701"/>
      <c r="C9701"/>
      <c r="H9701"/>
    </row>
    <row r="9702" spans="2:8" x14ac:dyDescent="0.35">
      <c r="B9702"/>
      <c r="C9702"/>
      <c r="H9702"/>
    </row>
    <row r="9703" spans="2:8" x14ac:dyDescent="0.35">
      <c r="B9703"/>
      <c r="C9703"/>
      <c r="H9703"/>
    </row>
    <row r="9704" spans="2:8" x14ac:dyDescent="0.35">
      <c r="B9704"/>
      <c r="C9704"/>
      <c r="H9704"/>
    </row>
    <row r="9705" spans="2:8" x14ac:dyDescent="0.35">
      <c r="B9705"/>
      <c r="C9705"/>
      <c r="H9705"/>
    </row>
    <row r="9706" spans="2:8" x14ac:dyDescent="0.35">
      <c r="B9706"/>
      <c r="C9706"/>
      <c r="H9706"/>
    </row>
    <row r="9707" spans="2:8" x14ac:dyDescent="0.35">
      <c r="B9707"/>
      <c r="C9707"/>
      <c r="H9707"/>
    </row>
    <row r="9708" spans="2:8" x14ac:dyDescent="0.35">
      <c r="B9708"/>
      <c r="C9708"/>
      <c r="H9708"/>
    </row>
    <row r="9709" spans="2:8" x14ac:dyDescent="0.35">
      <c r="B9709"/>
      <c r="C9709"/>
      <c r="H9709"/>
    </row>
    <row r="9710" spans="2:8" x14ac:dyDescent="0.35">
      <c r="B9710"/>
      <c r="C9710"/>
      <c r="H9710"/>
    </row>
    <row r="9711" spans="2:8" x14ac:dyDescent="0.35">
      <c r="B9711"/>
      <c r="C9711"/>
      <c r="H9711"/>
    </row>
    <row r="9712" spans="2:8" x14ac:dyDescent="0.35">
      <c r="B9712"/>
      <c r="C9712"/>
      <c r="H9712"/>
    </row>
    <row r="9713" spans="2:8" x14ac:dyDescent="0.35">
      <c r="B9713"/>
      <c r="C9713"/>
      <c r="H9713"/>
    </row>
    <row r="9714" spans="2:8" x14ac:dyDescent="0.35">
      <c r="B9714"/>
      <c r="C9714"/>
      <c r="H9714"/>
    </row>
    <row r="9715" spans="2:8" x14ac:dyDescent="0.35">
      <c r="B9715"/>
      <c r="C9715"/>
      <c r="H9715"/>
    </row>
    <row r="9716" spans="2:8" x14ac:dyDescent="0.35">
      <c r="B9716"/>
      <c r="C9716"/>
      <c r="H9716"/>
    </row>
    <row r="9717" spans="2:8" x14ac:dyDescent="0.35">
      <c r="B9717"/>
      <c r="C9717"/>
      <c r="H9717"/>
    </row>
    <row r="9718" spans="2:8" x14ac:dyDescent="0.35">
      <c r="B9718"/>
      <c r="C9718"/>
      <c r="H9718"/>
    </row>
    <row r="9719" spans="2:8" x14ac:dyDescent="0.35">
      <c r="B9719"/>
      <c r="C9719"/>
      <c r="H9719"/>
    </row>
    <row r="9720" spans="2:8" x14ac:dyDescent="0.35">
      <c r="B9720"/>
      <c r="C9720"/>
      <c r="H9720"/>
    </row>
    <row r="9721" spans="2:8" x14ac:dyDescent="0.35">
      <c r="B9721"/>
      <c r="C9721"/>
      <c r="H9721"/>
    </row>
    <row r="9722" spans="2:8" x14ac:dyDescent="0.35">
      <c r="B9722"/>
      <c r="C9722"/>
      <c r="H9722"/>
    </row>
    <row r="9723" spans="2:8" x14ac:dyDescent="0.35">
      <c r="B9723"/>
      <c r="C9723"/>
      <c r="H9723"/>
    </row>
    <row r="9724" spans="2:8" x14ac:dyDescent="0.35">
      <c r="B9724"/>
      <c r="C9724"/>
      <c r="H9724"/>
    </row>
    <row r="9725" spans="2:8" x14ac:dyDescent="0.35">
      <c r="B9725"/>
      <c r="C9725"/>
      <c r="H9725"/>
    </row>
    <row r="9726" spans="2:8" x14ac:dyDescent="0.35">
      <c r="B9726"/>
      <c r="C9726"/>
      <c r="H9726"/>
    </row>
    <row r="9727" spans="2:8" x14ac:dyDescent="0.35">
      <c r="B9727"/>
      <c r="C9727"/>
      <c r="H9727"/>
    </row>
    <row r="9728" spans="2:8" x14ac:dyDescent="0.35">
      <c r="B9728"/>
      <c r="C9728"/>
      <c r="H9728"/>
    </row>
    <row r="9729" spans="2:8" x14ac:dyDescent="0.35">
      <c r="B9729"/>
      <c r="C9729"/>
      <c r="H9729"/>
    </row>
    <row r="9730" spans="2:8" x14ac:dyDescent="0.35">
      <c r="B9730"/>
      <c r="C9730"/>
      <c r="H9730"/>
    </row>
    <row r="9731" spans="2:8" x14ac:dyDescent="0.35">
      <c r="B9731"/>
      <c r="C9731"/>
      <c r="H9731"/>
    </row>
    <row r="9732" spans="2:8" x14ac:dyDescent="0.35">
      <c r="B9732"/>
      <c r="C9732"/>
      <c r="H9732"/>
    </row>
    <row r="9733" spans="2:8" x14ac:dyDescent="0.35">
      <c r="B9733"/>
      <c r="C9733"/>
      <c r="H9733"/>
    </row>
    <row r="9734" spans="2:8" x14ac:dyDescent="0.35">
      <c r="B9734"/>
      <c r="C9734"/>
      <c r="H9734"/>
    </row>
    <row r="9735" spans="2:8" x14ac:dyDescent="0.35">
      <c r="B9735"/>
      <c r="C9735"/>
      <c r="H9735"/>
    </row>
    <row r="9736" spans="2:8" x14ac:dyDescent="0.35">
      <c r="B9736"/>
      <c r="C9736"/>
      <c r="H9736"/>
    </row>
    <row r="9737" spans="2:8" x14ac:dyDescent="0.35">
      <c r="B9737"/>
      <c r="C9737"/>
      <c r="H9737"/>
    </row>
    <row r="9738" spans="2:8" x14ac:dyDescent="0.35">
      <c r="B9738"/>
      <c r="C9738"/>
      <c r="H9738"/>
    </row>
    <row r="9739" spans="2:8" x14ac:dyDescent="0.35">
      <c r="B9739"/>
      <c r="C9739"/>
      <c r="H9739"/>
    </row>
    <row r="9740" spans="2:8" x14ac:dyDescent="0.35">
      <c r="B9740"/>
      <c r="C9740"/>
      <c r="H9740"/>
    </row>
    <row r="9741" spans="2:8" x14ac:dyDescent="0.35">
      <c r="B9741"/>
      <c r="C9741"/>
      <c r="H9741"/>
    </row>
    <row r="9742" spans="2:8" x14ac:dyDescent="0.35">
      <c r="B9742"/>
      <c r="C9742"/>
      <c r="H9742"/>
    </row>
    <row r="9743" spans="2:8" x14ac:dyDescent="0.35">
      <c r="B9743"/>
      <c r="C9743"/>
      <c r="H9743"/>
    </row>
    <row r="9744" spans="2:8" x14ac:dyDescent="0.35">
      <c r="B9744"/>
      <c r="C9744"/>
      <c r="H9744"/>
    </row>
    <row r="9745" spans="2:8" x14ac:dyDescent="0.35">
      <c r="B9745"/>
      <c r="C9745"/>
      <c r="H9745"/>
    </row>
    <row r="9746" spans="2:8" x14ac:dyDescent="0.35">
      <c r="B9746"/>
      <c r="C9746"/>
      <c r="H9746"/>
    </row>
    <row r="9747" spans="2:8" x14ac:dyDescent="0.35">
      <c r="B9747"/>
      <c r="C9747"/>
      <c r="H9747"/>
    </row>
    <row r="9748" spans="2:8" x14ac:dyDescent="0.35">
      <c r="B9748"/>
      <c r="C9748"/>
      <c r="H9748"/>
    </row>
    <row r="9749" spans="2:8" x14ac:dyDescent="0.35">
      <c r="B9749"/>
      <c r="C9749"/>
      <c r="H9749"/>
    </row>
    <row r="9750" spans="2:8" x14ac:dyDescent="0.35">
      <c r="B9750"/>
      <c r="C9750"/>
      <c r="H9750"/>
    </row>
    <row r="9751" spans="2:8" x14ac:dyDescent="0.35">
      <c r="B9751"/>
      <c r="C9751"/>
      <c r="H9751"/>
    </row>
    <row r="9752" spans="2:8" x14ac:dyDescent="0.35">
      <c r="B9752"/>
      <c r="C9752"/>
      <c r="H9752"/>
    </row>
    <row r="9753" spans="2:8" x14ac:dyDescent="0.35">
      <c r="B9753"/>
      <c r="C9753"/>
      <c r="H9753"/>
    </row>
    <row r="9754" spans="2:8" x14ac:dyDescent="0.35">
      <c r="B9754"/>
      <c r="C9754"/>
      <c r="H9754"/>
    </row>
    <row r="9755" spans="2:8" x14ac:dyDescent="0.35">
      <c r="B9755"/>
      <c r="C9755"/>
      <c r="H9755"/>
    </row>
    <row r="9756" spans="2:8" x14ac:dyDescent="0.35">
      <c r="B9756"/>
      <c r="C9756"/>
      <c r="H9756"/>
    </row>
    <row r="9757" spans="2:8" x14ac:dyDescent="0.35">
      <c r="B9757"/>
      <c r="C9757"/>
      <c r="H9757"/>
    </row>
    <row r="9758" spans="2:8" x14ac:dyDescent="0.35">
      <c r="B9758"/>
      <c r="C9758"/>
      <c r="H9758"/>
    </row>
    <row r="9759" spans="2:8" x14ac:dyDescent="0.35">
      <c r="B9759"/>
      <c r="C9759"/>
      <c r="H9759"/>
    </row>
    <row r="9760" spans="2:8" x14ac:dyDescent="0.35">
      <c r="B9760"/>
      <c r="C9760"/>
      <c r="H9760"/>
    </row>
    <row r="9761" spans="2:8" x14ac:dyDescent="0.35">
      <c r="B9761"/>
      <c r="C9761"/>
      <c r="H9761"/>
    </row>
    <row r="9762" spans="2:8" x14ac:dyDescent="0.35">
      <c r="B9762"/>
      <c r="C9762"/>
      <c r="H9762"/>
    </row>
    <row r="9763" spans="2:8" x14ac:dyDescent="0.35">
      <c r="B9763"/>
      <c r="C9763"/>
      <c r="H9763"/>
    </row>
    <row r="9764" spans="2:8" x14ac:dyDescent="0.35">
      <c r="B9764"/>
      <c r="C9764"/>
      <c r="H9764"/>
    </row>
    <row r="9765" spans="2:8" x14ac:dyDescent="0.35">
      <c r="B9765"/>
      <c r="C9765"/>
      <c r="H9765"/>
    </row>
    <row r="9766" spans="2:8" x14ac:dyDescent="0.35">
      <c r="B9766"/>
      <c r="C9766"/>
      <c r="H9766"/>
    </row>
    <row r="9767" spans="2:8" x14ac:dyDescent="0.35">
      <c r="B9767"/>
      <c r="C9767"/>
      <c r="H9767"/>
    </row>
    <row r="9768" spans="2:8" x14ac:dyDescent="0.35">
      <c r="B9768"/>
      <c r="C9768"/>
      <c r="H9768"/>
    </row>
    <row r="9769" spans="2:8" x14ac:dyDescent="0.35">
      <c r="B9769"/>
      <c r="C9769"/>
      <c r="H9769"/>
    </row>
    <row r="9770" spans="2:8" x14ac:dyDescent="0.35">
      <c r="B9770"/>
      <c r="C9770"/>
      <c r="H9770"/>
    </row>
    <row r="9771" spans="2:8" x14ac:dyDescent="0.35">
      <c r="B9771"/>
      <c r="C9771"/>
      <c r="H9771"/>
    </row>
    <row r="9772" spans="2:8" x14ac:dyDescent="0.35">
      <c r="B9772"/>
      <c r="C9772"/>
      <c r="H9772"/>
    </row>
    <row r="9773" spans="2:8" x14ac:dyDescent="0.35">
      <c r="B9773"/>
      <c r="C9773"/>
      <c r="H9773"/>
    </row>
    <row r="9774" spans="2:8" x14ac:dyDescent="0.35">
      <c r="B9774"/>
      <c r="C9774"/>
      <c r="H9774"/>
    </row>
    <row r="9775" spans="2:8" x14ac:dyDescent="0.35">
      <c r="B9775"/>
      <c r="C9775"/>
      <c r="H9775"/>
    </row>
    <row r="9776" spans="2:8" x14ac:dyDescent="0.35">
      <c r="B9776"/>
      <c r="C9776"/>
      <c r="H9776"/>
    </row>
    <row r="9777" spans="2:8" x14ac:dyDescent="0.35">
      <c r="B9777"/>
      <c r="C9777"/>
      <c r="H9777"/>
    </row>
    <row r="9778" spans="2:8" x14ac:dyDescent="0.35">
      <c r="B9778"/>
      <c r="C9778"/>
      <c r="H9778"/>
    </row>
    <row r="9779" spans="2:8" x14ac:dyDescent="0.35">
      <c r="B9779"/>
      <c r="C9779"/>
      <c r="H9779"/>
    </row>
    <row r="9780" spans="2:8" x14ac:dyDescent="0.35">
      <c r="B9780"/>
      <c r="C9780"/>
      <c r="H9780"/>
    </row>
    <row r="9781" spans="2:8" x14ac:dyDescent="0.35">
      <c r="B9781"/>
      <c r="C9781"/>
      <c r="H9781"/>
    </row>
    <row r="9782" spans="2:8" x14ac:dyDescent="0.35">
      <c r="B9782"/>
      <c r="C9782"/>
      <c r="H9782"/>
    </row>
    <row r="9783" spans="2:8" x14ac:dyDescent="0.35">
      <c r="B9783"/>
      <c r="C9783"/>
      <c r="H9783"/>
    </row>
    <row r="9784" spans="2:8" x14ac:dyDescent="0.35">
      <c r="B9784"/>
      <c r="C9784"/>
      <c r="H9784"/>
    </row>
    <row r="9785" spans="2:8" x14ac:dyDescent="0.35">
      <c r="B9785"/>
      <c r="C9785"/>
      <c r="H9785"/>
    </row>
    <row r="9786" spans="2:8" x14ac:dyDescent="0.35">
      <c r="B9786"/>
      <c r="C9786"/>
      <c r="H9786"/>
    </row>
    <row r="9787" spans="2:8" x14ac:dyDescent="0.35">
      <c r="B9787"/>
      <c r="C9787"/>
      <c r="H9787"/>
    </row>
    <row r="9788" spans="2:8" x14ac:dyDescent="0.35">
      <c r="B9788"/>
      <c r="C9788"/>
      <c r="H9788"/>
    </row>
    <row r="9789" spans="2:8" x14ac:dyDescent="0.35">
      <c r="B9789"/>
      <c r="C9789"/>
      <c r="H9789"/>
    </row>
    <row r="9790" spans="2:8" x14ac:dyDescent="0.35">
      <c r="B9790"/>
      <c r="C9790"/>
      <c r="H9790"/>
    </row>
    <row r="9791" spans="2:8" x14ac:dyDescent="0.35">
      <c r="B9791"/>
      <c r="C9791"/>
      <c r="H9791"/>
    </row>
    <row r="9792" spans="2:8" x14ac:dyDescent="0.35">
      <c r="B9792"/>
      <c r="C9792"/>
      <c r="H9792"/>
    </row>
    <row r="9793" spans="2:8" x14ac:dyDescent="0.35">
      <c r="B9793"/>
      <c r="C9793"/>
      <c r="H9793"/>
    </row>
    <row r="9794" spans="2:8" x14ac:dyDescent="0.35">
      <c r="B9794"/>
      <c r="C9794"/>
      <c r="H9794"/>
    </row>
    <row r="9795" spans="2:8" x14ac:dyDescent="0.35">
      <c r="B9795"/>
      <c r="C9795"/>
      <c r="H9795"/>
    </row>
    <row r="9796" spans="2:8" x14ac:dyDescent="0.35">
      <c r="B9796"/>
      <c r="C9796"/>
      <c r="H9796"/>
    </row>
    <row r="9797" spans="2:8" x14ac:dyDescent="0.35">
      <c r="B9797"/>
      <c r="C9797"/>
      <c r="H9797"/>
    </row>
    <row r="9798" spans="2:8" x14ac:dyDescent="0.35">
      <c r="B9798"/>
      <c r="C9798"/>
      <c r="H9798"/>
    </row>
    <row r="9799" spans="2:8" x14ac:dyDescent="0.35">
      <c r="B9799"/>
      <c r="C9799"/>
      <c r="H9799"/>
    </row>
    <row r="9800" spans="2:8" x14ac:dyDescent="0.35">
      <c r="B9800"/>
      <c r="C9800"/>
      <c r="H9800"/>
    </row>
    <row r="9801" spans="2:8" x14ac:dyDescent="0.35">
      <c r="B9801"/>
      <c r="C9801"/>
      <c r="H9801"/>
    </row>
    <row r="9802" spans="2:8" x14ac:dyDescent="0.35">
      <c r="B9802"/>
      <c r="C9802"/>
      <c r="H9802"/>
    </row>
    <row r="9803" spans="2:8" x14ac:dyDescent="0.35">
      <c r="B9803"/>
      <c r="C9803"/>
      <c r="H9803"/>
    </row>
    <row r="9804" spans="2:8" x14ac:dyDescent="0.35">
      <c r="B9804"/>
      <c r="C9804"/>
      <c r="H9804"/>
    </row>
    <row r="9805" spans="2:8" x14ac:dyDescent="0.35">
      <c r="B9805"/>
      <c r="C9805"/>
      <c r="H9805"/>
    </row>
    <row r="9806" spans="2:8" x14ac:dyDescent="0.35">
      <c r="B9806"/>
      <c r="C9806"/>
      <c r="H9806"/>
    </row>
    <row r="9807" spans="2:8" x14ac:dyDescent="0.35">
      <c r="B9807"/>
      <c r="C9807"/>
      <c r="H9807"/>
    </row>
    <row r="9808" spans="2:8" x14ac:dyDescent="0.35">
      <c r="B9808"/>
      <c r="C9808"/>
      <c r="H9808"/>
    </row>
    <row r="9809" spans="2:8" x14ac:dyDescent="0.35">
      <c r="B9809"/>
      <c r="C9809"/>
      <c r="H9809"/>
    </row>
    <row r="9810" spans="2:8" x14ac:dyDescent="0.35">
      <c r="B9810"/>
      <c r="C9810"/>
      <c r="H9810"/>
    </row>
    <row r="9811" spans="2:8" x14ac:dyDescent="0.35">
      <c r="B9811"/>
      <c r="C9811"/>
      <c r="H9811"/>
    </row>
    <row r="9812" spans="2:8" x14ac:dyDescent="0.35">
      <c r="B9812"/>
      <c r="C9812"/>
      <c r="H9812"/>
    </row>
    <row r="9813" spans="2:8" x14ac:dyDescent="0.35">
      <c r="B9813"/>
      <c r="C9813"/>
      <c r="H9813"/>
    </row>
    <row r="9814" spans="2:8" x14ac:dyDescent="0.35">
      <c r="B9814"/>
      <c r="C9814"/>
      <c r="H9814"/>
    </row>
    <row r="9815" spans="2:8" x14ac:dyDescent="0.35">
      <c r="B9815"/>
      <c r="C9815"/>
      <c r="H9815"/>
    </row>
    <row r="9816" spans="2:8" x14ac:dyDescent="0.35">
      <c r="B9816"/>
      <c r="C9816"/>
      <c r="H9816"/>
    </row>
    <row r="9817" spans="2:8" x14ac:dyDescent="0.35">
      <c r="B9817"/>
      <c r="C9817"/>
      <c r="H9817"/>
    </row>
    <row r="9818" spans="2:8" x14ac:dyDescent="0.35">
      <c r="B9818"/>
      <c r="C9818"/>
      <c r="H9818"/>
    </row>
    <row r="9819" spans="2:8" x14ac:dyDescent="0.35">
      <c r="B9819"/>
      <c r="C9819"/>
      <c r="H9819"/>
    </row>
    <row r="9820" spans="2:8" x14ac:dyDescent="0.35">
      <c r="B9820"/>
      <c r="C9820"/>
      <c r="H9820"/>
    </row>
    <row r="9821" spans="2:8" x14ac:dyDescent="0.35">
      <c r="B9821"/>
      <c r="C9821"/>
      <c r="H9821"/>
    </row>
    <row r="9822" spans="2:8" x14ac:dyDescent="0.35">
      <c r="B9822"/>
      <c r="C9822"/>
      <c r="H9822"/>
    </row>
    <row r="9823" spans="2:8" x14ac:dyDescent="0.35">
      <c r="B9823"/>
      <c r="C9823"/>
      <c r="H9823"/>
    </row>
    <row r="9824" spans="2:8" x14ac:dyDescent="0.35">
      <c r="B9824"/>
      <c r="C9824"/>
      <c r="H9824"/>
    </row>
    <row r="9825" spans="2:8" x14ac:dyDescent="0.35">
      <c r="B9825"/>
      <c r="C9825"/>
      <c r="H9825"/>
    </row>
    <row r="9826" spans="2:8" x14ac:dyDescent="0.35">
      <c r="B9826"/>
      <c r="C9826"/>
      <c r="H9826"/>
    </row>
    <row r="9827" spans="2:8" x14ac:dyDescent="0.35">
      <c r="B9827"/>
      <c r="C9827"/>
      <c r="H9827"/>
    </row>
    <row r="9828" spans="2:8" x14ac:dyDescent="0.35">
      <c r="B9828"/>
      <c r="C9828"/>
      <c r="H9828"/>
    </row>
    <row r="9829" spans="2:8" x14ac:dyDescent="0.35">
      <c r="B9829"/>
      <c r="C9829"/>
      <c r="H9829"/>
    </row>
    <row r="9830" spans="2:8" x14ac:dyDescent="0.35">
      <c r="B9830"/>
      <c r="C9830"/>
      <c r="H9830"/>
    </row>
    <row r="9831" spans="2:8" x14ac:dyDescent="0.35">
      <c r="B9831"/>
      <c r="C9831"/>
      <c r="H9831"/>
    </row>
    <row r="9832" spans="2:8" x14ac:dyDescent="0.35">
      <c r="B9832"/>
      <c r="C9832"/>
      <c r="H9832"/>
    </row>
    <row r="9833" spans="2:8" x14ac:dyDescent="0.35">
      <c r="B9833"/>
      <c r="C9833"/>
      <c r="H9833"/>
    </row>
    <row r="9834" spans="2:8" x14ac:dyDescent="0.35">
      <c r="B9834"/>
      <c r="C9834"/>
      <c r="H9834"/>
    </row>
    <row r="9835" spans="2:8" x14ac:dyDescent="0.35">
      <c r="B9835"/>
      <c r="C9835"/>
      <c r="H9835"/>
    </row>
    <row r="9836" spans="2:8" x14ac:dyDescent="0.35">
      <c r="B9836"/>
      <c r="C9836"/>
      <c r="H9836"/>
    </row>
    <row r="9837" spans="2:8" x14ac:dyDescent="0.35">
      <c r="B9837"/>
      <c r="C9837"/>
      <c r="H9837"/>
    </row>
    <row r="9838" spans="2:8" x14ac:dyDescent="0.35">
      <c r="B9838"/>
      <c r="C9838"/>
      <c r="H9838"/>
    </row>
    <row r="9839" spans="2:8" x14ac:dyDescent="0.35">
      <c r="B9839"/>
      <c r="C9839"/>
      <c r="H9839"/>
    </row>
    <row r="9840" spans="2:8" x14ac:dyDescent="0.35">
      <c r="B9840"/>
      <c r="C9840"/>
      <c r="H9840"/>
    </row>
    <row r="9841" spans="2:8" x14ac:dyDescent="0.35">
      <c r="B9841"/>
      <c r="C9841"/>
      <c r="H9841"/>
    </row>
    <row r="9842" spans="2:8" x14ac:dyDescent="0.35">
      <c r="B9842"/>
      <c r="C9842"/>
      <c r="H9842"/>
    </row>
    <row r="9843" spans="2:8" x14ac:dyDescent="0.35">
      <c r="B9843"/>
      <c r="C9843"/>
      <c r="H9843"/>
    </row>
    <row r="9844" spans="2:8" x14ac:dyDescent="0.35">
      <c r="B9844"/>
      <c r="C9844"/>
      <c r="H9844"/>
    </row>
    <row r="9845" spans="2:8" x14ac:dyDescent="0.35">
      <c r="B9845"/>
      <c r="C9845"/>
      <c r="H9845"/>
    </row>
    <row r="9846" spans="2:8" x14ac:dyDescent="0.35">
      <c r="B9846"/>
      <c r="C9846"/>
      <c r="H9846"/>
    </row>
    <row r="9847" spans="2:8" x14ac:dyDescent="0.35">
      <c r="B9847"/>
      <c r="C9847"/>
      <c r="H9847"/>
    </row>
    <row r="9848" spans="2:8" x14ac:dyDescent="0.35">
      <c r="B9848"/>
      <c r="C9848"/>
      <c r="H9848"/>
    </row>
    <row r="9849" spans="2:8" x14ac:dyDescent="0.35">
      <c r="B9849"/>
      <c r="C9849"/>
      <c r="H9849"/>
    </row>
    <row r="9850" spans="2:8" x14ac:dyDescent="0.35">
      <c r="B9850"/>
      <c r="C9850"/>
      <c r="H9850"/>
    </row>
    <row r="9851" spans="2:8" x14ac:dyDescent="0.35">
      <c r="B9851"/>
      <c r="C9851"/>
      <c r="H9851"/>
    </row>
    <row r="9852" spans="2:8" x14ac:dyDescent="0.35">
      <c r="B9852"/>
      <c r="C9852"/>
      <c r="H9852"/>
    </row>
    <row r="9853" spans="2:8" x14ac:dyDescent="0.35">
      <c r="B9853"/>
      <c r="C9853"/>
      <c r="H9853"/>
    </row>
    <row r="9854" spans="2:8" x14ac:dyDescent="0.35">
      <c r="B9854"/>
      <c r="C9854"/>
      <c r="H9854"/>
    </row>
    <row r="9855" spans="2:8" x14ac:dyDescent="0.35">
      <c r="B9855"/>
      <c r="C9855"/>
      <c r="H9855"/>
    </row>
    <row r="9856" spans="2:8" x14ac:dyDescent="0.35">
      <c r="B9856"/>
      <c r="C9856"/>
      <c r="H9856"/>
    </row>
    <row r="9857" spans="2:8" x14ac:dyDescent="0.35">
      <c r="B9857"/>
      <c r="C9857"/>
      <c r="H9857"/>
    </row>
    <row r="9858" spans="2:8" x14ac:dyDescent="0.35">
      <c r="B9858"/>
      <c r="C9858"/>
      <c r="H9858"/>
    </row>
    <row r="9859" spans="2:8" x14ac:dyDescent="0.35">
      <c r="B9859"/>
      <c r="C9859"/>
      <c r="H9859"/>
    </row>
    <row r="9860" spans="2:8" x14ac:dyDescent="0.35">
      <c r="B9860"/>
      <c r="C9860"/>
      <c r="H9860"/>
    </row>
    <row r="9861" spans="2:8" x14ac:dyDescent="0.35">
      <c r="B9861"/>
      <c r="C9861"/>
      <c r="H9861"/>
    </row>
    <row r="9862" spans="2:8" x14ac:dyDescent="0.35">
      <c r="B9862"/>
      <c r="C9862"/>
      <c r="H9862"/>
    </row>
    <row r="9863" spans="2:8" x14ac:dyDescent="0.35">
      <c r="B9863"/>
      <c r="C9863"/>
      <c r="H9863"/>
    </row>
    <row r="9864" spans="2:8" x14ac:dyDescent="0.35">
      <c r="B9864"/>
      <c r="C9864"/>
      <c r="H9864"/>
    </row>
    <row r="9865" spans="2:8" x14ac:dyDescent="0.35">
      <c r="B9865"/>
      <c r="C9865"/>
      <c r="H9865"/>
    </row>
    <row r="9866" spans="2:8" x14ac:dyDescent="0.35">
      <c r="B9866"/>
      <c r="C9866"/>
      <c r="H9866"/>
    </row>
    <row r="9867" spans="2:8" x14ac:dyDescent="0.35">
      <c r="B9867"/>
      <c r="C9867"/>
      <c r="H9867"/>
    </row>
    <row r="9868" spans="2:8" x14ac:dyDescent="0.35">
      <c r="B9868"/>
      <c r="C9868"/>
      <c r="H9868"/>
    </row>
    <row r="9869" spans="2:8" x14ac:dyDescent="0.35">
      <c r="B9869"/>
      <c r="C9869"/>
      <c r="H9869"/>
    </row>
    <row r="9870" spans="2:8" x14ac:dyDescent="0.35">
      <c r="B9870"/>
      <c r="C9870"/>
      <c r="H9870"/>
    </row>
    <row r="9871" spans="2:8" x14ac:dyDescent="0.35">
      <c r="B9871"/>
      <c r="C9871"/>
      <c r="H9871"/>
    </row>
    <row r="9872" spans="2:8" x14ac:dyDescent="0.35">
      <c r="B9872"/>
      <c r="C9872"/>
      <c r="H9872"/>
    </row>
    <row r="9873" spans="2:8" x14ac:dyDescent="0.35">
      <c r="B9873"/>
      <c r="C9873"/>
      <c r="H9873"/>
    </row>
    <row r="9874" spans="2:8" x14ac:dyDescent="0.35">
      <c r="B9874"/>
      <c r="C9874"/>
      <c r="H9874"/>
    </row>
    <row r="9875" spans="2:8" x14ac:dyDescent="0.35">
      <c r="B9875"/>
      <c r="C9875"/>
      <c r="H9875"/>
    </row>
    <row r="9876" spans="2:8" x14ac:dyDescent="0.35">
      <c r="B9876"/>
      <c r="C9876"/>
      <c r="H9876"/>
    </row>
    <row r="9877" spans="2:8" x14ac:dyDescent="0.35">
      <c r="B9877"/>
      <c r="C9877"/>
      <c r="H9877"/>
    </row>
    <row r="9878" spans="2:8" x14ac:dyDescent="0.35">
      <c r="B9878"/>
      <c r="C9878"/>
      <c r="H9878"/>
    </row>
    <row r="9879" spans="2:8" x14ac:dyDescent="0.35">
      <c r="B9879"/>
      <c r="C9879"/>
      <c r="H9879"/>
    </row>
    <row r="9880" spans="2:8" x14ac:dyDescent="0.35">
      <c r="B9880"/>
      <c r="C9880"/>
      <c r="H9880"/>
    </row>
    <row r="9881" spans="2:8" x14ac:dyDescent="0.35">
      <c r="B9881"/>
      <c r="C9881"/>
      <c r="H9881"/>
    </row>
    <row r="9882" spans="2:8" x14ac:dyDescent="0.35">
      <c r="B9882"/>
      <c r="C9882"/>
      <c r="H9882"/>
    </row>
    <row r="9883" spans="2:8" x14ac:dyDescent="0.35">
      <c r="B9883"/>
      <c r="C9883"/>
      <c r="H9883"/>
    </row>
    <row r="9884" spans="2:8" x14ac:dyDescent="0.35">
      <c r="B9884"/>
      <c r="C9884"/>
      <c r="H9884"/>
    </row>
    <row r="9885" spans="2:8" x14ac:dyDescent="0.35">
      <c r="B9885"/>
      <c r="C9885"/>
      <c r="H9885"/>
    </row>
    <row r="9886" spans="2:8" x14ac:dyDescent="0.35">
      <c r="B9886"/>
      <c r="C9886"/>
      <c r="H9886"/>
    </row>
    <row r="9887" spans="2:8" x14ac:dyDescent="0.35">
      <c r="B9887"/>
      <c r="C9887"/>
      <c r="H9887"/>
    </row>
    <row r="9888" spans="2:8" x14ac:dyDescent="0.35">
      <c r="B9888"/>
      <c r="C9888"/>
      <c r="H9888"/>
    </row>
    <row r="9889" spans="2:8" x14ac:dyDescent="0.35">
      <c r="B9889"/>
      <c r="C9889"/>
      <c r="H9889"/>
    </row>
    <row r="9890" spans="2:8" x14ac:dyDescent="0.35">
      <c r="B9890"/>
      <c r="C9890"/>
      <c r="H9890"/>
    </row>
    <row r="9891" spans="2:8" x14ac:dyDescent="0.35">
      <c r="B9891"/>
      <c r="C9891"/>
      <c r="H9891"/>
    </row>
    <row r="9892" spans="2:8" x14ac:dyDescent="0.35">
      <c r="B9892"/>
      <c r="C9892"/>
      <c r="H9892"/>
    </row>
    <row r="9893" spans="2:8" x14ac:dyDescent="0.35">
      <c r="B9893"/>
      <c r="C9893"/>
      <c r="H9893"/>
    </row>
    <row r="9894" spans="2:8" x14ac:dyDescent="0.35">
      <c r="B9894"/>
      <c r="C9894"/>
      <c r="H9894"/>
    </row>
    <row r="9895" spans="2:8" x14ac:dyDescent="0.35">
      <c r="B9895"/>
      <c r="C9895"/>
      <c r="H9895"/>
    </row>
    <row r="9896" spans="2:8" x14ac:dyDescent="0.35">
      <c r="B9896"/>
      <c r="C9896"/>
      <c r="H9896"/>
    </row>
    <row r="9897" spans="2:8" x14ac:dyDescent="0.35">
      <c r="B9897"/>
      <c r="C9897"/>
      <c r="H9897"/>
    </row>
    <row r="9898" spans="2:8" x14ac:dyDescent="0.35">
      <c r="B9898"/>
      <c r="C9898"/>
      <c r="H9898"/>
    </row>
    <row r="9899" spans="2:8" x14ac:dyDescent="0.35">
      <c r="B9899"/>
      <c r="C9899"/>
      <c r="H9899"/>
    </row>
    <row r="9900" spans="2:8" x14ac:dyDescent="0.35">
      <c r="B9900"/>
      <c r="C9900"/>
      <c r="H9900"/>
    </row>
    <row r="9901" spans="2:8" x14ac:dyDescent="0.35">
      <c r="B9901"/>
      <c r="C9901"/>
      <c r="H9901"/>
    </row>
    <row r="9902" spans="2:8" x14ac:dyDescent="0.35">
      <c r="B9902"/>
      <c r="C9902"/>
      <c r="H9902"/>
    </row>
    <row r="9903" spans="2:8" x14ac:dyDescent="0.35">
      <c r="B9903"/>
      <c r="C9903"/>
      <c r="H9903"/>
    </row>
    <row r="9904" spans="2:8" x14ac:dyDescent="0.35">
      <c r="B9904"/>
      <c r="C9904"/>
      <c r="H9904"/>
    </row>
    <row r="9905" spans="2:8" x14ac:dyDescent="0.35">
      <c r="B9905"/>
      <c r="C9905"/>
      <c r="H9905"/>
    </row>
    <row r="9906" spans="2:8" x14ac:dyDescent="0.35">
      <c r="B9906"/>
      <c r="C9906"/>
      <c r="H9906"/>
    </row>
    <row r="9907" spans="2:8" x14ac:dyDescent="0.35">
      <c r="B9907"/>
      <c r="C9907"/>
      <c r="H9907"/>
    </row>
    <row r="9908" spans="2:8" x14ac:dyDescent="0.35">
      <c r="B9908"/>
      <c r="C9908"/>
      <c r="H9908"/>
    </row>
    <row r="9909" spans="2:8" x14ac:dyDescent="0.35">
      <c r="B9909"/>
      <c r="C9909"/>
      <c r="H9909"/>
    </row>
    <row r="9910" spans="2:8" x14ac:dyDescent="0.35">
      <c r="B9910"/>
      <c r="C9910"/>
      <c r="H9910"/>
    </row>
    <row r="9911" spans="2:8" x14ac:dyDescent="0.35">
      <c r="B9911"/>
      <c r="C9911"/>
      <c r="H9911"/>
    </row>
    <row r="9912" spans="2:8" x14ac:dyDescent="0.35">
      <c r="B9912"/>
      <c r="C9912"/>
      <c r="H9912"/>
    </row>
    <row r="9913" spans="2:8" x14ac:dyDescent="0.35">
      <c r="B9913"/>
      <c r="C9913"/>
      <c r="H9913"/>
    </row>
    <row r="9914" spans="2:8" x14ac:dyDescent="0.35">
      <c r="B9914"/>
      <c r="C9914"/>
      <c r="H9914"/>
    </row>
    <row r="9915" spans="2:8" x14ac:dyDescent="0.35">
      <c r="B9915"/>
      <c r="C9915"/>
      <c r="H9915"/>
    </row>
    <row r="9916" spans="2:8" x14ac:dyDescent="0.35">
      <c r="B9916"/>
      <c r="C9916"/>
      <c r="H9916"/>
    </row>
    <row r="9917" spans="2:8" x14ac:dyDescent="0.35">
      <c r="B9917"/>
      <c r="C9917"/>
      <c r="H9917"/>
    </row>
    <row r="9918" spans="2:8" x14ac:dyDescent="0.35">
      <c r="B9918"/>
      <c r="C9918"/>
      <c r="H9918"/>
    </row>
    <row r="9919" spans="2:8" x14ac:dyDescent="0.35">
      <c r="B9919"/>
      <c r="C9919"/>
      <c r="H9919"/>
    </row>
    <row r="9920" spans="2:8" x14ac:dyDescent="0.35">
      <c r="B9920"/>
      <c r="C9920"/>
      <c r="H9920"/>
    </row>
    <row r="9921" spans="2:8" x14ac:dyDescent="0.35">
      <c r="B9921"/>
      <c r="C9921"/>
      <c r="H9921"/>
    </row>
    <row r="9922" spans="2:8" x14ac:dyDescent="0.35">
      <c r="B9922"/>
      <c r="C9922"/>
      <c r="H9922"/>
    </row>
    <row r="9923" spans="2:8" x14ac:dyDescent="0.35">
      <c r="B9923"/>
      <c r="C9923"/>
      <c r="H9923"/>
    </row>
    <row r="9924" spans="2:8" x14ac:dyDescent="0.35">
      <c r="B9924"/>
      <c r="C9924"/>
      <c r="H9924"/>
    </row>
    <row r="9925" spans="2:8" x14ac:dyDescent="0.35">
      <c r="B9925"/>
      <c r="C9925"/>
      <c r="H9925"/>
    </row>
    <row r="9926" spans="2:8" x14ac:dyDescent="0.35">
      <c r="B9926"/>
      <c r="C9926"/>
      <c r="H9926"/>
    </row>
    <row r="9927" spans="2:8" x14ac:dyDescent="0.35">
      <c r="B9927"/>
      <c r="C9927"/>
      <c r="H9927"/>
    </row>
    <row r="9928" spans="2:8" x14ac:dyDescent="0.35">
      <c r="B9928"/>
      <c r="C9928"/>
      <c r="H9928"/>
    </row>
    <row r="9929" spans="2:8" x14ac:dyDescent="0.35">
      <c r="B9929"/>
      <c r="C9929"/>
      <c r="H9929"/>
    </row>
    <row r="9930" spans="2:8" x14ac:dyDescent="0.35">
      <c r="B9930"/>
      <c r="C9930"/>
      <c r="H9930"/>
    </row>
    <row r="9931" spans="2:8" x14ac:dyDescent="0.35">
      <c r="B9931"/>
      <c r="C9931"/>
      <c r="H9931"/>
    </row>
    <row r="9932" spans="2:8" x14ac:dyDescent="0.35">
      <c r="B9932"/>
      <c r="C9932"/>
      <c r="H9932"/>
    </row>
    <row r="9933" spans="2:8" x14ac:dyDescent="0.35">
      <c r="B9933"/>
      <c r="C9933"/>
      <c r="H9933"/>
    </row>
    <row r="9934" spans="2:8" x14ac:dyDescent="0.35">
      <c r="B9934"/>
      <c r="C9934"/>
      <c r="H9934"/>
    </row>
    <row r="9935" spans="2:8" x14ac:dyDescent="0.35">
      <c r="B9935"/>
      <c r="C9935"/>
      <c r="H9935"/>
    </row>
    <row r="9936" spans="2:8" x14ac:dyDescent="0.35">
      <c r="B9936"/>
      <c r="C9936"/>
      <c r="H9936"/>
    </row>
    <row r="9937" spans="2:8" x14ac:dyDescent="0.35">
      <c r="B9937"/>
      <c r="C9937"/>
      <c r="H9937"/>
    </row>
    <row r="9938" spans="2:8" x14ac:dyDescent="0.35">
      <c r="B9938"/>
      <c r="C9938"/>
      <c r="H9938"/>
    </row>
    <row r="9939" spans="2:8" x14ac:dyDescent="0.35">
      <c r="B9939"/>
      <c r="C9939"/>
      <c r="H9939"/>
    </row>
    <row r="9940" spans="2:8" x14ac:dyDescent="0.35">
      <c r="B9940"/>
      <c r="C9940"/>
      <c r="H9940"/>
    </row>
    <row r="9941" spans="2:8" x14ac:dyDescent="0.35">
      <c r="B9941"/>
      <c r="C9941"/>
      <c r="H9941"/>
    </row>
    <row r="9942" spans="2:8" x14ac:dyDescent="0.35">
      <c r="B9942"/>
      <c r="C9942"/>
      <c r="H9942"/>
    </row>
    <row r="9943" spans="2:8" x14ac:dyDescent="0.35">
      <c r="B9943"/>
      <c r="C9943"/>
      <c r="H9943"/>
    </row>
    <row r="9944" spans="2:8" x14ac:dyDescent="0.35">
      <c r="B9944"/>
      <c r="C9944"/>
      <c r="H9944"/>
    </row>
    <row r="9945" spans="2:8" x14ac:dyDescent="0.35">
      <c r="B9945"/>
      <c r="C9945"/>
      <c r="H9945"/>
    </row>
    <row r="9946" spans="2:8" x14ac:dyDescent="0.35">
      <c r="B9946"/>
      <c r="C9946"/>
      <c r="H9946"/>
    </row>
    <row r="9947" spans="2:8" x14ac:dyDescent="0.35">
      <c r="B9947"/>
      <c r="C9947"/>
      <c r="H9947"/>
    </row>
    <row r="9948" spans="2:8" x14ac:dyDescent="0.35">
      <c r="B9948"/>
      <c r="C9948"/>
      <c r="H9948"/>
    </row>
    <row r="9949" spans="2:8" x14ac:dyDescent="0.35">
      <c r="B9949"/>
      <c r="C9949"/>
      <c r="H9949"/>
    </row>
    <row r="9950" spans="2:8" x14ac:dyDescent="0.35">
      <c r="B9950"/>
      <c r="C9950"/>
      <c r="H9950"/>
    </row>
    <row r="9951" spans="2:8" x14ac:dyDescent="0.35">
      <c r="B9951"/>
      <c r="C9951"/>
      <c r="H9951"/>
    </row>
    <row r="9952" spans="2:8" x14ac:dyDescent="0.35">
      <c r="B9952"/>
      <c r="C9952"/>
      <c r="H9952"/>
    </row>
    <row r="9953" spans="2:8" x14ac:dyDescent="0.35">
      <c r="B9953"/>
      <c r="C9953"/>
      <c r="H9953"/>
    </row>
    <row r="9954" spans="2:8" x14ac:dyDescent="0.35">
      <c r="B9954"/>
      <c r="C9954"/>
      <c r="H9954"/>
    </row>
    <row r="9955" spans="2:8" x14ac:dyDescent="0.35">
      <c r="B9955"/>
      <c r="C9955"/>
      <c r="H9955"/>
    </row>
    <row r="9956" spans="2:8" x14ac:dyDescent="0.35">
      <c r="B9956"/>
      <c r="C9956"/>
      <c r="H9956"/>
    </row>
    <row r="9957" spans="2:8" x14ac:dyDescent="0.35">
      <c r="B9957"/>
      <c r="C9957"/>
      <c r="H9957"/>
    </row>
    <row r="9958" spans="2:8" x14ac:dyDescent="0.35">
      <c r="B9958"/>
      <c r="C9958"/>
      <c r="H9958"/>
    </row>
    <row r="9959" spans="2:8" x14ac:dyDescent="0.35">
      <c r="B9959"/>
      <c r="C9959"/>
      <c r="H9959"/>
    </row>
    <row r="9960" spans="2:8" x14ac:dyDescent="0.35">
      <c r="B9960"/>
      <c r="C9960"/>
      <c r="H9960"/>
    </row>
    <row r="9961" spans="2:8" x14ac:dyDescent="0.35">
      <c r="B9961"/>
      <c r="C9961"/>
      <c r="H9961"/>
    </row>
    <row r="9962" spans="2:8" x14ac:dyDescent="0.35">
      <c r="B9962"/>
      <c r="C9962"/>
      <c r="H9962"/>
    </row>
    <row r="9963" spans="2:8" x14ac:dyDescent="0.35">
      <c r="B9963"/>
      <c r="C9963"/>
      <c r="H9963"/>
    </row>
    <row r="9964" spans="2:8" x14ac:dyDescent="0.35">
      <c r="B9964"/>
      <c r="C9964"/>
      <c r="H9964"/>
    </row>
    <row r="9965" spans="2:8" x14ac:dyDescent="0.35">
      <c r="B9965"/>
      <c r="C9965"/>
      <c r="H9965"/>
    </row>
    <row r="9966" spans="2:8" x14ac:dyDescent="0.35">
      <c r="B9966"/>
      <c r="C9966"/>
      <c r="H9966"/>
    </row>
    <row r="9967" spans="2:8" x14ac:dyDescent="0.35">
      <c r="B9967"/>
      <c r="C9967"/>
      <c r="H9967"/>
    </row>
    <row r="9968" spans="2:8" x14ac:dyDescent="0.35">
      <c r="B9968"/>
      <c r="C9968"/>
      <c r="H9968"/>
    </row>
    <row r="9969" spans="2:8" x14ac:dyDescent="0.35">
      <c r="B9969"/>
      <c r="C9969"/>
      <c r="H9969"/>
    </row>
    <row r="9970" spans="2:8" x14ac:dyDescent="0.35">
      <c r="B9970"/>
      <c r="C9970"/>
      <c r="H9970"/>
    </row>
    <row r="9971" spans="2:8" x14ac:dyDescent="0.35">
      <c r="B9971"/>
      <c r="C9971"/>
      <c r="H9971"/>
    </row>
    <row r="9972" spans="2:8" x14ac:dyDescent="0.35">
      <c r="B9972"/>
      <c r="C9972"/>
      <c r="H9972"/>
    </row>
    <row r="9973" spans="2:8" x14ac:dyDescent="0.35">
      <c r="B9973"/>
      <c r="C9973"/>
      <c r="H9973"/>
    </row>
    <row r="9974" spans="2:8" x14ac:dyDescent="0.35">
      <c r="B9974"/>
      <c r="C9974"/>
      <c r="H9974"/>
    </row>
    <row r="9975" spans="2:8" x14ac:dyDescent="0.35">
      <c r="B9975"/>
      <c r="C9975"/>
      <c r="H9975"/>
    </row>
    <row r="9976" spans="2:8" x14ac:dyDescent="0.35">
      <c r="B9976"/>
      <c r="C9976"/>
      <c r="H9976"/>
    </row>
    <row r="9977" spans="2:8" x14ac:dyDescent="0.35">
      <c r="B9977"/>
      <c r="C9977"/>
      <c r="H9977"/>
    </row>
    <row r="9978" spans="2:8" x14ac:dyDescent="0.35">
      <c r="B9978"/>
      <c r="C9978"/>
      <c r="H9978"/>
    </row>
    <row r="9979" spans="2:8" x14ac:dyDescent="0.35">
      <c r="B9979"/>
      <c r="C9979"/>
      <c r="H9979"/>
    </row>
    <row r="9980" spans="2:8" x14ac:dyDescent="0.35">
      <c r="B9980"/>
      <c r="C9980"/>
      <c r="H9980"/>
    </row>
    <row r="9981" spans="2:8" x14ac:dyDescent="0.35">
      <c r="B9981"/>
      <c r="C9981"/>
      <c r="H9981"/>
    </row>
    <row r="9982" spans="2:8" x14ac:dyDescent="0.35">
      <c r="B9982"/>
      <c r="C9982"/>
      <c r="H9982"/>
    </row>
    <row r="9983" spans="2:8" x14ac:dyDescent="0.35">
      <c r="B9983"/>
      <c r="C9983"/>
      <c r="H9983"/>
    </row>
    <row r="9984" spans="2:8" x14ac:dyDescent="0.35">
      <c r="B9984"/>
      <c r="C9984"/>
      <c r="H9984"/>
    </row>
    <row r="9985" spans="2:8" x14ac:dyDescent="0.35">
      <c r="B9985"/>
      <c r="C9985"/>
      <c r="H9985"/>
    </row>
    <row r="9986" spans="2:8" x14ac:dyDescent="0.35">
      <c r="B9986"/>
      <c r="C9986"/>
      <c r="H9986"/>
    </row>
    <row r="9987" spans="2:8" x14ac:dyDescent="0.35">
      <c r="B9987"/>
      <c r="C9987"/>
      <c r="H9987"/>
    </row>
    <row r="9988" spans="2:8" x14ac:dyDescent="0.35">
      <c r="B9988"/>
      <c r="C9988"/>
      <c r="H9988"/>
    </row>
    <row r="9989" spans="2:8" x14ac:dyDescent="0.35">
      <c r="B9989"/>
      <c r="C9989"/>
      <c r="H9989"/>
    </row>
    <row r="9990" spans="2:8" x14ac:dyDescent="0.35">
      <c r="B9990"/>
      <c r="C9990"/>
      <c r="H9990"/>
    </row>
    <row r="9991" spans="2:8" x14ac:dyDescent="0.35">
      <c r="B9991"/>
      <c r="C9991"/>
      <c r="H9991"/>
    </row>
    <row r="9992" spans="2:8" x14ac:dyDescent="0.35">
      <c r="B9992"/>
      <c r="C9992"/>
      <c r="H9992"/>
    </row>
    <row r="9993" spans="2:8" x14ac:dyDescent="0.35">
      <c r="B9993"/>
      <c r="C9993"/>
      <c r="H9993"/>
    </row>
    <row r="9994" spans="2:8" x14ac:dyDescent="0.35">
      <c r="B9994"/>
      <c r="C9994"/>
      <c r="H9994"/>
    </row>
    <row r="9995" spans="2:8" x14ac:dyDescent="0.35">
      <c r="B9995"/>
      <c r="C9995"/>
      <c r="H9995"/>
    </row>
    <row r="9996" spans="2:8" x14ac:dyDescent="0.35">
      <c r="B9996"/>
      <c r="C9996"/>
      <c r="H9996"/>
    </row>
    <row r="9997" spans="2:8" x14ac:dyDescent="0.35">
      <c r="B9997"/>
      <c r="C9997"/>
      <c r="H9997"/>
    </row>
    <row r="9998" spans="2:8" x14ac:dyDescent="0.35">
      <c r="B9998"/>
      <c r="C9998"/>
      <c r="H9998"/>
    </row>
    <row r="9999" spans="2:8" x14ac:dyDescent="0.35">
      <c r="B9999"/>
      <c r="C9999"/>
      <c r="H9999"/>
    </row>
    <row r="10000" spans="2:8" x14ac:dyDescent="0.35">
      <c r="B10000"/>
      <c r="C10000"/>
      <c r="H10000"/>
    </row>
  </sheetData>
  <sheetProtection algorithmName="SHA-512" hashValue="msLnSz1VvXyXEuOM1Yr3lRoTfmIREQBp67wOw/lUIwP5z+17Sft01hHV+Z2jIu/w67KdEaRA/qVgzzL/SiGCKw==" saltValue="CgFgv4o8tQYSEdUjTrQnvQ==" spinCount="100000" sheet="1" objects="1" scenarios="1"/>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1687"/>
  <sheetViews>
    <sheetView showGridLines="0" zoomScaleNormal="100" workbookViewId="0">
      <selection activeCell="I1393" sqref="I1:N1048576"/>
    </sheetView>
  </sheetViews>
  <sheetFormatPr defaultColWidth="9.1796875" defaultRowHeight="14.5" x14ac:dyDescent="0.35"/>
  <cols>
    <col min="1" max="1" width="18.6328125" style="61" customWidth="1"/>
    <col min="2" max="2" width="10" style="61" customWidth="1"/>
    <col min="3" max="5" width="10.1796875" style="61" customWidth="1"/>
    <col min="6" max="6" width="10" style="61" customWidth="1"/>
    <col min="7" max="7" width="10.1796875" style="61" customWidth="1"/>
    <col min="8" max="8" width="10.453125" style="61" customWidth="1"/>
    <col min="9" max="9" width="10" style="61" hidden="1" customWidth="1"/>
    <col min="10" max="10" width="9.1796875" style="61" hidden="1" customWidth="1"/>
    <col min="11" max="11" width="13.1796875" style="61" hidden="1" customWidth="1"/>
    <col min="12" max="12" width="9.1796875" style="61" hidden="1" customWidth="1"/>
    <col min="13" max="13" width="83.81640625" style="61" hidden="1" customWidth="1"/>
    <col min="14" max="14" width="5.81640625" style="61" hidden="1" customWidth="1"/>
    <col min="15" max="17" width="9.1796875" style="61" customWidth="1"/>
    <col min="18" max="16384" width="9.1796875" style="61"/>
  </cols>
  <sheetData>
    <row r="1" spans="1:14" ht="20" thickBot="1" x14ac:dyDescent="0.5">
      <c r="A1" s="227" t="s">
        <v>51</v>
      </c>
      <c r="B1" s="227"/>
      <c r="C1" s="227"/>
      <c r="D1" s="190" t="s">
        <v>2189</v>
      </c>
      <c r="E1" s="246" t="s">
        <v>2190</v>
      </c>
      <c r="F1" s="246"/>
      <c r="G1" s="246"/>
      <c r="H1" s="246"/>
      <c r="I1" s="50" t="str">
        <f>INDEX(I4:I9,I2)</f>
        <v>HP</v>
      </c>
      <c r="K1" s="61" t="s">
        <v>370</v>
      </c>
    </row>
    <row r="2" spans="1:14" ht="40" thickTop="1" thickBot="1" x14ac:dyDescent="0.4">
      <c r="A2" s="186" t="s">
        <v>105</v>
      </c>
      <c r="B2" s="153" t="s">
        <v>103</v>
      </c>
      <c r="C2" s="153"/>
      <c r="D2" s="225" t="s">
        <v>2178</v>
      </c>
      <c r="E2" s="244" t="s">
        <v>2187</v>
      </c>
      <c r="F2" s="244"/>
      <c r="G2" s="244"/>
      <c r="H2" s="244"/>
      <c r="I2" s="79">
        <v>5</v>
      </c>
      <c r="M2" s="64" t="s">
        <v>382</v>
      </c>
      <c r="N2" s="61">
        <f>INDEX(Data!$9:$9,1,MATCH(M2,detail_table[#Headers],0))</f>
        <v>0</v>
      </c>
    </row>
    <row r="3" spans="1:14" ht="65.5" thickBot="1" x14ac:dyDescent="0.4">
      <c r="A3" s="3" t="s">
        <v>15</v>
      </c>
      <c r="B3" s="4" t="s">
        <v>342</v>
      </c>
      <c r="C3" s="4" t="s">
        <v>22</v>
      </c>
      <c r="D3" s="191"/>
      <c r="E3" s="244"/>
      <c r="F3" s="244"/>
      <c r="G3" s="244"/>
      <c r="H3" s="244"/>
      <c r="I3" s="61" t="s">
        <v>1923</v>
      </c>
      <c r="K3" s="61" t="s">
        <v>36</v>
      </c>
      <c r="M3" s="64" t="s">
        <v>383</v>
      </c>
      <c r="N3" s="61">
        <f>INDEX(Data!$9:$9,1,MATCH(M3,detail_table[#Headers],0))</f>
        <v>0</v>
      </c>
    </row>
    <row r="4" spans="1:14" ht="15" thickBot="1" x14ac:dyDescent="0.4">
      <c r="A4" s="52" t="s">
        <v>70</v>
      </c>
      <c r="B4" s="179">
        <f t="shared" ref="B4:C17" si="0">INDEX($N$2:$N$1687,MATCH($B$2&amp;" | "&amp;$A4&amp;" | "&amp;B$3,$M$2:$M$1687,0))</f>
        <v>0</v>
      </c>
      <c r="C4" s="179">
        <f t="shared" si="0"/>
        <v>0</v>
      </c>
      <c r="D4" s="63"/>
      <c r="E4" s="244"/>
      <c r="F4" s="244"/>
      <c r="G4" s="244"/>
      <c r="H4" s="244"/>
      <c r="I4" s="61" t="s">
        <v>35</v>
      </c>
      <c r="K4" s="61" t="s">
        <v>2134</v>
      </c>
      <c r="M4" s="64" t="s">
        <v>384</v>
      </c>
      <c r="N4" s="61">
        <f>INDEX(Data!$9:$9,1,MATCH(M4,detail_table[#Headers],0))</f>
        <v>0</v>
      </c>
    </row>
    <row r="5" spans="1:14" ht="15" thickBot="1" x14ac:dyDescent="0.4">
      <c r="A5" s="52" t="s">
        <v>71</v>
      </c>
      <c r="B5" s="179">
        <f t="shared" si="0"/>
        <v>0</v>
      </c>
      <c r="C5" s="179">
        <f t="shared" si="0"/>
        <v>0</v>
      </c>
      <c r="D5" s="63"/>
      <c r="E5" s="244"/>
      <c r="F5" s="244"/>
      <c r="G5" s="244"/>
      <c r="H5" s="244"/>
      <c r="I5" s="61" t="s">
        <v>37</v>
      </c>
      <c r="K5" s="61" t="s">
        <v>2176</v>
      </c>
      <c r="M5" s="64" t="s">
        <v>385</v>
      </c>
      <c r="N5" s="61">
        <f>INDEX(Data!$9:$9,1,MATCH(M5,detail_table[#Headers],0))</f>
        <v>0</v>
      </c>
    </row>
    <row r="6" spans="1:14" ht="29.5" thickBot="1" x14ac:dyDescent="0.4">
      <c r="A6" s="52" t="s">
        <v>16</v>
      </c>
      <c r="B6" s="179">
        <f t="shared" si="0"/>
        <v>0</v>
      </c>
      <c r="C6" s="179">
        <f t="shared" si="0"/>
        <v>0</v>
      </c>
      <c r="D6" s="199" t="s">
        <v>2179</v>
      </c>
      <c r="E6" s="243" t="s">
        <v>2181</v>
      </c>
      <c r="F6" s="243"/>
      <c r="G6" s="243"/>
      <c r="H6" s="243"/>
      <c r="I6" s="61" t="s">
        <v>2134</v>
      </c>
      <c r="K6" s="61" t="s">
        <v>35</v>
      </c>
      <c r="M6" s="64" t="s">
        <v>386</v>
      </c>
      <c r="N6" s="61">
        <f>INDEX(Data!$9:$9,1,MATCH(M6,detail_table[#Headers],0))</f>
        <v>0</v>
      </c>
    </row>
    <row r="7" spans="1:14" ht="29.5" thickBot="1" x14ac:dyDescent="0.4">
      <c r="A7" s="52" t="s">
        <v>17</v>
      </c>
      <c r="B7" s="179">
        <f t="shared" si="0"/>
        <v>0</v>
      </c>
      <c r="C7" s="179">
        <f t="shared" si="0"/>
        <v>0</v>
      </c>
      <c r="D7" s="198" t="s">
        <v>2180</v>
      </c>
      <c r="E7" s="245" t="s">
        <v>2199</v>
      </c>
      <c r="F7" s="245"/>
      <c r="G7" s="245"/>
      <c r="H7" s="245"/>
      <c r="I7" s="61" t="s">
        <v>2177</v>
      </c>
      <c r="K7" s="61" t="s">
        <v>2177</v>
      </c>
      <c r="M7" s="64" t="s">
        <v>387</v>
      </c>
      <c r="N7" s="61">
        <f>INDEX(Data!$9:$9,1,MATCH(M7,detail_table[#Headers],0))</f>
        <v>0</v>
      </c>
    </row>
    <row r="8" spans="1:14" ht="15" thickBot="1" x14ac:dyDescent="0.4">
      <c r="A8" s="52" t="s">
        <v>6</v>
      </c>
      <c r="B8" s="179">
        <f t="shared" si="0"/>
        <v>0</v>
      </c>
      <c r="C8" s="179">
        <f t="shared" si="0"/>
        <v>0</v>
      </c>
      <c r="D8" s="63"/>
      <c r="E8" s="245"/>
      <c r="F8" s="245"/>
      <c r="G8" s="245"/>
      <c r="H8" s="245"/>
      <c r="I8" s="61" t="s">
        <v>36</v>
      </c>
      <c r="K8" s="61" t="s">
        <v>37</v>
      </c>
      <c r="M8" s="64" t="s">
        <v>388</v>
      </c>
      <c r="N8" s="61">
        <f>INDEX(Data!$9:$9,1,MATCH(M8,detail_table[#Headers],0))</f>
        <v>0</v>
      </c>
    </row>
    <row r="9" spans="1:14" ht="15" thickBot="1" x14ac:dyDescent="0.4">
      <c r="A9" s="52" t="s">
        <v>5</v>
      </c>
      <c r="B9" s="179">
        <f t="shared" si="0"/>
        <v>0</v>
      </c>
      <c r="C9" s="179">
        <f t="shared" si="0"/>
        <v>0</v>
      </c>
      <c r="D9" s="153"/>
      <c r="E9" s="245"/>
      <c r="F9" s="245"/>
      <c r="G9" s="245"/>
      <c r="H9" s="245"/>
      <c r="I9" s="61" t="s">
        <v>2176</v>
      </c>
      <c r="M9" s="64" t="s">
        <v>389</v>
      </c>
      <c r="N9" s="61">
        <f>INDEX(Data!$9:$9,1,MATCH(M9,detail_table[#Headers],0))</f>
        <v>0</v>
      </c>
    </row>
    <row r="10" spans="1:14" ht="15" thickBot="1" x14ac:dyDescent="0.4">
      <c r="A10" s="52" t="s">
        <v>4</v>
      </c>
      <c r="B10" s="179">
        <f t="shared" si="0"/>
        <v>0</v>
      </c>
      <c r="C10" s="179">
        <f t="shared" si="0"/>
        <v>0</v>
      </c>
      <c r="D10" s="153"/>
      <c r="E10" s="245"/>
      <c r="F10" s="245"/>
      <c r="G10" s="245"/>
      <c r="H10" s="245"/>
      <c r="M10" s="64" t="s">
        <v>390</v>
      </c>
      <c r="N10" s="61">
        <f>INDEX(Data!$9:$9,1,MATCH(M10,detail_table[#Headers],0))</f>
        <v>0</v>
      </c>
    </row>
    <row r="11" spans="1:14" ht="15" thickBot="1" x14ac:dyDescent="0.4">
      <c r="A11" s="52" t="s">
        <v>18</v>
      </c>
      <c r="B11" s="179">
        <f t="shared" si="0"/>
        <v>0</v>
      </c>
      <c r="C11" s="179">
        <f t="shared" si="0"/>
        <v>0</v>
      </c>
      <c r="D11" s="63"/>
      <c r="E11" s="63"/>
      <c r="F11" s="63"/>
      <c r="G11" s="63"/>
      <c r="H11" s="63"/>
      <c r="M11" s="64" t="s">
        <v>391</v>
      </c>
      <c r="N11" s="61">
        <f>INDEX(Data!$9:$9,1,MATCH(M11,detail_table[#Headers],0))</f>
        <v>0</v>
      </c>
    </row>
    <row r="12" spans="1:14" ht="15" thickBot="1" x14ac:dyDescent="0.4">
      <c r="A12" s="52" t="s">
        <v>72</v>
      </c>
      <c r="B12" s="179">
        <f t="shared" si="0"/>
        <v>0</v>
      </c>
      <c r="C12" s="179">
        <f t="shared" si="0"/>
        <v>0</v>
      </c>
      <c r="D12" s="63"/>
      <c r="E12" s="63"/>
      <c r="F12" s="63"/>
      <c r="G12" s="63"/>
      <c r="H12" s="63"/>
      <c r="M12" s="64" t="s">
        <v>392</v>
      </c>
      <c r="N12" s="61">
        <f>INDEX(Data!$9:$9,1,MATCH(M12,detail_table[#Headers],0))</f>
        <v>0</v>
      </c>
    </row>
    <row r="13" spans="1:14" ht="26.5" thickBot="1" x14ac:dyDescent="0.4">
      <c r="A13" s="52" t="s">
        <v>19</v>
      </c>
      <c r="B13" s="179">
        <f t="shared" si="0"/>
        <v>0</v>
      </c>
      <c r="C13" s="179">
        <f t="shared" si="0"/>
        <v>0</v>
      </c>
      <c r="D13" s="63"/>
      <c r="E13" s="63"/>
      <c r="F13" s="63"/>
      <c r="G13" s="63"/>
      <c r="H13" s="63"/>
      <c r="M13" s="64" t="s">
        <v>393</v>
      </c>
      <c r="N13" s="61">
        <f>INDEX(Data!$9:$9,1,MATCH(M13,detail_table[#Headers],0))</f>
        <v>0</v>
      </c>
    </row>
    <row r="14" spans="1:14" ht="26.5" thickBot="1" x14ac:dyDescent="0.4">
      <c r="A14" s="52" t="s">
        <v>52</v>
      </c>
      <c r="B14" s="179">
        <f t="shared" si="0"/>
        <v>0</v>
      </c>
      <c r="C14" s="179">
        <f t="shared" si="0"/>
        <v>0</v>
      </c>
      <c r="D14" s="63"/>
      <c r="E14" s="63"/>
      <c r="F14" s="63"/>
      <c r="G14" s="63"/>
      <c r="H14" s="63"/>
      <c r="M14" s="64" t="s">
        <v>394</v>
      </c>
      <c r="N14" s="61">
        <f>INDEX(Data!$9:$9,1,MATCH(M14,detail_table[#Headers],0))</f>
        <v>0</v>
      </c>
    </row>
    <row r="15" spans="1:14" ht="15" thickBot="1" x14ac:dyDescent="0.4">
      <c r="A15" s="52" t="s">
        <v>9</v>
      </c>
      <c r="B15" s="179">
        <f t="shared" si="0"/>
        <v>0</v>
      </c>
      <c r="C15" s="179">
        <f t="shared" si="0"/>
        <v>0</v>
      </c>
      <c r="D15" s="153"/>
      <c r="E15" s="153"/>
      <c r="F15" s="153"/>
      <c r="G15" s="153"/>
      <c r="H15" s="153"/>
      <c r="M15" s="64" t="s">
        <v>395</v>
      </c>
      <c r="N15" s="61">
        <f>INDEX(Data!$9:$9,1,MATCH(M15,detail_table[#Headers],0))</f>
        <v>0</v>
      </c>
    </row>
    <row r="16" spans="1:14" ht="26.5" thickBot="1" x14ac:dyDescent="0.4">
      <c r="A16" s="52" t="s">
        <v>73</v>
      </c>
      <c r="B16" s="179">
        <f t="shared" si="0"/>
        <v>0</v>
      </c>
      <c r="C16" s="179">
        <f t="shared" si="0"/>
        <v>0</v>
      </c>
      <c r="D16" s="153"/>
      <c r="E16" s="153"/>
      <c r="F16" s="153"/>
      <c r="G16" s="153"/>
      <c r="H16" s="153"/>
      <c r="M16" s="64" t="s">
        <v>396</v>
      </c>
      <c r="N16" s="61">
        <f>INDEX(Data!$9:$9,1,MATCH(M16,detail_table[#Headers],0))</f>
        <v>0</v>
      </c>
    </row>
    <row r="17" spans="1:14" ht="26.5" thickBot="1" x14ac:dyDescent="0.4">
      <c r="A17" s="52" t="s">
        <v>74</v>
      </c>
      <c r="B17" s="179">
        <f t="shared" si="0"/>
        <v>0</v>
      </c>
      <c r="C17" s="179">
        <f t="shared" si="0"/>
        <v>0</v>
      </c>
      <c r="D17" s="153"/>
      <c r="E17" s="153"/>
      <c r="F17" s="153"/>
      <c r="G17" s="153"/>
      <c r="H17" s="153"/>
      <c r="M17" s="64" t="s">
        <v>397</v>
      </c>
      <c r="N17" s="61">
        <f>INDEX(Data!$9:$9,1,MATCH(M17,detail_table[#Headers],0))</f>
        <v>0</v>
      </c>
    </row>
    <row r="18" spans="1:14" x14ac:dyDescent="0.35">
      <c r="A18" s="56"/>
      <c r="B18" s="38"/>
      <c r="C18" s="38"/>
      <c r="D18" s="153"/>
      <c r="E18" s="153"/>
      <c r="F18" s="153"/>
      <c r="G18" s="153"/>
      <c r="H18" s="153"/>
      <c r="M18" s="64" t="s">
        <v>398</v>
      </c>
      <c r="N18" s="61">
        <f>INDEX(Data!$9:$9,1,MATCH(M18,detail_table[#Headers],0))</f>
        <v>0</v>
      </c>
    </row>
    <row r="19" spans="1:14" x14ac:dyDescent="0.35">
      <c r="A19" s="227" t="s">
        <v>53</v>
      </c>
      <c r="B19" s="153"/>
      <c r="C19" s="153"/>
      <c r="D19" s="153"/>
      <c r="E19" s="153"/>
      <c r="F19" s="153"/>
      <c r="G19" s="153"/>
      <c r="H19" s="153"/>
      <c r="M19" s="64" t="s">
        <v>399</v>
      </c>
      <c r="N19" s="61">
        <f>INDEX(Data!$9:$9,1,MATCH(M19,detail_table[#Headers],0))</f>
        <v>0</v>
      </c>
    </row>
    <row r="20" spans="1:14" ht="26.5" thickBot="1" x14ac:dyDescent="0.4">
      <c r="A20" s="192" t="s">
        <v>106</v>
      </c>
      <c r="B20" s="193" t="s">
        <v>96</v>
      </c>
      <c r="C20" s="153"/>
      <c r="D20" s="153"/>
      <c r="E20" s="153"/>
      <c r="F20" s="153"/>
      <c r="G20" s="153"/>
      <c r="H20" s="153"/>
      <c r="M20" s="64" t="s">
        <v>400</v>
      </c>
      <c r="N20" s="61">
        <f>INDEX(Data!$9:$9,1,MATCH(M20,detail_table[#Headers],0))</f>
        <v>0</v>
      </c>
    </row>
    <row r="21" spans="1:14" ht="27" thickBot="1" x14ac:dyDescent="0.4">
      <c r="A21" s="187" t="s">
        <v>1911</v>
      </c>
      <c r="B21" s="152">
        <f t="shared" ref="B21:B34" si="1">INDEX($N$2:$N$1687,MATCH($B$20&amp;" | "&amp;$A21,$M$2:$M$1687,0))</f>
        <v>0</v>
      </c>
      <c r="C21" s="153"/>
      <c r="D21" s="153"/>
      <c r="E21" s="153"/>
      <c r="F21" s="153"/>
      <c r="G21" s="153"/>
      <c r="H21" s="153"/>
      <c r="M21" s="64" t="s">
        <v>401</v>
      </c>
      <c r="N21" s="61">
        <f>INDEX(Data!$9:$9,1,MATCH(M21,detail_table[#Headers],0))</f>
        <v>0</v>
      </c>
    </row>
    <row r="22" spans="1:14" ht="27" thickBot="1" x14ac:dyDescent="0.4">
      <c r="A22" s="187" t="s">
        <v>167</v>
      </c>
      <c r="B22" s="152">
        <f t="shared" si="1"/>
        <v>0</v>
      </c>
      <c r="C22" s="153"/>
      <c r="D22" s="153"/>
      <c r="E22" s="153"/>
      <c r="F22" s="153"/>
      <c r="G22" s="153"/>
      <c r="H22" s="153"/>
      <c r="M22" s="64" t="s">
        <v>402</v>
      </c>
      <c r="N22" s="61">
        <f>INDEX(Data!$9:$9,1,MATCH(M22,detail_table[#Headers],0))</f>
        <v>0</v>
      </c>
    </row>
    <row r="23" spans="1:14" ht="27" thickBot="1" x14ac:dyDescent="0.4">
      <c r="A23" s="187" t="s">
        <v>168</v>
      </c>
      <c r="B23" s="152">
        <f t="shared" si="1"/>
        <v>0</v>
      </c>
      <c r="C23" s="153"/>
      <c r="D23" s="153"/>
      <c r="E23" s="153"/>
      <c r="F23" s="153"/>
      <c r="G23" s="153"/>
      <c r="H23" s="153"/>
      <c r="M23" s="64" t="s">
        <v>403</v>
      </c>
      <c r="N23" s="61">
        <f>INDEX(Data!$9:$9,1,MATCH(M23,detail_table[#Headers],0))</f>
        <v>0</v>
      </c>
    </row>
    <row r="24" spans="1:14" ht="27" thickBot="1" x14ac:dyDescent="0.4">
      <c r="A24" s="187" t="s">
        <v>169</v>
      </c>
      <c r="B24" s="152">
        <f t="shared" si="1"/>
        <v>0</v>
      </c>
      <c r="C24" s="153"/>
      <c r="D24" s="153"/>
      <c r="E24" s="153"/>
      <c r="F24" s="153"/>
      <c r="G24" s="153"/>
      <c r="H24" s="153"/>
      <c r="M24" s="64" t="s">
        <v>404</v>
      </c>
      <c r="N24" s="61">
        <f>INDEX(Data!$9:$9,1,MATCH(M24,detail_table[#Headers],0))</f>
        <v>0</v>
      </c>
    </row>
    <row r="25" spans="1:14" ht="27" thickBot="1" x14ac:dyDescent="0.4">
      <c r="A25" s="187" t="s">
        <v>170</v>
      </c>
      <c r="B25" s="152">
        <f t="shared" si="1"/>
        <v>0</v>
      </c>
      <c r="C25" s="153"/>
      <c r="D25" s="153"/>
      <c r="E25" s="153"/>
      <c r="F25" s="153"/>
      <c r="G25" s="153"/>
      <c r="H25" s="153"/>
      <c r="M25" s="64" t="s">
        <v>405</v>
      </c>
      <c r="N25" s="61">
        <f>INDEX(Data!$9:$9,1,MATCH(M25,detail_table[#Headers],0))</f>
        <v>0</v>
      </c>
    </row>
    <row r="26" spans="1:14" ht="27" thickBot="1" x14ac:dyDescent="0.4">
      <c r="A26" s="187" t="s">
        <v>171</v>
      </c>
      <c r="B26" s="152">
        <f t="shared" si="1"/>
        <v>0</v>
      </c>
      <c r="C26" s="153"/>
      <c r="D26" s="153"/>
      <c r="E26" s="153"/>
      <c r="F26" s="153"/>
      <c r="G26" s="153"/>
      <c r="H26" s="153"/>
      <c r="M26" s="64" t="s">
        <v>406</v>
      </c>
      <c r="N26" s="61">
        <f>INDEX(Data!$9:$9,1,MATCH(M26,detail_table[#Headers],0))</f>
        <v>0</v>
      </c>
    </row>
    <row r="27" spans="1:14" ht="27" thickBot="1" x14ac:dyDescent="0.4">
      <c r="A27" s="187" t="s">
        <v>172</v>
      </c>
      <c r="B27" s="152">
        <f t="shared" si="1"/>
        <v>0</v>
      </c>
      <c r="C27" s="153"/>
      <c r="D27" s="153"/>
      <c r="E27" s="153"/>
      <c r="F27" s="153"/>
      <c r="G27" s="153"/>
      <c r="H27" s="153"/>
      <c r="M27" s="64" t="s">
        <v>407</v>
      </c>
      <c r="N27" s="61">
        <f>INDEX(Data!$9:$9,1,MATCH(M27,detail_table[#Headers],0))</f>
        <v>0</v>
      </c>
    </row>
    <row r="28" spans="1:14" ht="27" thickBot="1" x14ac:dyDescent="0.4">
      <c r="A28" s="187" t="s">
        <v>173</v>
      </c>
      <c r="B28" s="152">
        <f t="shared" si="1"/>
        <v>0</v>
      </c>
      <c r="C28" s="153"/>
      <c r="D28" s="153"/>
      <c r="E28" s="153"/>
      <c r="F28" s="153"/>
      <c r="G28" s="153"/>
      <c r="H28" s="153"/>
      <c r="M28" s="64" t="s">
        <v>408</v>
      </c>
      <c r="N28" s="61">
        <f>INDEX(Data!$9:$9,1,MATCH(M28,detail_table[#Headers],0))</f>
        <v>0</v>
      </c>
    </row>
    <row r="29" spans="1:14" ht="15" thickBot="1" x14ac:dyDescent="0.4">
      <c r="A29" s="187" t="s">
        <v>174</v>
      </c>
      <c r="B29" s="152">
        <f t="shared" si="1"/>
        <v>0</v>
      </c>
      <c r="C29" s="153"/>
      <c r="D29" s="153"/>
      <c r="E29" s="153"/>
      <c r="F29" s="153"/>
      <c r="G29" s="153"/>
      <c r="H29" s="153"/>
      <c r="M29" s="64" t="s">
        <v>409</v>
      </c>
      <c r="N29" s="61">
        <f>INDEX(Data!$9:$9,1,MATCH(M29,detail_table[#Headers],0))</f>
        <v>0</v>
      </c>
    </row>
    <row r="30" spans="1:14" ht="40" thickBot="1" x14ac:dyDescent="0.4">
      <c r="A30" s="187" t="s">
        <v>175</v>
      </c>
      <c r="B30" s="152">
        <f t="shared" si="1"/>
        <v>0</v>
      </c>
      <c r="C30" s="153"/>
      <c r="D30" s="153"/>
      <c r="E30" s="153"/>
      <c r="F30" s="153"/>
      <c r="G30" s="153"/>
      <c r="H30" s="153"/>
      <c r="M30" s="64" t="s">
        <v>1929</v>
      </c>
      <c r="N30" s="61">
        <f>INDEX(Data!$9:$9,1,MATCH(M30,detail_table[#Headers],0))</f>
        <v>0</v>
      </c>
    </row>
    <row r="31" spans="1:14" ht="27" thickBot="1" x14ac:dyDescent="0.4">
      <c r="A31" s="187" t="s">
        <v>176</v>
      </c>
      <c r="B31" s="152">
        <f t="shared" si="1"/>
        <v>0</v>
      </c>
      <c r="C31" s="153"/>
      <c r="D31" s="153"/>
      <c r="E31" s="153"/>
      <c r="F31" s="153"/>
      <c r="G31" s="153"/>
      <c r="H31" s="153"/>
      <c r="M31" s="64" t="s">
        <v>1913</v>
      </c>
      <c r="N31" s="61">
        <f>INDEX(Data!$9:$9,1,MATCH(M31,detail_table[#Headers],0))</f>
        <v>0</v>
      </c>
    </row>
    <row r="32" spans="1:14" ht="27" thickBot="1" x14ac:dyDescent="0.4">
      <c r="A32" s="187" t="s">
        <v>2001</v>
      </c>
      <c r="B32" s="152">
        <f t="shared" si="1"/>
        <v>0</v>
      </c>
      <c r="C32" s="153"/>
      <c r="D32" s="153"/>
      <c r="E32" s="153"/>
      <c r="F32" s="153"/>
      <c r="G32" s="153"/>
      <c r="H32" s="153"/>
      <c r="M32" s="64" t="s">
        <v>1914</v>
      </c>
      <c r="N32" s="61">
        <f>INDEX(Data!$9:$9,1,MATCH(M32,detail_table[#Headers],0))</f>
        <v>0</v>
      </c>
    </row>
    <row r="33" spans="1:14" ht="40" thickBot="1" x14ac:dyDescent="0.4">
      <c r="A33" s="187" t="s">
        <v>2002</v>
      </c>
      <c r="B33" s="152">
        <f t="shared" si="1"/>
        <v>0</v>
      </c>
      <c r="C33" s="153"/>
      <c r="D33" s="153"/>
      <c r="E33" s="153"/>
      <c r="F33" s="153"/>
      <c r="G33" s="153"/>
      <c r="H33" s="153"/>
      <c r="M33" s="64" t="s">
        <v>1915</v>
      </c>
      <c r="N33" s="61">
        <f>INDEX(Data!$9:$9,1,MATCH(M33,detail_table[#Headers],0))</f>
        <v>0</v>
      </c>
    </row>
    <row r="34" spans="1:14" ht="40" thickBot="1" x14ac:dyDescent="0.4">
      <c r="A34" s="187" t="s">
        <v>2003</v>
      </c>
      <c r="B34" s="152">
        <f t="shared" si="1"/>
        <v>0</v>
      </c>
      <c r="C34" s="153"/>
      <c r="D34" s="153"/>
      <c r="E34" s="153"/>
      <c r="F34" s="153"/>
      <c r="G34" s="153"/>
      <c r="H34" s="153"/>
      <c r="M34" s="64" t="s">
        <v>1916</v>
      </c>
      <c r="N34" s="61">
        <f>INDEX(Data!$9:$9,1,MATCH(M34,detail_table[#Headers],0))</f>
        <v>0</v>
      </c>
    </row>
    <row r="35" spans="1:14" x14ac:dyDescent="0.35">
      <c r="A35" s="153"/>
      <c r="B35" s="38"/>
      <c r="C35" s="153"/>
      <c r="D35" s="153"/>
      <c r="E35" s="153"/>
      <c r="F35" s="153"/>
      <c r="G35" s="153"/>
      <c r="H35" s="153"/>
      <c r="M35" s="64" t="s">
        <v>1917</v>
      </c>
      <c r="N35" s="61">
        <f>INDEX(Data!$9:$9,1,MATCH(M35,detail_table[#Headers],0))</f>
        <v>0</v>
      </c>
    </row>
    <row r="36" spans="1:14" ht="26.5" thickBot="1" x14ac:dyDescent="0.4">
      <c r="A36" s="186" t="s">
        <v>107</v>
      </c>
      <c r="B36" s="153" t="s">
        <v>97</v>
      </c>
      <c r="C36" s="153"/>
      <c r="D36" s="153"/>
      <c r="E36" s="153"/>
      <c r="F36" s="153"/>
      <c r="G36" s="153"/>
      <c r="H36" s="153"/>
      <c r="M36" s="64" t="s">
        <v>1918</v>
      </c>
      <c r="N36" s="61">
        <f>INDEX(Data!$9:$9,1,MATCH(M36,detail_table[#Headers],0))</f>
        <v>0</v>
      </c>
    </row>
    <row r="37" spans="1:14" ht="52.5" thickBot="1" x14ac:dyDescent="0.4">
      <c r="A37" s="23"/>
      <c r="B37" s="3" t="s">
        <v>8</v>
      </c>
      <c r="C37" s="3" t="s">
        <v>0</v>
      </c>
      <c r="D37" s="3" t="s">
        <v>1</v>
      </c>
      <c r="E37" s="3" t="s">
        <v>2</v>
      </c>
      <c r="F37" s="3" t="s">
        <v>3</v>
      </c>
      <c r="G37" s="153"/>
      <c r="H37" s="153"/>
      <c r="M37" s="64" t="s">
        <v>1919</v>
      </c>
      <c r="N37" s="61">
        <f>INDEX(Data!$9:$9,1,MATCH(M37,detail_table[#Headers],0))</f>
        <v>0</v>
      </c>
    </row>
    <row r="38" spans="1:14" ht="15" thickBot="1" x14ac:dyDescent="0.4">
      <c r="A38" s="23" t="s">
        <v>155</v>
      </c>
      <c r="B38" s="180">
        <f t="shared" ref="B38:F42" si="2">INDEX($N$2:$N$1687,MATCH($B$36&amp;" | "&amp;$A38&amp;" | "&amp;B$37,$M$2:$M$1687,0))</f>
        <v>0</v>
      </c>
      <c r="C38" s="181">
        <f t="shared" si="2"/>
        <v>0</v>
      </c>
      <c r="D38" s="181">
        <f t="shared" si="2"/>
        <v>0</v>
      </c>
      <c r="E38" s="181">
        <f t="shared" si="2"/>
        <v>0</v>
      </c>
      <c r="F38" s="181">
        <f t="shared" si="2"/>
        <v>0</v>
      </c>
      <c r="G38" s="153"/>
      <c r="H38" s="153"/>
      <c r="M38" s="64" t="s">
        <v>1920</v>
      </c>
      <c r="N38" s="61">
        <f>INDEX(Data!$9:$9,1,MATCH(M38,detail_table[#Headers],0))</f>
        <v>0</v>
      </c>
    </row>
    <row r="39" spans="1:14" ht="15" thickBot="1" x14ac:dyDescent="0.4">
      <c r="A39" s="23" t="s">
        <v>156</v>
      </c>
      <c r="B39" s="180">
        <f t="shared" si="2"/>
        <v>0</v>
      </c>
      <c r="C39" s="181">
        <f t="shared" si="2"/>
        <v>0</v>
      </c>
      <c r="D39" s="181">
        <f t="shared" si="2"/>
        <v>0</v>
      </c>
      <c r="E39" s="181">
        <f t="shared" si="2"/>
        <v>0</v>
      </c>
      <c r="F39" s="181">
        <f t="shared" si="2"/>
        <v>0</v>
      </c>
      <c r="G39" s="153"/>
      <c r="H39" s="153"/>
      <c r="M39" s="64" t="s">
        <v>1921</v>
      </c>
      <c r="N39" s="61">
        <f>INDEX(Data!$9:$9,1,MATCH(M39,detail_table[#Headers],0))</f>
        <v>0</v>
      </c>
    </row>
    <row r="40" spans="1:14" ht="15" thickBot="1" x14ac:dyDescent="0.4">
      <c r="A40" s="23" t="s">
        <v>157</v>
      </c>
      <c r="B40" s="180">
        <f t="shared" si="2"/>
        <v>0</v>
      </c>
      <c r="C40" s="181">
        <f t="shared" si="2"/>
        <v>0</v>
      </c>
      <c r="D40" s="181">
        <f t="shared" si="2"/>
        <v>0</v>
      </c>
      <c r="E40" s="181">
        <f t="shared" si="2"/>
        <v>0</v>
      </c>
      <c r="F40" s="181">
        <f t="shared" si="2"/>
        <v>0</v>
      </c>
      <c r="G40" s="153"/>
      <c r="H40" s="153"/>
      <c r="M40" s="64" t="s">
        <v>1922</v>
      </c>
      <c r="N40" s="61">
        <f>INDEX(Data!$9:$9,1,MATCH(M40,detail_table[#Headers],0))</f>
        <v>0</v>
      </c>
    </row>
    <row r="41" spans="1:14" ht="15" thickBot="1" x14ac:dyDescent="0.4">
      <c r="A41" s="23" t="s">
        <v>143</v>
      </c>
      <c r="B41" s="180">
        <f t="shared" si="2"/>
        <v>0</v>
      </c>
      <c r="C41" s="181">
        <f t="shared" si="2"/>
        <v>0</v>
      </c>
      <c r="D41" s="181">
        <f t="shared" si="2"/>
        <v>0</v>
      </c>
      <c r="E41" s="181">
        <f t="shared" si="2"/>
        <v>0</v>
      </c>
      <c r="F41" s="181">
        <f t="shared" si="2"/>
        <v>0</v>
      </c>
      <c r="G41" s="153"/>
      <c r="H41" s="153"/>
      <c r="M41" s="64" t="s">
        <v>1998</v>
      </c>
      <c r="N41" s="61">
        <f>INDEX(Data!$9:$9,1,MATCH(M41,detail_table[#Headers],0))</f>
        <v>0</v>
      </c>
    </row>
    <row r="42" spans="1:14" ht="15" thickBot="1" x14ac:dyDescent="0.4">
      <c r="A42" s="1" t="s">
        <v>144</v>
      </c>
      <c r="B42" s="180">
        <f t="shared" si="2"/>
        <v>0</v>
      </c>
      <c r="C42" s="181">
        <f t="shared" si="2"/>
        <v>0</v>
      </c>
      <c r="D42" s="181">
        <f t="shared" si="2"/>
        <v>0</v>
      </c>
      <c r="E42" s="181">
        <f t="shared" si="2"/>
        <v>0</v>
      </c>
      <c r="F42" s="181">
        <f t="shared" si="2"/>
        <v>0</v>
      </c>
      <c r="G42" s="153"/>
      <c r="H42" s="153"/>
      <c r="M42" s="64" t="s">
        <v>1999</v>
      </c>
      <c r="N42" s="61">
        <f>INDEX(Data!$9:$9,1,MATCH(M42,detail_table[#Headers],0))</f>
        <v>0</v>
      </c>
    </row>
    <row r="43" spans="1:14" x14ac:dyDescent="0.35">
      <c r="A43" s="38"/>
      <c r="B43" s="155"/>
      <c r="C43" s="57"/>
      <c r="D43" s="57"/>
      <c r="E43" s="57"/>
      <c r="F43" s="57"/>
      <c r="G43" s="153"/>
      <c r="H43" s="153"/>
      <c r="M43" s="64" t="s">
        <v>2000</v>
      </c>
      <c r="N43" s="61">
        <f>INDEX(Data!$9:$9,1,MATCH(M43,detail_table[#Headers],0))</f>
        <v>0</v>
      </c>
    </row>
    <row r="44" spans="1:14" x14ac:dyDescent="0.35">
      <c r="A44" s="227" t="s">
        <v>1912</v>
      </c>
      <c r="B44" s="227"/>
      <c r="C44" s="227"/>
      <c r="D44" s="227"/>
      <c r="E44" s="227"/>
      <c r="F44" s="227"/>
      <c r="G44" s="153"/>
      <c r="H44" s="153"/>
      <c r="M44" s="64" t="s">
        <v>410</v>
      </c>
      <c r="N44" s="61">
        <f>INDEX(Data!$9:$9,1,MATCH(M44,detail_table[#Headers],0))</f>
        <v>0</v>
      </c>
    </row>
    <row r="45" spans="1:14" ht="26.5" thickBot="1" x14ac:dyDescent="0.4">
      <c r="A45" s="186" t="s">
        <v>108</v>
      </c>
      <c r="B45" s="153" t="s">
        <v>98</v>
      </c>
      <c r="C45" s="153"/>
      <c r="D45" s="153"/>
      <c r="E45" s="153"/>
      <c r="F45" s="153"/>
      <c r="G45" s="153"/>
      <c r="H45" s="153"/>
      <c r="M45" s="64" t="s">
        <v>411</v>
      </c>
      <c r="N45" s="61">
        <f>INDEX(Data!$9:$9,1,MATCH(M45,detail_table[#Headers],0))</f>
        <v>0</v>
      </c>
    </row>
    <row r="46" spans="1:14" ht="52.5" thickBot="1" x14ac:dyDescent="0.4">
      <c r="A46" s="23"/>
      <c r="B46" s="3" t="s">
        <v>8</v>
      </c>
      <c r="C46" s="3" t="s">
        <v>0</v>
      </c>
      <c r="D46" s="3" t="s">
        <v>1</v>
      </c>
      <c r="E46" s="3" t="s">
        <v>2</v>
      </c>
      <c r="F46" s="3" t="s">
        <v>3</v>
      </c>
      <c r="G46" s="153"/>
      <c r="H46" s="153"/>
      <c r="M46" s="64" t="s">
        <v>412</v>
      </c>
      <c r="N46" s="61">
        <f>INDEX(Data!$9:$9,1,MATCH(M46,detail_table[#Headers],0))</f>
        <v>0</v>
      </c>
    </row>
    <row r="47" spans="1:14" ht="15" thickBot="1" x14ac:dyDescent="0.4">
      <c r="A47" s="101" t="s">
        <v>54</v>
      </c>
      <c r="B47" s="180">
        <f>INDEX($N$2:$N$1687,MATCH($B$45&amp;" | "&amp;$A47&amp;" | "&amp;B$46,$M$2:$M$1687,0))</f>
        <v>0</v>
      </c>
      <c r="C47" s="181">
        <f>INDEX($N$2:$N$1687,MATCH($B$45&amp;" | "&amp;$A47&amp;" | "&amp;C$46,$M$2:$M$1687,0))</f>
        <v>0</v>
      </c>
      <c r="D47" s="181">
        <f>INDEX($N$2:$N$1687,MATCH($B$45&amp;" | "&amp;$A47&amp;" | "&amp;D$46,$M$2:$M$1687,0))</f>
        <v>0</v>
      </c>
      <c r="E47" s="181">
        <f>INDEX($N$2:$N$1687,MATCH($B$45&amp;" | "&amp;$A47&amp;" | "&amp;E$46,$M$2:$M$1687,0))</f>
        <v>0</v>
      </c>
      <c r="F47" s="181">
        <f>INDEX($N$2:$N$1687,MATCH($B$45&amp;" | "&amp;$A47&amp;" | "&amp;F$46,$M$2:$M$1687,0))</f>
        <v>0</v>
      </c>
      <c r="G47" s="153"/>
      <c r="H47" s="153"/>
      <c r="M47" s="64" t="s">
        <v>413</v>
      </c>
      <c r="N47" s="61">
        <f>INDEX(Data!$9:$9,1,MATCH(M47,detail_table[#Headers],0))</f>
        <v>0</v>
      </c>
    </row>
    <row r="48" spans="1:14" x14ac:dyDescent="0.35">
      <c r="A48" s="55"/>
      <c r="B48" s="57"/>
      <c r="C48" s="56"/>
      <c r="D48" s="56"/>
      <c r="E48" s="56"/>
      <c r="F48" s="56"/>
      <c r="G48" s="153"/>
      <c r="H48" s="153"/>
      <c r="M48" s="64" t="s">
        <v>414</v>
      </c>
      <c r="N48" s="61">
        <f>INDEX(Data!$9:$9,1,MATCH(M48,detail_table[#Headers],0))</f>
        <v>0</v>
      </c>
    </row>
    <row r="49" spans="1:18" ht="52.5" thickBot="1" x14ac:dyDescent="0.4">
      <c r="A49" s="186" t="s">
        <v>109</v>
      </c>
      <c r="B49" s="153" t="s">
        <v>99</v>
      </c>
      <c r="C49" s="153"/>
      <c r="D49" s="153"/>
      <c r="E49" s="153"/>
      <c r="F49" s="153"/>
      <c r="G49" s="153"/>
      <c r="H49" s="153"/>
      <c r="M49" s="64" t="s">
        <v>415</v>
      </c>
      <c r="N49" s="61">
        <f>INDEX(Data!$9:$9,1,MATCH(M49,detail_table[#Headers],0))</f>
        <v>0</v>
      </c>
    </row>
    <row r="50" spans="1:18" ht="52.5" thickBot="1" x14ac:dyDescent="0.4">
      <c r="A50" s="23"/>
      <c r="B50" s="3" t="s">
        <v>8</v>
      </c>
      <c r="C50" s="3" t="s">
        <v>0</v>
      </c>
      <c r="D50" s="3" t="s">
        <v>1</v>
      </c>
      <c r="E50" s="3" t="s">
        <v>2</v>
      </c>
      <c r="F50" s="103" t="s">
        <v>3</v>
      </c>
      <c r="G50" s="153"/>
      <c r="H50" s="153"/>
      <c r="M50" s="64" t="s">
        <v>416</v>
      </c>
      <c r="N50" s="61">
        <f>INDEX(Data!$9:$9,1,MATCH(M50,detail_table[#Headers],0))</f>
        <v>0</v>
      </c>
    </row>
    <row r="51" spans="1:18" ht="15" thickBot="1" x14ac:dyDescent="0.4">
      <c r="A51" s="104" t="s">
        <v>55</v>
      </c>
      <c r="B51" s="180">
        <f t="shared" ref="B51:F54" si="3">INDEX($N$2:$N$1687,MATCH($B$49&amp;" | "&amp;$A51&amp;" | "&amp;B$50,$M$2:$M$1687,0))</f>
        <v>0</v>
      </c>
      <c r="C51" s="181">
        <f t="shared" si="3"/>
        <v>0</v>
      </c>
      <c r="D51" s="181">
        <f t="shared" si="3"/>
        <v>0</v>
      </c>
      <c r="E51" s="181">
        <f t="shared" si="3"/>
        <v>0</v>
      </c>
      <c r="F51" s="181">
        <f t="shared" si="3"/>
        <v>0</v>
      </c>
      <c r="G51" s="153"/>
      <c r="H51" s="153"/>
      <c r="M51" s="64" t="s">
        <v>417</v>
      </c>
      <c r="N51" s="61">
        <f>INDEX(Data!$9:$9,1,MATCH(M51,detail_table[#Headers],0))</f>
        <v>0</v>
      </c>
    </row>
    <row r="52" spans="1:18" ht="15" thickBot="1" x14ac:dyDescent="0.4">
      <c r="A52" s="104" t="s">
        <v>56</v>
      </c>
      <c r="B52" s="180">
        <f t="shared" si="3"/>
        <v>0</v>
      </c>
      <c r="C52" s="181">
        <f t="shared" si="3"/>
        <v>0</v>
      </c>
      <c r="D52" s="181">
        <f t="shared" si="3"/>
        <v>0</v>
      </c>
      <c r="E52" s="181">
        <f t="shared" si="3"/>
        <v>0</v>
      </c>
      <c r="F52" s="181">
        <f t="shared" si="3"/>
        <v>0</v>
      </c>
      <c r="G52" s="153"/>
      <c r="H52" s="153"/>
      <c r="M52" s="64" t="s">
        <v>418</v>
      </c>
      <c r="N52" s="61">
        <f>INDEX(Data!$9:$9,1,MATCH(M52,detail_table[#Headers],0))</f>
        <v>0</v>
      </c>
    </row>
    <row r="53" spans="1:18" ht="15" thickBot="1" x14ac:dyDescent="0.4">
      <c r="A53" s="104" t="s">
        <v>57</v>
      </c>
      <c r="B53" s="180">
        <f t="shared" si="3"/>
        <v>0</v>
      </c>
      <c r="C53" s="181">
        <f t="shared" si="3"/>
        <v>0</v>
      </c>
      <c r="D53" s="181">
        <f t="shared" si="3"/>
        <v>0</v>
      </c>
      <c r="E53" s="181">
        <f t="shared" si="3"/>
        <v>0</v>
      </c>
      <c r="F53" s="181">
        <f t="shared" si="3"/>
        <v>0</v>
      </c>
      <c r="G53" s="153"/>
      <c r="H53" s="153"/>
      <c r="M53" s="64" t="s">
        <v>419</v>
      </c>
      <c r="N53" s="61">
        <f>INDEX(Data!$9:$9,1,MATCH(M53,detail_table[#Headers],0))</f>
        <v>0</v>
      </c>
    </row>
    <row r="54" spans="1:18" ht="15" thickBot="1" x14ac:dyDescent="0.4">
      <c r="A54" s="104" t="s">
        <v>58</v>
      </c>
      <c r="B54" s="180">
        <f t="shared" si="3"/>
        <v>0</v>
      </c>
      <c r="C54" s="181">
        <f t="shared" si="3"/>
        <v>0</v>
      </c>
      <c r="D54" s="181">
        <f t="shared" si="3"/>
        <v>0</v>
      </c>
      <c r="E54" s="181">
        <f t="shared" si="3"/>
        <v>0</v>
      </c>
      <c r="F54" s="181">
        <f t="shared" si="3"/>
        <v>0</v>
      </c>
      <c r="G54" s="153"/>
      <c r="H54" s="153"/>
      <c r="M54" s="64" t="s">
        <v>420</v>
      </c>
      <c r="N54" s="61">
        <f>INDEX(Data!$9:$9,1,MATCH(M54,detail_table[#Headers],0))</f>
        <v>0</v>
      </c>
    </row>
    <row r="55" spans="1:18" x14ac:dyDescent="0.35">
      <c r="A55" s="58"/>
      <c r="B55" s="57"/>
      <c r="C55" s="59"/>
      <c r="D55" s="59"/>
      <c r="E55" s="59"/>
      <c r="F55" s="59"/>
      <c r="G55" s="194"/>
      <c r="H55" s="194"/>
      <c r="M55" s="64" t="s">
        <v>421</v>
      </c>
      <c r="N55" s="61">
        <f>INDEX(Data!$9:$9,1,MATCH(M55,detail_table[#Headers],0))</f>
        <v>0</v>
      </c>
    </row>
    <row r="56" spans="1:18" x14ac:dyDescent="0.35">
      <c r="A56" s="227" t="s">
        <v>110</v>
      </c>
      <c r="B56" s="153"/>
      <c r="C56" s="153"/>
      <c r="D56" s="153"/>
      <c r="E56" s="153"/>
      <c r="F56" s="153"/>
      <c r="G56" s="153"/>
      <c r="H56" s="153"/>
      <c r="M56" s="64" t="s">
        <v>422</v>
      </c>
      <c r="N56" s="61">
        <f>INDEX(Data!$9:$9,1,MATCH(M56,detail_table[#Headers],0))</f>
        <v>0</v>
      </c>
    </row>
    <row r="57" spans="1:18" ht="26.5" thickBot="1" x14ac:dyDescent="0.4">
      <c r="A57" s="186" t="s">
        <v>111</v>
      </c>
      <c r="B57" s="153" t="s">
        <v>100</v>
      </c>
      <c r="C57" s="153"/>
      <c r="D57" s="153"/>
      <c r="E57" s="153"/>
      <c r="F57" s="153"/>
      <c r="G57" s="153"/>
      <c r="H57" s="153"/>
      <c r="M57" s="64" t="s">
        <v>423</v>
      </c>
      <c r="N57" s="61">
        <f>INDEX(Data!$9:$9,1,MATCH(M57,detail_table[#Headers],0))</f>
        <v>0</v>
      </c>
    </row>
    <row r="58" spans="1:18" ht="78.5" thickBot="1" x14ac:dyDescent="0.4">
      <c r="A58" s="23"/>
      <c r="B58" s="3" t="s">
        <v>8</v>
      </c>
      <c r="C58" s="3" t="s">
        <v>145</v>
      </c>
      <c r="D58" s="3" t="s">
        <v>368</v>
      </c>
      <c r="E58" s="3" t="s">
        <v>369</v>
      </c>
      <c r="F58" s="3" t="s">
        <v>146</v>
      </c>
      <c r="G58" s="153"/>
      <c r="H58" s="153"/>
      <c r="M58" s="64" t="s">
        <v>424</v>
      </c>
      <c r="N58" s="61">
        <f>INDEX(Data!$9:$9,1,MATCH(M58,detail_table[#Headers],0))</f>
        <v>0</v>
      </c>
    </row>
    <row r="59" spans="1:18" ht="15" thickBot="1" x14ac:dyDescent="0.4">
      <c r="A59" s="23" t="s">
        <v>159</v>
      </c>
      <c r="B59" s="105">
        <f t="shared" ref="B59:F63" si="4">INDEX($N$2:$N$1687,MATCH($B$57&amp;" | "&amp;$A59&amp;" | "&amp;B$58,$M$2:$M$1687,0))</f>
        <v>0</v>
      </c>
      <c r="C59" s="106">
        <f t="shared" si="4"/>
        <v>0</v>
      </c>
      <c r="D59" s="106">
        <f t="shared" si="4"/>
        <v>0</v>
      </c>
      <c r="E59" s="106">
        <f t="shared" si="4"/>
        <v>0</v>
      </c>
      <c r="F59" s="106">
        <f t="shared" si="4"/>
        <v>0</v>
      </c>
      <c r="G59" s="153"/>
      <c r="H59" s="153"/>
      <c r="M59" s="64" t="s">
        <v>425</v>
      </c>
      <c r="N59" s="61">
        <f>INDEX(Data!$9:$9,1,MATCH(M59,detail_table[#Headers],0))</f>
        <v>0</v>
      </c>
    </row>
    <row r="60" spans="1:18" ht="26.5" thickBot="1" x14ac:dyDescent="0.4">
      <c r="A60" s="23" t="s">
        <v>160</v>
      </c>
      <c r="B60" s="105">
        <f t="shared" si="4"/>
        <v>0</v>
      </c>
      <c r="C60" s="106">
        <f t="shared" si="4"/>
        <v>0</v>
      </c>
      <c r="D60" s="106">
        <f t="shared" si="4"/>
        <v>0</v>
      </c>
      <c r="E60" s="106">
        <f t="shared" si="4"/>
        <v>0</v>
      </c>
      <c r="F60" s="106">
        <f t="shared" si="4"/>
        <v>0</v>
      </c>
      <c r="G60" s="153"/>
      <c r="H60" s="153"/>
      <c r="M60" s="64" t="s">
        <v>426</v>
      </c>
      <c r="N60" s="61">
        <f>INDEX(Data!$9:$9,1,MATCH(M60,detail_table[#Headers],0))</f>
        <v>0</v>
      </c>
    </row>
    <row r="61" spans="1:18" ht="26.5" thickBot="1" x14ac:dyDescent="0.4">
      <c r="A61" s="23" t="s">
        <v>161</v>
      </c>
      <c r="B61" s="105">
        <f t="shared" si="4"/>
        <v>0</v>
      </c>
      <c r="C61" s="106">
        <f t="shared" si="4"/>
        <v>0</v>
      </c>
      <c r="D61" s="106">
        <f t="shared" si="4"/>
        <v>0</v>
      </c>
      <c r="E61" s="106">
        <f t="shared" si="4"/>
        <v>0</v>
      </c>
      <c r="F61" s="106">
        <f t="shared" si="4"/>
        <v>0</v>
      </c>
      <c r="G61" s="153"/>
      <c r="H61" s="153"/>
      <c r="M61" s="64" t="s">
        <v>427</v>
      </c>
      <c r="N61" s="61">
        <f>INDEX(Data!$9:$9,1,MATCH(M61,detail_table[#Headers],0))</f>
        <v>0</v>
      </c>
    </row>
    <row r="62" spans="1:18" ht="26.5" thickBot="1" x14ac:dyDescent="0.4">
      <c r="A62" s="23" t="s">
        <v>147</v>
      </c>
      <c r="B62" s="105">
        <f t="shared" si="4"/>
        <v>0</v>
      </c>
      <c r="C62" s="106">
        <f t="shared" si="4"/>
        <v>0</v>
      </c>
      <c r="D62" s="106">
        <f t="shared" si="4"/>
        <v>0</v>
      </c>
      <c r="E62" s="106">
        <f t="shared" si="4"/>
        <v>0</v>
      </c>
      <c r="F62" s="106">
        <f t="shared" si="4"/>
        <v>0</v>
      </c>
      <c r="G62" s="153"/>
      <c r="H62" s="153"/>
      <c r="M62" s="64" t="s">
        <v>428</v>
      </c>
      <c r="N62" s="61">
        <f>INDEX(Data!$9:$9,1,MATCH(M62,detail_table[#Headers],0))</f>
        <v>0</v>
      </c>
    </row>
    <row r="63" spans="1:18" ht="26.5" thickBot="1" x14ac:dyDescent="0.4">
      <c r="A63" s="1" t="s">
        <v>148</v>
      </c>
      <c r="B63" s="105">
        <f t="shared" si="4"/>
        <v>0</v>
      </c>
      <c r="C63" s="105">
        <f t="shared" si="4"/>
        <v>0</v>
      </c>
      <c r="D63" s="105">
        <f t="shared" si="4"/>
        <v>0</v>
      </c>
      <c r="E63" s="105">
        <f t="shared" si="4"/>
        <v>0</v>
      </c>
      <c r="F63" s="105">
        <f t="shared" si="4"/>
        <v>0</v>
      </c>
      <c r="G63" s="153"/>
      <c r="H63" s="153"/>
      <c r="M63" s="64" t="s">
        <v>429</v>
      </c>
      <c r="N63" s="61">
        <f>INDEX(Data!$9:$9,1,MATCH(M63,detail_table[#Headers],0))</f>
        <v>0</v>
      </c>
    </row>
    <row r="64" spans="1:18" x14ac:dyDescent="0.35">
      <c r="A64" s="38"/>
      <c r="B64" s="59"/>
      <c r="C64" s="59"/>
      <c r="D64" s="59"/>
      <c r="E64" s="59"/>
      <c r="F64" s="59"/>
      <c r="G64" s="153"/>
      <c r="H64" s="153"/>
      <c r="M64" s="64" t="s">
        <v>430</v>
      </c>
      <c r="N64" s="61">
        <f>INDEX(Data!$9:$9,1,MATCH(M64,detail_table[#Headers],0))</f>
        <v>0</v>
      </c>
      <c r="R64" s="62"/>
    </row>
    <row r="65" spans="1:18" ht="26.5" thickBot="1" x14ac:dyDescent="0.4">
      <c r="A65" s="186" t="s">
        <v>112</v>
      </c>
      <c r="B65" s="153" t="s">
        <v>101</v>
      </c>
      <c r="C65" s="153"/>
      <c r="D65" s="153"/>
      <c r="E65" s="153"/>
      <c r="F65" s="153"/>
      <c r="G65" s="153"/>
      <c r="H65" s="153"/>
      <c r="M65" s="64" t="s">
        <v>431</v>
      </c>
      <c r="N65" s="61">
        <f>INDEX(Data!$9:$9,1,MATCH(M65,detail_table[#Headers],0))</f>
        <v>0</v>
      </c>
    </row>
    <row r="66" spans="1:18" s="62" customFormat="1" ht="78.5" thickBot="1" x14ac:dyDescent="0.4">
      <c r="A66" s="23"/>
      <c r="B66" s="3" t="s">
        <v>8</v>
      </c>
      <c r="C66" s="3" t="s">
        <v>145</v>
      </c>
      <c r="D66" s="3" t="s">
        <v>368</v>
      </c>
      <c r="E66" s="3" t="s">
        <v>369</v>
      </c>
      <c r="F66" s="3" t="s">
        <v>146</v>
      </c>
      <c r="G66" s="153"/>
      <c r="H66" s="153"/>
      <c r="K66" s="63"/>
      <c r="L66" s="63"/>
      <c r="M66" s="64" t="s">
        <v>432</v>
      </c>
      <c r="N66" s="61">
        <f>INDEX(Data!$9:$9,1,MATCH(M66,detail_table[#Headers],0))</f>
        <v>0</v>
      </c>
      <c r="O66" s="63"/>
      <c r="Q66" s="63"/>
      <c r="R66" s="61"/>
    </row>
    <row r="67" spans="1:18" ht="26.5" thickBot="1" x14ac:dyDescent="0.4">
      <c r="A67" s="23" t="s">
        <v>162</v>
      </c>
      <c r="B67" s="105">
        <f t="shared" ref="B67:F72" si="5">INDEX($N$2:$N$1687,MATCH($B$65&amp;" | "&amp;$A67&amp;" | "&amp;B$66,$M$2:$M$1687,0))</f>
        <v>0</v>
      </c>
      <c r="C67" s="106">
        <f t="shared" si="5"/>
        <v>0</v>
      </c>
      <c r="D67" s="106">
        <f t="shared" si="5"/>
        <v>0</v>
      </c>
      <c r="E67" s="106">
        <f t="shared" si="5"/>
        <v>0</v>
      </c>
      <c r="F67" s="106">
        <f t="shared" si="5"/>
        <v>0</v>
      </c>
      <c r="G67" s="153"/>
      <c r="H67" s="153"/>
      <c r="M67" s="64" t="s">
        <v>433</v>
      </c>
      <c r="N67" s="61">
        <f>INDEX(Data!$9:$9,1,MATCH(M67,detail_table[#Headers],0))</f>
        <v>0</v>
      </c>
      <c r="R67" s="63"/>
    </row>
    <row r="68" spans="1:18" ht="26.5" thickBot="1" x14ac:dyDescent="0.4">
      <c r="A68" s="23" t="s">
        <v>163</v>
      </c>
      <c r="B68" s="105">
        <f t="shared" si="5"/>
        <v>0</v>
      </c>
      <c r="C68" s="106">
        <f t="shared" si="5"/>
        <v>0</v>
      </c>
      <c r="D68" s="106">
        <f t="shared" si="5"/>
        <v>0</v>
      </c>
      <c r="E68" s="106">
        <f t="shared" si="5"/>
        <v>0</v>
      </c>
      <c r="F68" s="106">
        <f t="shared" si="5"/>
        <v>0</v>
      </c>
      <c r="G68" s="153"/>
      <c r="H68" s="153"/>
      <c r="M68" s="64" t="s">
        <v>434</v>
      </c>
      <c r="N68" s="61">
        <f>INDEX(Data!$9:$9,1,MATCH(M68,detail_table[#Headers],0))</f>
        <v>0</v>
      </c>
    </row>
    <row r="69" spans="1:18" s="63" customFormat="1" ht="26.5" thickBot="1" x14ac:dyDescent="0.4">
      <c r="A69" s="23" t="s">
        <v>164</v>
      </c>
      <c r="B69" s="105">
        <f t="shared" si="5"/>
        <v>0</v>
      </c>
      <c r="C69" s="106">
        <f t="shared" si="5"/>
        <v>0</v>
      </c>
      <c r="D69" s="106">
        <f t="shared" si="5"/>
        <v>0</v>
      </c>
      <c r="E69" s="106">
        <f t="shared" si="5"/>
        <v>0</v>
      </c>
      <c r="F69" s="106">
        <f t="shared" si="5"/>
        <v>0</v>
      </c>
      <c r="G69" s="153"/>
      <c r="H69" s="153"/>
      <c r="K69" s="61"/>
      <c r="L69" s="61"/>
      <c r="M69" s="64" t="s">
        <v>435</v>
      </c>
      <c r="N69" s="61">
        <f>INDEX(Data!$9:$9,1,MATCH(M69,detail_table[#Headers],0))</f>
        <v>0</v>
      </c>
      <c r="O69" s="61"/>
      <c r="Q69" s="61"/>
      <c r="R69" s="61"/>
    </row>
    <row r="70" spans="1:18" ht="26.5" thickBot="1" x14ac:dyDescent="0.4">
      <c r="A70" s="23" t="s">
        <v>149</v>
      </c>
      <c r="B70" s="105">
        <f t="shared" si="5"/>
        <v>0</v>
      </c>
      <c r="C70" s="106">
        <f t="shared" si="5"/>
        <v>0</v>
      </c>
      <c r="D70" s="106">
        <f t="shared" si="5"/>
        <v>0</v>
      </c>
      <c r="E70" s="106">
        <f t="shared" si="5"/>
        <v>0</v>
      </c>
      <c r="F70" s="106">
        <f t="shared" si="5"/>
        <v>0</v>
      </c>
      <c r="G70" s="153"/>
      <c r="H70" s="153"/>
      <c r="M70" s="64" t="s">
        <v>436</v>
      </c>
      <c r="N70" s="61">
        <f>INDEX(Data!$9:$9,1,MATCH(M70,detail_table[#Headers],0))</f>
        <v>0</v>
      </c>
    </row>
    <row r="71" spans="1:18" ht="26.5" thickBot="1" x14ac:dyDescent="0.4">
      <c r="A71" s="1" t="s">
        <v>150</v>
      </c>
      <c r="B71" s="105">
        <f t="shared" si="5"/>
        <v>0</v>
      </c>
      <c r="C71" s="106">
        <f t="shared" si="5"/>
        <v>0</v>
      </c>
      <c r="D71" s="106">
        <f t="shared" si="5"/>
        <v>0</v>
      </c>
      <c r="E71" s="106">
        <f t="shared" si="5"/>
        <v>0</v>
      </c>
      <c r="F71" s="106">
        <f t="shared" si="5"/>
        <v>0</v>
      </c>
      <c r="G71" s="153"/>
      <c r="H71" s="153"/>
      <c r="M71" s="64" t="s">
        <v>437</v>
      </c>
      <c r="N71" s="61">
        <f>INDEX(Data!$9:$9,1,MATCH(M71,detail_table[#Headers],0))</f>
        <v>0</v>
      </c>
    </row>
    <row r="72" spans="1:18" ht="26.5" thickBot="1" x14ac:dyDescent="0.4">
      <c r="A72" s="1" t="s">
        <v>151</v>
      </c>
      <c r="B72" s="176" t="str">
        <f t="shared" si="5"/>
        <v>N/A</v>
      </c>
      <c r="C72" s="176" t="str">
        <f t="shared" si="5"/>
        <v>N/A</v>
      </c>
      <c r="D72" s="176" t="str">
        <f t="shared" si="5"/>
        <v>N/A</v>
      </c>
      <c r="E72" s="176" t="str">
        <f t="shared" si="5"/>
        <v>N/A</v>
      </c>
      <c r="F72" s="176" t="str">
        <f t="shared" si="5"/>
        <v>N/A</v>
      </c>
      <c r="G72" s="153"/>
      <c r="H72" s="153"/>
      <c r="M72" s="64" t="s">
        <v>438</v>
      </c>
      <c r="N72" s="61">
        <f>INDEX(Data!$9:$9,1,MATCH(M72,detail_table[#Headers],0))</f>
        <v>0</v>
      </c>
    </row>
    <row r="73" spans="1:18" x14ac:dyDescent="0.35">
      <c r="A73" s="38"/>
      <c r="B73" s="59"/>
      <c r="C73" s="59"/>
      <c r="D73" s="59"/>
      <c r="E73" s="59"/>
      <c r="F73" s="59"/>
      <c r="G73" s="153"/>
      <c r="H73" s="153"/>
      <c r="M73" s="64" t="s">
        <v>439</v>
      </c>
      <c r="N73" s="61">
        <f>INDEX(Data!$9:$9,1,MATCH(M73,detail_table[#Headers],0))</f>
        <v>0</v>
      </c>
    </row>
    <row r="74" spans="1:18" x14ac:dyDescent="0.35">
      <c r="A74" s="189" t="s">
        <v>59</v>
      </c>
      <c r="B74" s="153"/>
      <c r="C74" s="153"/>
      <c r="D74" s="153"/>
      <c r="E74" s="153"/>
      <c r="F74" s="153"/>
      <c r="G74" s="153"/>
      <c r="H74" s="153"/>
      <c r="M74" s="64" t="s">
        <v>440</v>
      </c>
      <c r="N74" s="61">
        <f>INDEX(Data!$9:$9,1,MATCH(M74,detail_table[#Headers],0))</f>
        <v>0</v>
      </c>
    </row>
    <row r="75" spans="1:18" ht="15" thickBot="1" x14ac:dyDescent="0.4">
      <c r="A75" s="186" t="s">
        <v>60</v>
      </c>
      <c r="B75" s="153" t="s">
        <v>75</v>
      </c>
      <c r="C75" s="153"/>
      <c r="D75" s="153"/>
      <c r="E75" s="153"/>
      <c r="F75" s="153"/>
      <c r="G75" s="153"/>
      <c r="H75" s="153"/>
      <c r="M75" s="64" t="s">
        <v>441</v>
      </c>
      <c r="N75" s="61">
        <f>INDEX(Data!$9:$9,1,MATCH(M75,detail_table[#Headers],0))</f>
        <v>0</v>
      </c>
    </row>
    <row r="76" spans="1:18" ht="39.5" thickBot="1" x14ac:dyDescent="0.4">
      <c r="A76" s="23"/>
      <c r="B76" s="3" t="s">
        <v>8</v>
      </c>
      <c r="C76" s="3" t="s">
        <v>0</v>
      </c>
      <c r="D76" s="3" t="s">
        <v>1</v>
      </c>
      <c r="E76" s="3" t="s">
        <v>137</v>
      </c>
      <c r="F76" s="153"/>
      <c r="G76" s="153"/>
      <c r="H76" s="153"/>
      <c r="M76" s="64" t="s">
        <v>442</v>
      </c>
      <c r="N76" s="61">
        <f>INDEX(Data!$9:$9,1,MATCH(M76,detail_table[#Headers],0))</f>
        <v>0</v>
      </c>
    </row>
    <row r="77" spans="1:18" ht="15" thickBot="1" x14ac:dyDescent="0.4">
      <c r="A77" s="23" t="s">
        <v>152</v>
      </c>
      <c r="B77" s="105">
        <f t="shared" ref="B77:E84" si="6">INDEX($N$2:$N$1687,MATCH($B$75&amp;" | "&amp;$A77&amp;" | "&amp;B$76,$M$2:$M$1687,0))</f>
        <v>0</v>
      </c>
      <c r="C77" s="106">
        <f t="shared" si="6"/>
        <v>0</v>
      </c>
      <c r="D77" s="106">
        <f t="shared" si="6"/>
        <v>0</v>
      </c>
      <c r="E77" s="106">
        <f t="shared" si="6"/>
        <v>0</v>
      </c>
      <c r="F77" s="153"/>
      <c r="G77" s="153"/>
      <c r="H77" s="153"/>
      <c r="M77" s="64" t="s">
        <v>443</v>
      </c>
      <c r="N77" s="61">
        <f>INDEX(Data!$9:$9,1,MATCH(M77,detail_table[#Headers],0))</f>
        <v>0</v>
      </c>
    </row>
    <row r="78" spans="1:18" ht="15" thickBot="1" x14ac:dyDescent="0.4">
      <c r="A78" s="23" t="s">
        <v>153</v>
      </c>
      <c r="B78" s="105">
        <f t="shared" si="6"/>
        <v>0</v>
      </c>
      <c r="C78" s="106">
        <f t="shared" si="6"/>
        <v>0</v>
      </c>
      <c r="D78" s="106">
        <f t="shared" si="6"/>
        <v>0</v>
      </c>
      <c r="E78" s="106">
        <f t="shared" si="6"/>
        <v>0</v>
      </c>
      <c r="F78" s="153"/>
      <c r="G78" s="153"/>
      <c r="H78" s="153"/>
      <c r="M78" s="64" t="s">
        <v>444</v>
      </c>
      <c r="N78" s="61">
        <f>INDEX(Data!$9:$9,1,MATCH(M78,detail_table[#Headers],0))</f>
        <v>0</v>
      </c>
    </row>
    <row r="79" spans="1:18" ht="26.5" thickBot="1" x14ac:dyDescent="0.4">
      <c r="A79" s="23" t="s">
        <v>154</v>
      </c>
      <c r="B79" s="105">
        <f t="shared" si="6"/>
        <v>0</v>
      </c>
      <c r="C79" s="106">
        <f t="shared" si="6"/>
        <v>0</v>
      </c>
      <c r="D79" s="106">
        <f t="shared" si="6"/>
        <v>0</v>
      </c>
      <c r="E79" s="106">
        <f t="shared" si="6"/>
        <v>0</v>
      </c>
      <c r="F79" s="153"/>
      <c r="G79" s="153"/>
      <c r="H79" s="153"/>
      <c r="M79" s="64" t="s">
        <v>445</v>
      </c>
      <c r="N79" s="61">
        <f>INDEX(Data!$9:$9,1,MATCH(M79,detail_table[#Headers],0))</f>
        <v>0</v>
      </c>
    </row>
    <row r="80" spans="1:18" ht="26.5" thickBot="1" x14ac:dyDescent="0.4">
      <c r="A80" s="23" t="s">
        <v>138</v>
      </c>
      <c r="B80" s="105">
        <f t="shared" si="6"/>
        <v>0</v>
      </c>
      <c r="C80" s="106">
        <f t="shared" si="6"/>
        <v>0</v>
      </c>
      <c r="D80" s="106">
        <f t="shared" si="6"/>
        <v>0</v>
      </c>
      <c r="E80" s="106">
        <f t="shared" si="6"/>
        <v>0</v>
      </c>
      <c r="F80" s="153"/>
      <c r="G80" s="153"/>
      <c r="H80" s="153"/>
      <c r="M80" s="64" t="s">
        <v>446</v>
      </c>
      <c r="N80" s="61">
        <f>INDEX(Data!$9:$9,1,MATCH(M80,detail_table[#Headers],0))</f>
        <v>0</v>
      </c>
    </row>
    <row r="81" spans="1:14" ht="15" thickBot="1" x14ac:dyDescent="0.4">
      <c r="A81" s="23" t="s">
        <v>139</v>
      </c>
      <c r="B81" s="105">
        <f t="shared" si="6"/>
        <v>0</v>
      </c>
      <c r="C81" s="106">
        <f t="shared" si="6"/>
        <v>0</v>
      </c>
      <c r="D81" s="106">
        <f t="shared" si="6"/>
        <v>0</v>
      </c>
      <c r="E81" s="106">
        <f t="shared" si="6"/>
        <v>0</v>
      </c>
      <c r="F81" s="153"/>
      <c r="G81" s="153"/>
      <c r="H81" s="153"/>
      <c r="M81" s="64" t="s">
        <v>447</v>
      </c>
      <c r="N81" s="61">
        <f>INDEX(Data!$9:$9,1,MATCH(M81,detail_table[#Headers],0))</f>
        <v>0</v>
      </c>
    </row>
    <row r="82" spans="1:14" ht="15" thickBot="1" x14ac:dyDescent="0.4">
      <c r="A82" s="23" t="s">
        <v>140</v>
      </c>
      <c r="B82" s="105">
        <f t="shared" si="6"/>
        <v>0</v>
      </c>
      <c r="C82" s="106">
        <f t="shared" si="6"/>
        <v>0</v>
      </c>
      <c r="D82" s="106">
        <f t="shared" si="6"/>
        <v>0</v>
      </c>
      <c r="E82" s="106">
        <f t="shared" si="6"/>
        <v>0</v>
      </c>
      <c r="F82" s="153"/>
      <c r="G82" s="153"/>
      <c r="H82" s="153"/>
      <c r="M82" s="64" t="s">
        <v>448</v>
      </c>
      <c r="N82" s="61">
        <f>INDEX(Data!$9:$9,1,MATCH(M82,detail_table[#Headers],0))</f>
        <v>0</v>
      </c>
    </row>
    <row r="83" spans="1:14" ht="15" thickBot="1" x14ac:dyDescent="0.4">
      <c r="A83" s="23" t="s">
        <v>141</v>
      </c>
      <c r="B83" s="105">
        <f t="shared" si="6"/>
        <v>0</v>
      </c>
      <c r="C83" s="106">
        <f t="shared" si="6"/>
        <v>0</v>
      </c>
      <c r="D83" s="106">
        <f t="shared" si="6"/>
        <v>0</v>
      </c>
      <c r="E83" s="106">
        <f t="shared" si="6"/>
        <v>0</v>
      </c>
      <c r="F83" s="153"/>
      <c r="G83" s="153"/>
      <c r="H83" s="153"/>
      <c r="M83" s="64" t="s">
        <v>449</v>
      </c>
      <c r="N83" s="61">
        <f>INDEX(Data!$9:$9,1,MATCH(M83,detail_table[#Headers],0))</f>
        <v>0</v>
      </c>
    </row>
    <row r="84" spans="1:14" ht="15" thickBot="1" x14ac:dyDescent="0.4">
      <c r="A84" s="1" t="s">
        <v>142</v>
      </c>
      <c r="B84" s="105">
        <f t="shared" si="6"/>
        <v>0</v>
      </c>
      <c r="C84" s="105">
        <f t="shared" si="6"/>
        <v>0</v>
      </c>
      <c r="D84" s="105">
        <f t="shared" si="6"/>
        <v>0</v>
      </c>
      <c r="E84" s="105">
        <f t="shared" si="6"/>
        <v>0</v>
      </c>
      <c r="F84" s="153"/>
      <c r="G84" s="153"/>
      <c r="H84" s="153"/>
      <c r="M84" s="64" t="s">
        <v>450</v>
      </c>
      <c r="N84" s="61">
        <f>INDEX(Data!$9:$9,1,MATCH(M84,detail_table[#Headers],0))</f>
        <v>0</v>
      </c>
    </row>
    <row r="85" spans="1:14" x14ac:dyDescent="0.35">
      <c r="A85" s="38"/>
      <c r="B85" s="59"/>
      <c r="C85" s="59"/>
      <c r="D85" s="59"/>
      <c r="E85" s="59"/>
      <c r="F85" s="153"/>
      <c r="G85" s="153"/>
      <c r="H85" s="153"/>
      <c r="M85" s="64" t="s">
        <v>451</v>
      </c>
      <c r="N85" s="61">
        <f>INDEX(Data!$9:$9,1,MATCH(M85,detail_table[#Headers],0))</f>
        <v>0</v>
      </c>
    </row>
    <row r="86" spans="1:14" ht="26.5" thickBot="1" x14ac:dyDescent="0.4">
      <c r="A86" s="186" t="s">
        <v>61</v>
      </c>
      <c r="B86" s="153" t="s">
        <v>76</v>
      </c>
      <c r="C86" s="153"/>
      <c r="D86" s="153"/>
      <c r="E86" s="153"/>
      <c r="F86" s="153"/>
      <c r="G86" s="153"/>
      <c r="H86" s="153"/>
      <c r="M86" s="64" t="s">
        <v>452</v>
      </c>
      <c r="N86" s="61">
        <f>INDEX(Data!$9:$9,1,MATCH(M86,detail_table[#Headers],0))</f>
        <v>0</v>
      </c>
    </row>
    <row r="87" spans="1:14" ht="39.5" thickBot="1" x14ac:dyDescent="0.4">
      <c r="A87" s="23"/>
      <c r="B87" s="3" t="s">
        <v>8</v>
      </c>
      <c r="C87" s="3" t="s">
        <v>180</v>
      </c>
      <c r="D87" s="3" t="s">
        <v>181</v>
      </c>
      <c r="E87" s="3" t="s">
        <v>137</v>
      </c>
      <c r="F87" s="153"/>
      <c r="G87" s="153"/>
      <c r="H87" s="153"/>
      <c r="M87" s="64" t="s">
        <v>453</v>
      </c>
      <c r="N87" s="61">
        <f>INDEX(Data!$9:$9,1,MATCH(M87,detail_table[#Headers],0))</f>
        <v>0</v>
      </c>
    </row>
    <row r="88" spans="1:14" ht="15" thickBot="1" x14ac:dyDescent="0.4">
      <c r="A88" s="23" t="s">
        <v>152</v>
      </c>
      <c r="B88" s="108">
        <f t="shared" ref="B88:E95" si="7">INDEX($N$2:$N$1687,MATCH($B$86&amp;" | "&amp;$A88&amp;" | "&amp;B$87,$M$2:$M$1687,0))</f>
        <v>0</v>
      </c>
      <c r="C88" s="106">
        <f t="shared" si="7"/>
        <v>0</v>
      </c>
      <c r="D88" s="106">
        <f t="shared" si="7"/>
        <v>0</v>
      </c>
      <c r="E88" s="106">
        <f t="shared" si="7"/>
        <v>0</v>
      </c>
      <c r="F88" s="153"/>
      <c r="G88" s="153"/>
      <c r="H88" s="153"/>
      <c r="M88" s="64" t="s">
        <v>454</v>
      </c>
      <c r="N88" s="61">
        <f>INDEX(Data!$9:$9,1,MATCH(M88,detail_table[#Headers],0))</f>
        <v>0</v>
      </c>
    </row>
    <row r="89" spans="1:14" ht="15" thickBot="1" x14ac:dyDescent="0.4">
      <c r="A89" s="23" t="s">
        <v>153</v>
      </c>
      <c r="B89" s="108">
        <f t="shared" si="7"/>
        <v>0</v>
      </c>
      <c r="C89" s="106">
        <f t="shared" si="7"/>
        <v>0</v>
      </c>
      <c r="D89" s="106">
        <f t="shared" si="7"/>
        <v>0</v>
      </c>
      <c r="E89" s="106">
        <f t="shared" si="7"/>
        <v>0</v>
      </c>
      <c r="F89" s="153"/>
      <c r="G89" s="153"/>
      <c r="H89" s="153"/>
      <c r="M89" s="64" t="s">
        <v>455</v>
      </c>
      <c r="N89" s="61">
        <f>INDEX(Data!$9:$9,1,MATCH(M89,detail_table[#Headers],0))</f>
        <v>0</v>
      </c>
    </row>
    <row r="90" spans="1:14" ht="26.5" thickBot="1" x14ac:dyDescent="0.4">
      <c r="A90" s="23" t="s">
        <v>154</v>
      </c>
      <c r="B90" s="108">
        <f t="shared" si="7"/>
        <v>0</v>
      </c>
      <c r="C90" s="106">
        <f t="shared" si="7"/>
        <v>0</v>
      </c>
      <c r="D90" s="106">
        <f t="shared" si="7"/>
        <v>0</v>
      </c>
      <c r="E90" s="106">
        <f t="shared" si="7"/>
        <v>0</v>
      </c>
      <c r="F90" s="153"/>
      <c r="G90" s="153"/>
      <c r="H90" s="153"/>
      <c r="M90" s="64" t="s">
        <v>456</v>
      </c>
      <c r="N90" s="61">
        <f>INDEX(Data!$9:$9,1,MATCH(M90,detail_table[#Headers],0))</f>
        <v>0</v>
      </c>
    </row>
    <row r="91" spans="1:14" ht="26.5" thickBot="1" x14ac:dyDescent="0.4">
      <c r="A91" s="23" t="s">
        <v>138</v>
      </c>
      <c r="B91" s="108">
        <f t="shared" si="7"/>
        <v>0</v>
      </c>
      <c r="C91" s="106">
        <f t="shared" si="7"/>
        <v>0</v>
      </c>
      <c r="D91" s="106">
        <f t="shared" si="7"/>
        <v>0</v>
      </c>
      <c r="E91" s="106">
        <f t="shared" si="7"/>
        <v>0</v>
      </c>
      <c r="F91" s="153"/>
      <c r="G91" s="153"/>
      <c r="H91" s="153"/>
      <c r="M91" s="64" t="s">
        <v>457</v>
      </c>
      <c r="N91" s="61">
        <f>INDEX(Data!$9:$9,1,MATCH(M91,detail_table[#Headers],0))</f>
        <v>0</v>
      </c>
    </row>
    <row r="92" spans="1:14" ht="15" thickBot="1" x14ac:dyDescent="0.4">
      <c r="A92" s="23" t="s">
        <v>139</v>
      </c>
      <c r="B92" s="108">
        <f t="shared" si="7"/>
        <v>0</v>
      </c>
      <c r="C92" s="106">
        <f t="shared" si="7"/>
        <v>0</v>
      </c>
      <c r="D92" s="106">
        <f t="shared" si="7"/>
        <v>0</v>
      </c>
      <c r="E92" s="106">
        <f t="shared" si="7"/>
        <v>0</v>
      </c>
      <c r="F92" s="153"/>
      <c r="G92" s="153"/>
      <c r="H92" s="153"/>
      <c r="M92" s="64" t="s">
        <v>458</v>
      </c>
      <c r="N92" s="61">
        <f>INDEX(Data!$9:$9,1,MATCH(M92,detail_table[#Headers],0))</f>
        <v>0</v>
      </c>
    </row>
    <row r="93" spans="1:14" ht="15" thickBot="1" x14ac:dyDescent="0.4">
      <c r="A93" s="23" t="s">
        <v>140</v>
      </c>
      <c r="B93" s="108">
        <f t="shared" si="7"/>
        <v>0</v>
      </c>
      <c r="C93" s="106">
        <f t="shared" si="7"/>
        <v>0</v>
      </c>
      <c r="D93" s="106">
        <f t="shared" si="7"/>
        <v>0</v>
      </c>
      <c r="E93" s="106">
        <f t="shared" si="7"/>
        <v>0</v>
      </c>
      <c r="F93" s="153"/>
      <c r="G93" s="153"/>
      <c r="H93" s="153"/>
      <c r="M93" s="64" t="s">
        <v>459</v>
      </c>
      <c r="N93" s="61">
        <f>INDEX(Data!$9:$9,1,MATCH(M93,detail_table[#Headers],0))</f>
        <v>0</v>
      </c>
    </row>
    <row r="94" spans="1:14" ht="15" thickBot="1" x14ac:dyDescent="0.4">
      <c r="A94" s="23" t="s">
        <v>141</v>
      </c>
      <c r="B94" s="108">
        <f t="shared" si="7"/>
        <v>0</v>
      </c>
      <c r="C94" s="106">
        <f t="shared" si="7"/>
        <v>0</v>
      </c>
      <c r="D94" s="106">
        <f t="shared" si="7"/>
        <v>0</v>
      </c>
      <c r="E94" s="106">
        <f t="shared" si="7"/>
        <v>0</v>
      </c>
      <c r="F94" s="153"/>
      <c r="G94" s="153"/>
      <c r="H94" s="153"/>
      <c r="M94" s="64" t="s">
        <v>460</v>
      </c>
      <c r="N94" s="61">
        <f>INDEX(Data!$9:$9,1,MATCH(M94,detail_table[#Headers],0))</f>
        <v>0</v>
      </c>
    </row>
    <row r="95" spans="1:14" ht="15" thickBot="1" x14ac:dyDescent="0.4">
      <c r="A95" s="1" t="s">
        <v>142</v>
      </c>
      <c r="B95" s="108">
        <f t="shared" si="7"/>
        <v>0</v>
      </c>
      <c r="C95" s="108">
        <f t="shared" si="7"/>
        <v>0</v>
      </c>
      <c r="D95" s="108">
        <f t="shared" si="7"/>
        <v>0</v>
      </c>
      <c r="E95" s="108">
        <f t="shared" si="7"/>
        <v>0</v>
      </c>
      <c r="F95" s="153"/>
      <c r="G95" s="153"/>
      <c r="H95" s="153"/>
      <c r="M95" s="64" t="s">
        <v>461</v>
      </c>
      <c r="N95" s="61">
        <f>INDEX(Data!$9:$9,1,MATCH(M95,detail_table[#Headers],0))</f>
        <v>0</v>
      </c>
    </row>
    <row r="96" spans="1:14" x14ac:dyDescent="0.35">
      <c r="A96" s="60"/>
      <c r="B96" s="59"/>
      <c r="C96" s="59"/>
      <c r="D96" s="59"/>
      <c r="E96" s="59"/>
      <c r="F96" s="194"/>
      <c r="G96" s="194"/>
      <c r="H96" s="194"/>
      <c r="M96" s="64" t="s">
        <v>462</v>
      </c>
      <c r="N96" s="61">
        <f>INDEX(Data!$9:$9,1,MATCH(M96,detail_table[#Headers],0))</f>
        <v>0</v>
      </c>
    </row>
    <row r="97" spans="1:18" ht="39.5" thickBot="1" x14ac:dyDescent="0.4">
      <c r="A97" s="186" t="s">
        <v>113</v>
      </c>
      <c r="B97" s="153" t="s">
        <v>77</v>
      </c>
      <c r="C97" s="153"/>
      <c r="D97" s="153"/>
      <c r="E97" s="153"/>
      <c r="F97" s="153"/>
      <c r="G97" s="153"/>
      <c r="H97" s="153"/>
      <c r="M97" s="64" t="s">
        <v>463</v>
      </c>
      <c r="N97" s="61">
        <f>INDEX(Data!$9:$9,1,MATCH(M97,detail_table[#Headers],0))</f>
        <v>0</v>
      </c>
    </row>
    <row r="98" spans="1:18" ht="52.5" thickBot="1" x14ac:dyDescent="0.4">
      <c r="A98" s="23"/>
      <c r="B98" s="3" t="s">
        <v>8</v>
      </c>
      <c r="C98" s="3" t="s">
        <v>0</v>
      </c>
      <c r="D98" s="3" t="s">
        <v>1</v>
      </c>
      <c r="E98" s="3" t="s">
        <v>2</v>
      </c>
      <c r="F98" s="3" t="s">
        <v>3</v>
      </c>
      <c r="G98" s="153"/>
      <c r="H98" s="153"/>
      <c r="M98" s="64" t="s">
        <v>464</v>
      </c>
      <c r="N98" s="61">
        <f>INDEX(Data!$9:$9,1,MATCH(M98,detail_table[#Headers],0))</f>
        <v>0</v>
      </c>
    </row>
    <row r="99" spans="1:18" ht="15" thickBot="1" x14ac:dyDescent="0.4">
      <c r="A99" s="52" t="s">
        <v>152</v>
      </c>
      <c r="B99" s="105">
        <f t="shared" ref="B99:F106" si="8">INDEX($N$2:$N$1687,MATCH($B$97&amp;" | "&amp;$A99&amp;" | "&amp;B$98,$M$2:$M$1687,0))</f>
        <v>0</v>
      </c>
      <c r="C99" s="106">
        <f t="shared" si="8"/>
        <v>0</v>
      </c>
      <c r="D99" s="106">
        <f t="shared" si="8"/>
        <v>0</v>
      </c>
      <c r="E99" s="106">
        <f t="shared" si="8"/>
        <v>0</v>
      </c>
      <c r="F99" s="106">
        <f t="shared" si="8"/>
        <v>0</v>
      </c>
      <c r="G99" s="153"/>
      <c r="H99" s="153"/>
      <c r="M99" s="64" t="s">
        <v>465</v>
      </c>
      <c r="N99" s="61">
        <f>INDEX(Data!$9:$9,1,MATCH(M99,detail_table[#Headers],0))</f>
        <v>0</v>
      </c>
    </row>
    <row r="100" spans="1:18" ht="15" thickBot="1" x14ac:dyDescent="0.4">
      <c r="A100" s="52" t="s">
        <v>153</v>
      </c>
      <c r="B100" s="105">
        <f t="shared" si="8"/>
        <v>0</v>
      </c>
      <c r="C100" s="106">
        <f t="shared" si="8"/>
        <v>0</v>
      </c>
      <c r="D100" s="106">
        <f t="shared" si="8"/>
        <v>0</v>
      </c>
      <c r="E100" s="106">
        <f t="shared" si="8"/>
        <v>0</v>
      </c>
      <c r="F100" s="106">
        <f t="shared" si="8"/>
        <v>0</v>
      </c>
      <c r="G100" s="153"/>
      <c r="H100" s="153"/>
      <c r="M100" s="64" t="s">
        <v>466</v>
      </c>
      <c r="N100" s="61">
        <f>INDEX(Data!$9:$9,1,MATCH(M100,detail_table[#Headers],0))</f>
        <v>0</v>
      </c>
    </row>
    <row r="101" spans="1:18" ht="26.5" thickBot="1" x14ac:dyDescent="0.4">
      <c r="A101" s="52" t="s">
        <v>154</v>
      </c>
      <c r="B101" s="105">
        <f t="shared" si="8"/>
        <v>0</v>
      </c>
      <c r="C101" s="106">
        <f t="shared" si="8"/>
        <v>0</v>
      </c>
      <c r="D101" s="106">
        <f t="shared" si="8"/>
        <v>0</v>
      </c>
      <c r="E101" s="106">
        <f t="shared" si="8"/>
        <v>0</v>
      </c>
      <c r="F101" s="106">
        <f t="shared" si="8"/>
        <v>0</v>
      </c>
      <c r="G101" s="153"/>
      <c r="H101" s="153"/>
      <c r="M101" s="64" t="s">
        <v>467</v>
      </c>
      <c r="N101" s="61">
        <f>INDEX(Data!$9:$9,1,MATCH(M101,detail_table[#Headers],0))</f>
        <v>0</v>
      </c>
    </row>
    <row r="102" spans="1:18" ht="26.5" thickBot="1" x14ac:dyDescent="0.4">
      <c r="A102" s="52" t="s">
        <v>138</v>
      </c>
      <c r="B102" s="105">
        <f t="shared" si="8"/>
        <v>0</v>
      </c>
      <c r="C102" s="106">
        <f t="shared" si="8"/>
        <v>0</v>
      </c>
      <c r="D102" s="106">
        <f t="shared" si="8"/>
        <v>0</v>
      </c>
      <c r="E102" s="106">
        <f t="shared" si="8"/>
        <v>0</v>
      </c>
      <c r="F102" s="106">
        <f t="shared" si="8"/>
        <v>0</v>
      </c>
      <c r="G102" s="153"/>
      <c r="H102" s="153"/>
      <c r="M102" s="64" t="s">
        <v>468</v>
      </c>
      <c r="N102" s="61">
        <f>INDEX(Data!$9:$9,1,MATCH(M102,detail_table[#Headers],0))</f>
        <v>0</v>
      </c>
    </row>
    <row r="103" spans="1:18" ht="15" thickBot="1" x14ac:dyDescent="0.4">
      <c r="A103" s="52" t="s">
        <v>139</v>
      </c>
      <c r="B103" s="105">
        <f t="shared" si="8"/>
        <v>0</v>
      </c>
      <c r="C103" s="106">
        <f t="shared" si="8"/>
        <v>0</v>
      </c>
      <c r="D103" s="106">
        <f t="shared" si="8"/>
        <v>0</v>
      </c>
      <c r="E103" s="106">
        <f t="shared" si="8"/>
        <v>0</v>
      </c>
      <c r="F103" s="106">
        <f t="shared" si="8"/>
        <v>0</v>
      </c>
      <c r="G103" s="153"/>
      <c r="H103" s="153"/>
      <c r="M103" s="64" t="s">
        <v>469</v>
      </c>
      <c r="N103" s="61">
        <f>INDEX(Data!$9:$9,1,MATCH(M103,detail_table[#Headers],0))</f>
        <v>0</v>
      </c>
      <c r="Q103" s="62"/>
    </row>
    <row r="104" spans="1:18" ht="15" thickBot="1" x14ac:dyDescent="0.4">
      <c r="A104" s="52" t="s">
        <v>140</v>
      </c>
      <c r="B104" s="105">
        <f t="shared" si="8"/>
        <v>0</v>
      </c>
      <c r="C104" s="106">
        <f t="shared" si="8"/>
        <v>0</v>
      </c>
      <c r="D104" s="106">
        <f t="shared" si="8"/>
        <v>0</v>
      </c>
      <c r="E104" s="106">
        <f t="shared" si="8"/>
        <v>0</v>
      </c>
      <c r="F104" s="106">
        <f t="shared" si="8"/>
        <v>0</v>
      </c>
      <c r="G104" s="153"/>
      <c r="H104" s="153"/>
      <c r="J104" s="62"/>
      <c r="M104" s="64" t="s">
        <v>470</v>
      </c>
      <c r="N104" s="61">
        <f>INDEX(Data!$9:$9,1,MATCH(M104,detail_table[#Headers],0))</f>
        <v>0</v>
      </c>
      <c r="R104" s="62"/>
    </row>
    <row r="105" spans="1:18" ht="15" thickBot="1" x14ac:dyDescent="0.4">
      <c r="A105" s="52" t="s">
        <v>141</v>
      </c>
      <c r="B105" s="105">
        <f t="shared" si="8"/>
        <v>0</v>
      </c>
      <c r="C105" s="106">
        <f t="shared" si="8"/>
        <v>0</v>
      </c>
      <c r="D105" s="106">
        <f t="shared" si="8"/>
        <v>0</v>
      </c>
      <c r="E105" s="106">
        <f t="shared" si="8"/>
        <v>0</v>
      </c>
      <c r="F105" s="106">
        <f t="shared" si="8"/>
        <v>0</v>
      </c>
      <c r="G105" s="153"/>
      <c r="H105" s="153"/>
      <c r="M105" s="64" t="s">
        <v>471</v>
      </c>
      <c r="N105" s="61">
        <f>INDEX(Data!$9:$9,1,MATCH(M105,detail_table[#Headers],0))</f>
        <v>0</v>
      </c>
    </row>
    <row r="106" spans="1:18" s="62" customFormat="1" ht="15" thickBot="1" x14ac:dyDescent="0.4">
      <c r="A106" s="2" t="s">
        <v>142</v>
      </c>
      <c r="B106" s="105">
        <f t="shared" si="8"/>
        <v>0</v>
      </c>
      <c r="C106" s="105">
        <f t="shared" si="8"/>
        <v>0</v>
      </c>
      <c r="D106" s="105">
        <f t="shared" si="8"/>
        <v>0</v>
      </c>
      <c r="E106" s="105">
        <f t="shared" si="8"/>
        <v>0</v>
      </c>
      <c r="F106" s="105">
        <f t="shared" si="8"/>
        <v>0</v>
      </c>
      <c r="G106" s="153"/>
      <c r="H106" s="153"/>
      <c r="J106" s="61"/>
      <c r="K106" s="61"/>
      <c r="L106" s="61"/>
      <c r="M106" s="64" t="s">
        <v>472</v>
      </c>
      <c r="N106" s="61">
        <f>INDEX(Data!$9:$9,1,MATCH(M106,detail_table[#Headers],0))</f>
        <v>0</v>
      </c>
      <c r="O106" s="61"/>
      <c r="Q106" s="61"/>
      <c r="R106" s="61"/>
    </row>
    <row r="107" spans="1:18" x14ac:dyDescent="0.35">
      <c r="A107" s="38"/>
      <c r="B107" s="226"/>
      <c r="C107" s="226"/>
      <c r="D107" s="226"/>
      <c r="E107" s="226"/>
      <c r="F107" s="226"/>
      <c r="G107" s="153"/>
      <c r="H107" s="153"/>
      <c r="M107" s="64" t="s">
        <v>473</v>
      </c>
      <c r="N107" s="61">
        <f>INDEX(Data!$9:$9,1,MATCH(M107,detail_table[#Headers],0))</f>
        <v>0</v>
      </c>
    </row>
    <row r="108" spans="1:18" ht="26.5" thickBot="1" x14ac:dyDescent="0.4">
      <c r="A108" s="186" t="s">
        <v>114</v>
      </c>
      <c r="B108" s="153" t="s">
        <v>78</v>
      </c>
      <c r="C108" s="153"/>
      <c r="D108" s="153"/>
      <c r="E108" s="153"/>
      <c r="F108" s="153"/>
      <c r="G108" s="153"/>
      <c r="H108" s="153"/>
      <c r="M108" s="64" t="s">
        <v>474</v>
      </c>
      <c r="N108" s="61">
        <f>INDEX(Data!$9:$9,1,MATCH(M108,detail_table[#Headers],0))</f>
        <v>0</v>
      </c>
    </row>
    <row r="109" spans="1:18" ht="52.5" thickBot="1" x14ac:dyDescent="0.4">
      <c r="A109" s="23"/>
      <c r="B109" s="3" t="s">
        <v>8</v>
      </c>
      <c r="C109" s="3" t="s">
        <v>182</v>
      </c>
      <c r="D109" s="3" t="s">
        <v>183</v>
      </c>
      <c r="E109" s="3" t="s">
        <v>184</v>
      </c>
      <c r="F109" s="3" t="s">
        <v>185</v>
      </c>
      <c r="G109" s="3" t="s">
        <v>186</v>
      </c>
      <c r="H109" s="3" t="s">
        <v>187</v>
      </c>
      <c r="M109" s="64" t="s">
        <v>475</v>
      </c>
      <c r="N109" s="61">
        <f>INDEX(Data!$9:$9,1,MATCH(M109,detail_table[#Headers],0))</f>
        <v>0</v>
      </c>
    </row>
    <row r="110" spans="1:18" ht="15" thickBot="1" x14ac:dyDescent="0.4">
      <c r="A110" s="23" t="s">
        <v>152</v>
      </c>
      <c r="B110" s="105">
        <f t="shared" ref="B110:H117" si="9">INDEX($N$2:$N$1687,MATCH($B$108&amp;" | "&amp;$A110&amp;" | "&amp;B$109,$M$2:$M$1687,0))</f>
        <v>0</v>
      </c>
      <c r="C110" s="106">
        <f t="shared" si="9"/>
        <v>0</v>
      </c>
      <c r="D110" s="106">
        <f t="shared" si="9"/>
        <v>0</v>
      </c>
      <c r="E110" s="106">
        <f t="shared" si="9"/>
        <v>0</v>
      </c>
      <c r="F110" s="106">
        <f t="shared" si="9"/>
        <v>0</v>
      </c>
      <c r="G110" s="106">
        <f t="shared" si="9"/>
        <v>0</v>
      </c>
      <c r="H110" s="106">
        <f t="shared" si="9"/>
        <v>0</v>
      </c>
      <c r="M110" s="64" t="s">
        <v>476</v>
      </c>
      <c r="N110" s="61">
        <f>INDEX(Data!$9:$9,1,MATCH(M110,detail_table[#Headers],0))</f>
        <v>0</v>
      </c>
    </row>
    <row r="111" spans="1:18" ht="15" thickBot="1" x14ac:dyDescent="0.4">
      <c r="A111" s="23" t="s">
        <v>153</v>
      </c>
      <c r="B111" s="105">
        <f t="shared" si="9"/>
        <v>0</v>
      </c>
      <c r="C111" s="106">
        <f t="shared" si="9"/>
        <v>0</v>
      </c>
      <c r="D111" s="106">
        <f t="shared" si="9"/>
        <v>0</v>
      </c>
      <c r="E111" s="106">
        <f t="shared" si="9"/>
        <v>0</v>
      </c>
      <c r="F111" s="106">
        <f t="shared" si="9"/>
        <v>0</v>
      </c>
      <c r="G111" s="106">
        <f t="shared" si="9"/>
        <v>0</v>
      </c>
      <c r="H111" s="106">
        <f t="shared" si="9"/>
        <v>0</v>
      </c>
      <c r="M111" s="64" t="s">
        <v>477</v>
      </c>
      <c r="N111" s="61">
        <f>INDEX(Data!$9:$9,1,MATCH(M111,detail_table[#Headers],0))</f>
        <v>0</v>
      </c>
    </row>
    <row r="112" spans="1:18" ht="26.5" thickBot="1" x14ac:dyDescent="0.4">
      <c r="A112" s="52" t="s">
        <v>154</v>
      </c>
      <c r="B112" s="105">
        <f t="shared" si="9"/>
        <v>0</v>
      </c>
      <c r="C112" s="106">
        <f t="shared" si="9"/>
        <v>0</v>
      </c>
      <c r="D112" s="106">
        <f t="shared" si="9"/>
        <v>0</v>
      </c>
      <c r="E112" s="106">
        <f t="shared" si="9"/>
        <v>0</v>
      </c>
      <c r="F112" s="106">
        <f t="shared" si="9"/>
        <v>0</v>
      </c>
      <c r="G112" s="106">
        <f t="shared" si="9"/>
        <v>0</v>
      </c>
      <c r="H112" s="106">
        <f t="shared" si="9"/>
        <v>0</v>
      </c>
      <c r="M112" s="64" t="s">
        <v>478</v>
      </c>
      <c r="N112" s="61">
        <f>INDEX(Data!$9:$9,1,MATCH(M112,detail_table[#Headers],0))</f>
        <v>0</v>
      </c>
    </row>
    <row r="113" spans="1:18" ht="26.5" thickBot="1" x14ac:dyDescent="0.4">
      <c r="A113" s="52" t="s">
        <v>138</v>
      </c>
      <c r="B113" s="105">
        <f t="shared" si="9"/>
        <v>0</v>
      </c>
      <c r="C113" s="106">
        <f t="shared" si="9"/>
        <v>0</v>
      </c>
      <c r="D113" s="106">
        <f t="shared" si="9"/>
        <v>0</v>
      </c>
      <c r="E113" s="106">
        <f t="shared" si="9"/>
        <v>0</v>
      </c>
      <c r="F113" s="106">
        <f t="shared" si="9"/>
        <v>0</v>
      </c>
      <c r="G113" s="106">
        <f t="shared" si="9"/>
        <v>0</v>
      </c>
      <c r="H113" s="106">
        <f t="shared" si="9"/>
        <v>0</v>
      </c>
      <c r="M113" s="64" t="s">
        <v>479</v>
      </c>
      <c r="N113" s="61">
        <f>INDEX(Data!$9:$9,1,MATCH(M113,detail_table[#Headers],0))</f>
        <v>0</v>
      </c>
    </row>
    <row r="114" spans="1:18" ht="15" thickBot="1" x14ac:dyDescent="0.4">
      <c r="A114" s="52" t="s">
        <v>139</v>
      </c>
      <c r="B114" s="105">
        <f t="shared" si="9"/>
        <v>0</v>
      </c>
      <c r="C114" s="106">
        <f t="shared" si="9"/>
        <v>0</v>
      </c>
      <c r="D114" s="106">
        <f t="shared" si="9"/>
        <v>0</v>
      </c>
      <c r="E114" s="106">
        <f t="shared" si="9"/>
        <v>0</v>
      </c>
      <c r="F114" s="106">
        <f t="shared" si="9"/>
        <v>0</v>
      </c>
      <c r="G114" s="106">
        <f t="shared" si="9"/>
        <v>0</v>
      </c>
      <c r="H114" s="106">
        <f t="shared" si="9"/>
        <v>0</v>
      </c>
      <c r="M114" s="64" t="s">
        <v>480</v>
      </c>
      <c r="N114" s="61">
        <f>INDEX(Data!$9:$9,1,MATCH(M114,detail_table[#Headers],0))</f>
        <v>0</v>
      </c>
    </row>
    <row r="115" spans="1:18" ht="15" thickBot="1" x14ac:dyDescent="0.4">
      <c r="A115" s="52" t="s">
        <v>140</v>
      </c>
      <c r="B115" s="105">
        <f t="shared" si="9"/>
        <v>0</v>
      </c>
      <c r="C115" s="106">
        <f t="shared" si="9"/>
        <v>0</v>
      </c>
      <c r="D115" s="106">
        <f t="shared" si="9"/>
        <v>0</v>
      </c>
      <c r="E115" s="106">
        <f t="shared" si="9"/>
        <v>0</v>
      </c>
      <c r="F115" s="106">
        <f t="shared" si="9"/>
        <v>0</v>
      </c>
      <c r="G115" s="106">
        <f t="shared" si="9"/>
        <v>0</v>
      </c>
      <c r="H115" s="106">
        <f t="shared" si="9"/>
        <v>0</v>
      </c>
      <c r="M115" s="64" t="s">
        <v>481</v>
      </c>
      <c r="N115" s="61">
        <f>INDEX(Data!$9:$9,1,MATCH(M115,detail_table[#Headers],0))</f>
        <v>0</v>
      </c>
    </row>
    <row r="116" spans="1:18" ht="15" thickBot="1" x14ac:dyDescent="0.4">
      <c r="A116" s="52" t="s">
        <v>141</v>
      </c>
      <c r="B116" s="105">
        <f t="shared" si="9"/>
        <v>0</v>
      </c>
      <c r="C116" s="106">
        <f t="shared" si="9"/>
        <v>0</v>
      </c>
      <c r="D116" s="106">
        <f t="shared" si="9"/>
        <v>0</v>
      </c>
      <c r="E116" s="106">
        <f t="shared" si="9"/>
        <v>0</v>
      </c>
      <c r="F116" s="106">
        <f t="shared" si="9"/>
        <v>0</v>
      </c>
      <c r="G116" s="106">
        <f t="shared" si="9"/>
        <v>0</v>
      </c>
      <c r="H116" s="106">
        <f t="shared" si="9"/>
        <v>0</v>
      </c>
      <c r="M116" s="64" t="s">
        <v>482</v>
      </c>
      <c r="N116" s="61">
        <f>INDEX(Data!$9:$9,1,MATCH(M116,detail_table[#Headers],0))</f>
        <v>0</v>
      </c>
    </row>
    <row r="117" spans="1:18" ht="15" thickBot="1" x14ac:dyDescent="0.4">
      <c r="A117" s="2" t="s">
        <v>2046</v>
      </c>
      <c r="B117" s="105">
        <f t="shared" si="9"/>
        <v>0</v>
      </c>
      <c r="C117" s="105">
        <f t="shared" si="9"/>
        <v>0</v>
      </c>
      <c r="D117" s="105">
        <f t="shared" si="9"/>
        <v>0</v>
      </c>
      <c r="E117" s="105">
        <f t="shared" si="9"/>
        <v>0</v>
      </c>
      <c r="F117" s="105">
        <f t="shared" si="9"/>
        <v>0</v>
      </c>
      <c r="G117" s="105">
        <f t="shared" si="9"/>
        <v>0</v>
      </c>
      <c r="H117" s="105">
        <f t="shared" si="9"/>
        <v>0</v>
      </c>
      <c r="M117" s="64" t="s">
        <v>483</v>
      </c>
      <c r="N117" s="61">
        <f>INDEX(Data!$9:$9,1,MATCH(M117,detail_table[#Headers],0))</f>
        <v>0</v>
      </c>
    </row>
    <row r="118" spans="1:18" x14ac:dyDescent="0.35">
      <c r="A118" s="60"/>
      <c r="B118" s="59"/>
      <c r="C118" s="59"/>
      <c r="D118" s="59"/>
      <c r="E118" s="59"/>
      <c r="F118" s="59"/>
      <c r="G118" s="59"/>
      <c r="H118" s="59"/>
      <c r="M118" s="64" t="s">
        <v>484</v>
      </c>
      <c r="N118" s="61">
        <f>INDEX(Data!$9:$9,1,MATCH(M118,detail_table[#Headers],0))</f>
        <v>0</v>
      </c>
    </row>
    <row r="119" spans="1:18" ht="15" thickBot="1" x14ac:dyDescent="0.4">
      <c r="A119" s="189" t="s">
        <v>115</v>
      </c>
      <c r="B119" s="153" t="s">
        <v>79</v>
      </c>
      <c r="C119" s="153"/>
      <c r="D119" s="153"/>
      <c r="E119" s="153"/>
      <c r="F119" s="153"/>
      <c r="G119" s="153"/>
      <c r="H119" s="153"/>
      <c r="M119" s="64" t="s">
        <v>485</v>
      </c>
      <c r="N119" s="61">
        <f>INDEX(Data!$9:$9,1,MATCH(M119,detail_table[#Headers],0))</f>
        <v>0</v>
      </c>
    </row>
    <row r="120" spans="1:18" ht="52.5" thickBot="1" x14ac:dyDescent="0.4">
      <c r="A120" s="23"/>
      <c r="B120" s="3" t="s">
        <v>8</v>
      </c>
      <c r="C120" s="3" t="s">
        <v>0</v>
      </c>
      <c r="D120" s="3" t="s">
        <v>1</v>
      </c>
      <c r="E120" s="3" t="s">
        <v>2</v>
      </c>
      <c r="F120" s="3" t="s">
        <v>3</v>
      </c>
      <c r="G120" s="153"/>
      <c r="H120" s="153"/>
      <c r="M120" s="64" t="s">
        <v>486</v>
      </c>
      <c r="N120" s="61">
        <f>INDEX(Data!$9:$9,1,MATCH(M120,detail_table[#Headers],0))</f>
        <v>0</v>
      </c>
    </row>
    <row r="121" spans="1:18" ht="15" thickBot="1" x14ac:dyDescent="0.4">
      <c r="A121" s="23" t="s">
        <v>192</v>
      </c>
      <c r="B121" s="180">
        <f t="shared" ref="B121:F132" si="10">INDEX($N$2:$N$1687,MATCH($B$119&amp;" | "&amp;$A121&amp;" | "&amp;B$120,$M$2:$M$1687,0))</f>
        <v>0</v>
      </c>
      <c r="C121" s="181">
        <f t="shared" si="10"/>
        <v>0</v>
      </c>
      <c r="D121" s="181">
        <f t="shared" si="10"/>
        <v>0</v>
      </c>
      <c r="E121" s="181">
        <f t="shared" si="10"/>
        <v>0</v>
      </c>
      <c r="F121" s="181">
        <f t="shared" si="10"/>
        <v>0</v>
      </c>
      <c r="G121" s="153"/>
      <c r="H121" s="153"/>
      <c r="M121" s="64" t="s">
        <v>487</v>
      </c>
      <c r="N121" s="61">
        <f>INDEX(Data!$9:$9,1,MATCH(M121,detail_table[#Headers],0))</f>
        <v>0</v>
      </c>
    </row>
    <row r="122" spans="1:18" ht="15" thickBot="1" x14ac:dyDescent="0.4">
      <c r="A122" s="111" t="s">
        <v>193</v>
      </c>
      <c r="B122" s="180">
        <f t="shared" si="10"/>
        <v>0</v>
      </c>
      <c r="C122" s="181">
        <f t="shared" si="10"/>
        <v>0</v>
      </c>
      <c r="D122" s="181">
        <f t="shared" si="10"/>
        <v>0</v>
      </c>
      <c r="E122" s="181">
        <f t="shared" si="10"/>
        <v>0</v>
      </c>
      <c r="F122" s="181">
        <f t="shared" si="10"/>
        <v>0</v>
      </c>
      <c r="G122" s="153"/>
      <c r="H122" s="153"/>
      <c r="M122" s="64" t="s">
        <v>488</v>
      </c>
      <c r="N122" s="61">
        <f>INDEX(Data!$9:$9,1,MATCH(M122,detail_table[#Headers],0))</f>
        <v>0</v>
      </c>
    </row>
    <row r="123" spans="1:18" ht="15" thickBot="1" x14ac:dyDescent="0.4">
      <c r="A123" s="23" t="s">
        <v>194</v>
      </c>
      <c r="B123" s="180">
        <f t="shared" si="10"/>
        <v>0</v>
      </c>
      <c r="C123" s="181">
        <f t="shared" si="10"/>
        <v>0</v>
      </c>
      <c r="D123" s="181">
        <f t="shared" si="10"/>
        <v>0</v>
      </c>
      <c r="E123" s="181">
        <f t="shared" si="10"/>
        <v>0</v>
      </c>
      <c r="F123" s="181">
        <f t="shared" si="10"/>
        <v>0</v>
      </c>
      <c r="G123" s="153"/>
      <c r="H123" s="153"/>
      <c r="M123" s="64" t="s">
        <v>489</v>
      </c>
      <c r="N123" s="61">
        <f>INDEX(Data!$9:$9,1,MATCH(M123,detail_table[#Headers],0))</f>
        <v>0</v>
      </c>
    </row>
    <row r="124" spans="1:18" ht="15" thickBot="1" x14ac:dyDescent="0.4">
      <c r="A124" s="23" t="s">
        <v>195</v>
      </c>
      <c r="B124" s="180">
        <f t="shared" si="10"/>
        <v>0</v>
      </c>
      <c r="C124" s="181">
        <f t="shared" si="10"/>
        <v>0</v>
      </c>
      <c r="D124" s="181">
        <f t="shared" si="10"/>
        <v>0</v>
      </c>
      <c r="E124" s="181">
        <f t="shared" si="10"/>
        <v>0</v>
      </c>
      <c r="F124" s="181">
        <f t="shared" si="10"/>
        <v>0</v>
      </c>
      <c r="G124" s="153"/>
      <c r="H124" s="153"/>
      <c r="M124" s="64" t="s">
        <v>490</v>
      </c>
      <c r="N124" s="61">
        <f>INDEX(Data!$9:$9,1,MATCH(M124,detail_table[#Headers],0))</f>
        <v>0</v>
      </c>
      <c r="Q124" s="62"/>
    </row>
    <row r="125" spans="1:18" ht="15" thickBot="1" x14ac:dyDescent="0.4">
      <c r="A125" s="23" t="s">
        <v>196</v>
      </c>
      <c r="B125" s="180">
        <f t="shared" si="10"/>
        <v>0</v>
      </c>
      <c r="C125" s="181">
        <f t="shared" si="10"/>
        <v>0</v>
      </c>
      <c r="D125" s="181">
        <f t="shared" si="10"/>
        <v>0</v>
      </c>
      <c r="E125" s="181">
        <f t="shared" si="10"/>
        <v>0</v>
      </c>
      <c r="F125" s="181">
        <f t="shared" si="10"/>
        <v>0</v>
      </c>
      <c r="G125" s="153"/>
      <c r="H125" s="153"/>
      <c r="M125" s="64" t="s">
        <v>491</v>
      </c>
      <c r="N125" s="61">
        <f>INDEX(Data!$9:$9,1,MATCH(M125,detail_table[#Headers],0))</f>
        <v>0</v>
      </c>
    </row>
    <row r="126" spans="1:18" ht="15" thickBot="1" x14ac:dyDescent="0.4">
      <c r="A126" s="23" t="s">
        <v>197</v>
      </c>
      <c r="B126" s="180">
        <f t="shared" si="10"/>
        <v>0</v>
      </c>
      <c r="C126" s="181">
        <f t="shared" si="10"/>
        <v>0</v>
      </c>
      <c r="D126" s="181">
        <f t="shared" si="10"/>
        <v>0</v>
      </c>
      <c r="E126" s="181">
        <f t="shared" si="10"/>
        <v>0</v>
      </c>
      <c r="F126" s="181">
        <f t="shared" si="10"/>
        <v>0</v>
      </c>
      <c r="G126" s="153"/>
      <c r="H126" s="153"/>
      <c r="J126" s="62"/>
      <c r="M126" s="64" t="s">
        <v>492</v>
      </c>
      <c r="N126" s="61">
        <f>INDEX(Data!$9:$9,1,MATCH(M126,detail_table[#Headers],0))</f>
        <v>0</v>
      </c>
      <c r="R126" s="62"/>
    </row>
    <row r="127" spans="1:18" ht="15" thickBot="1" x14ac:dyDescent="0.4">
      <c r="A127" s="23" t="s">
        <v>198</v>
      </c>
      <c r="B127" s="180">
        <f t="shared" si="10"/>
        <v>0</v>
      </c>
      <c r="C127" s="181">
        <f t="shared" si="10"/>
        <v>0</v>
      </c>
      <c r="D127" s="181">
        <f t="shared" si="10"/>
        <v>0</v>
      </c>
      <c r="E127" s="181">
        <f t="shared" si="10"/>
        <v>0</v>
      </c>
      <c r="F127" s="181">
        <f t="shared" si="10"/>
        <v>0</v>
      </c>
      <c r="G127" s="153"/>
      <c r="H127" s="153"/>
      <c r="I127" s="62"/>
      <c r="M127" s="64" t="s">
        <v>493</v>
      </c>
      <c r="N127" s="61">
        <f>INDEX(Data!$9:$9,1,MATCH(M127,detail_table[#Headers],0))</f>
        <v>0</v>
      </c>
    </row>
    <row r="128" spans="1:18" s="62" customFormat="1" ht="15" thickBot="1" x14ac:dyDescent="0.4">
      <c r="A128" s="23" t="s">
        <v>199</v>
      </c>
      <c r="B128" s="180">
        <f t="shared" si="10"/>
        <v>0</v>
      </c>
      <c r="C128" s="181">
        <f t="shared" si="10"/>
        <v>0</v>
      </c>
      <c r="D128" s="181">
        <f t="shared" si="10"/>
        <v>0</v>
      </c>
      <c r="E128" s="181">
        <f t="shared" si="10"/>
        <v>0</v>
      </c>
      <c r="F128" s="181">
        <f t="shared" si="10"/>
        <v>0</v>
      </c>
      <c r="G128" s="153"/>
      <c r="H128" s="153"/>
      <c r="I128" s="61"/>
      <c r="J128" s="61"/>
      <c r="K128" s="61"/>
      <c r="L128" s="61"/>
      <c r="M128" s="64" t="s">
        <v>494</v>
      </c>
      <c r="N128" s="61">
        <f>INDEX(Data!$9:$9,1,MATCH(M128,detail_table[#Headers],0))</f>
        <v>0</v>
      </c>
      <c r="O128" s="61"/>
      <c r="Q128" s="61"/>
      <c r="R128" s="61"/>
    </row>
    <row r="129" spans="1:18" ht="15" thickBot="1" x14ac:dyDescent="0.4">
      <c r="A129" s="23" t="s">
        <v>200</v>
      </c>
      <c r="B129" s="180">
        <f t="shared" si="10"/>
        <v>0</v>
      </c>
      <c r="C129" s="181">
        <f t="shared" si="10"/>
        <v>0</v>
      </c>
      <c r="D129" s="181">
        <f t="shared" si="10"/>
        <v>0</v>
      </c>
      <c r="E129" s="181">
        <f t="shared" si="10"/>
        <v>0</v>
      </c>
      <c r="F129" s="181">
        <f t="shared" si="10"/>
        <v>0</v>
      </c>
      <c r="G129" s="153"/>
      <c r="H129" s="153"/>
      <c r="M129" s="64" t="s">
        <v>495</v>
      </c>
      <c r="N129" s="61">
        <f>INDEX(Data!$9:$9,1,MATCH(M129,detail_table[#Headers],0))</f>
        <v>0</v>
      </c>
    </row>
    <row r="130" spans="1:18" ht="15" thickBot="1" x14ac:dyDescent="0.4">
      <c r="A130" s="23" t="s">
        <v>201</v>
      </c>
      <c r="B130" s="180">
        <f t="shared" si="10"/>
        <v>0</v>
      </c>
      <c r="C130" s="181">
        <f t="shared" si="10"/>
        <v>0</v>
      </c>
      <c r="D130" s="181">
        <f t="shared" si="10"/>
        <v>0</v>
      </c>
      <c r="E130" s="181">
        <f t="shared" si="10"/>
        <v>0</v>
      </c>
      <c r="F130" s="181">
        <f t="shared" si="10"/>
        <v>0</v>
      </c>
      <c r="G130" s="153"/>
      <c r="H130" s="153"/>
      <c r="M130" s="64" t="s">
        <v>496</v>
      </c>
      <c r="N130" s="61">
        <f>INDEX(Data!$9:$9,1,MATCH(M130,detail_table[#Headers],0))</f>
        <v>0</v>
      </c>
    </row>
    <row r="131" spans="1:18" ht="15" thickBot="1" x14ac:dyDescent="0.4">
      <c r="A131" s="23" t="s">
        <v>202</v>
      </c>
      <c r="B131" s="180">
        <f t="shared" si="10"/>
        <v>0</v>
      </c>
      <c r="C131" s="181">
        <f t="shared" si="10"/>
        <v>0</v>
      </c>
      <c r="D131" s="181">
        <f t="shared" si="10"/>
        <v>0</v>
      </c>
      <c r="E131" s="181">
        <f t="shared" si="10"/>
        <v>0</v>
      </c>
      <c r="F131" s="181">
        <f t="shared" si="10"/>
        <v>0</v>
      </c>
      <c r="G131" s="153"/>
      <c r="H131" s="153"/>
      <c r="M131" s="64" t="s">
        <v>497</v>
      </c>
      <c r="N131" s="61">
        <f>INDEX(Data!$9:$9,1,MATCH(M131,detail_table[#Headers],0))</f>
        <v>0</v>
      </c>
    </row>
    <row r="132" spans="1:18" ht="15" thickBot="1" x14ac:dyDescent="0.4">
      <c r="A132" s="1" t="s">
        <v>203</v>
      </c>
      <c r="B132" s="180">
        <f t="shared" si="10"/>
        <v>0</v>
      </c>
      <c r="C132" s="180">
        <f t="shared" si="10"/>
        <v>0</v>
      </c>
      <c r="D132" s="180">
        <f t="shared" si="10"/>
        <v>0</v>
      </c>
      <c r="E132" s="180">
        <f t="shared" si="10"/>
        <v>0</v>
      </c>
      <c r="F132" s="180">
        <f t="shared" si="10"/>
        <v>0</v>
      </c>
      <c r="G132" s="153"/>
      <c r="H132" s="153"/>
      <c r="M132" s="64" t="s">
        <v>498</v>
      </c>
      <c r="N132" s="61">
        <f>INDEX(Data!$9:$9,1,MATCH(M132,detail_table[#Headers],0))</f>
        <v>0</v>
      </c>
    </row>
    <row r="133" spans="1:18" x14ac:dyDescent="0.35">
      <c r="A133" s="60"/>
      <c r="B133" s="57"/>
      <c r="C133" s="57"/>
      <c r="D133" s="57"/>
      <c r="E133" s="57"/>
      <c r="F133" s="57"/>
      <c r="G133" s="194"/>
      <c r="H133" s="194"/>
      <c r="M133" s="64" t="s">
        <v>499</v>
      </c>
      <c r="N133" s="61">
        <f>INDEX(Data!$9:$9,1,MATCH(M133,detail_table[#Headers],0))</f>
        <v>0</v>
      </c>
    </row>
    <row r="134" spans="1:18" x14ac:dyDescent="0.35">
      <c r="A134" s="227" t="s">
        <v>62</v>
      </c>
      <c r="B134" s="153"/>
      <c r="C134" s="153"/>
      <c r="D134" s="153"/>
      <c r="E134" s="153"/>
      <c r="F134" s="153"/>
      <c r="G134" s="153"/>
      <c r="H134" s="153"/>
      <c r="L134" s="62"/>
      <c r="M134" s="64" t="s">
        <v>500</v>
      </c>
      <c r="N134" s="61">
        <f>INDEX(Data!$9:$9,1,MATCH(M134,detail_table[#Headers],0))</f>
        <v>0</v>
      </c>
    </row>
    <row r="135" spans="1:18" ht="15" thickBot="1" x14ac:dyDescent="0.4">
      <c r="A135" s="186" t="s">
        <v>63</v>
      </c>
      <c r="B135" s="153" t="s">
        <v>80</v>
      </c>
      <c r="C135" s="153"/>
      <c r="D135" s="153"/>
      <c r="E135" s="153"/>
      <c r="F135" s="153"/>
      <c r="G135" s="153"/>
      <c r="H135" s="153"/>
      <c r="K135" s="62"/>
      <c r="M135" s="64" t="s">
        <v>501</v>
      </c>
      <c r="N135" s="61">
        <f>INDEX(Data!$9:$9,1,MATCH(M135,detail_table[#Headers],0))</f>
        <v>0</v>
      </c>
    </row>
    <row r="136" spans="1:18" ht="52.5" thickBot="1" x14ac:dyDescent="0.4">
      <c r="A136" s="23"/>
      <c r="B136" s="4" t="s">
        <v>8</v>
      </c>
      <c r="C136" s="4" t="s">
        <v>0</v>
      </c>
      <c r="D136" s="4" t="s">
        <v>1</v>
      </c>
      <c r="E136" s="4" t="s">
        <v>2</v>
      </c>
      <c r="F136" s="4" t="s">
        <v>3</v>
      </c>
      <c r="G136" s="153"/>
      <c r="H136" s="153"/>
      <c r="M136" s="64" t="s">
        <v>502</v>
      </c>
      <c r="N136" s="61">
        <f>INDEX(Data!$9:$9,1,MATCH(M136,detail_table[#Headers],0))</f>
        <v>0</v>
      </c>
    </row>
    <row r="137" spans="1:18" ht="15" thickBot="1" x14ac:dyDescent="0.4">
      <c r="A137" s="52" t="s">
        <v>204</v>
      </c>
      <c r="B137" s="182">
        <f t="shared" ref="B137:F145" si="11">INDEX($N$2:$N$1687,MATCH($B$135&amp;" | "&amp;$A137&amp;" | "&amp;B$136,$M$2:$M$1687,0))</f>
        <v>0</v>
      </c>
      <c r="C137" s="183">
        <f t="shared" si="11"/>
        <v>0</v>
      </c>
      <c r="D137" s="183">
        <f t="shared" si="11"/>
        <v>0</v>
      </c>
      <c r="E137" s="183">
        <f t="shared" si="11"/>
        <v>0</v>
      </c>
      <c r="F137" s="183">
        <f t="shared" si="11"/>
        <v>0</v>
      </c>
      <c r="G137" s="153"/>
      <c r="H137" s="153"/>
      <c r="M137" s="64" t="s">
        <v>503</v>
      </c>
      <c r="N137" s="61">
        <f>INDEX(Data!$9:$9,1,MATCH(M137,detail_table[#Headers],0))</f>
        <v>0</v>
      </c>
    </row>
    <row r="138" spans="1:18" ht="26.5" thickBot="1" x14ac:dyDescent="0.4">
      <c r="A138" s="52" t="s">
        <v>205</v>
      </c>
      <c r="B138" s="182">
        <f t="shared" si="11"/>
        <v>0</v>
      </c>
      <c r="C138" s="183">
        <f t="shared" si="11"/>
        <v>0</v>
      </c>
      <c r="D138" s="183">
        <f t="shared" si="11"/>
        <v>0</v>
      </c>
      <c r="E138" s="183">
        <f t="shared" si="11"/>
        <v>0</v>
      </c>
      <c r="F138" s="183">
        <f t="shared" si="11"/>
        <v>0</v>
      </c>
      <c r="G138" s="153"/>
      <c r="H138" s="153"/>
      <c r="M138" s="64" t="s">
        <v>504</v>
      </c>
      <c r="N138" s="61">
        <f>INDEX(Data!$9:$9,1,MATCH(M138,detail_table[#Headers],0))</f>
        <v>0</v>
      </c>
      <c r="Q138" s="62"/>
    </row>
    <row r="139" spans="1:18" ht="15" thickBot="1" x14ac:dyDescent="0.4">
      <c r="A139" s="52" t="s">
        <v>206</v>
      </c>
      <c r="B139" s="182">
        <f t="shared" si="11"/>
        <v>0</v>
      </c>
      <c r="C139" s="183">
        <f t="shared" si="11"/>
        <v>0</v>
      </c>
      <c r="D139" s="183">
        <f t="shared" si="11"/>
        <v>0</v>
      </c>
      <c r="E139" s="183">
        <f t="shared" si="11"/>
        <v>0</v>
      </c>
      <c r="F139" s="183">
        <f t="shared" si="11"/>
        <v>0</v>
      </c>
      <c r="G139" s="153"/>
      <c r="H139" s="153"/>
      <c r="M139" s="64" t="s">
        <v>505</v>
      </c>
      <c r="N139" s="61">
        <f>INDEX(Data!$9:$9,1,MATCH(M139,detail_table[#Headers],0))</f>
        <v>0</v>
      </c>
    </row>
    <row r="140" spans="1:18" ht="26.5" thickBot="1" x14ac:dyDescent="0.4">
      <c r="A140" s="52" t="s">
        <v>207</v>
      </c>
      <c r="B140" s="182">
        <f t="shared" si="11"/>
        <v>0</v>
      </c>
      <c r="C140" s="183">
        <f t="shared" si="11"/>
        <v>0</v>
      </c>
      <c r="D140" s="183">
        <f t="shared" si="11"/>
        <v>0</v>
      </c>
      <c r="E140" s="183">
        <f t="shared" si="11"/>
        <v>0</v>
      </c>
      <c r="F140" s="183">
        <f t="shared" si="11"/>
        <v>0</v>
      </c>
      <c r="G140" s="153"/>
      <c r="H140" s="153"/>
      <c r="J140" s="62"/>
      <c r="M140" s="64" t="s">
        <v>506</v>
      </c>
      <c r="N140" s="61">
        <f>INDEX(Data!$9:$9,1,MATCH(M140,detail_table[#Headers],0))</f>
        <v>0</v>
      </c>
    </row>
    <row r="141" spans="1:18" ht="26.5" thickBot="1" x14ac:dyDescent="0.4">
      <c r="A141" s="52" t="s">
        <v>208</v>
      </c>
      <c r="B141" s="182">
        <f t="shared" si="11"/>
        <v>0</v>
      </c>
      <c r="C141" s="183">
        <f t="shared" si="11"/>
        <v>0</v>
      </c>
      <c r="D141" s="183">
        <f t="shared" si="11"/>
        <v>0</v>
      </c>
      <c r="E141" s="183">
        <f t="shared" si="11"/>
        <v>0</v>
      </c>
      <c r="F141" s="183">
        <f t="shared" si="11"/>
        <v>0</v>
      </c>
      <c r="G141" s="153"/>
      <c r="H141" s="153"/>
      <c r="M141" s="64" t="s">
        <v>507</v>
      </c>
      <c r="N141" s="61">
        <f>INDEX(Data!$9:$9,1,MATCH(M141,detail_table[#Headers],0))</f>
        <v>0</v>
      </c>
      <c r="R141" s="62"/>
    </row>
    <row r="142" spans="1:18" ht="15" thickBot="1" x14ac:dyDescent="0.4">
      <c r="A142" s="52" t="s">
        <v>209</v>
      </c>
      <c r="B142" s="182">
        <f t="shared" si="11"/>
        <v>0</v>
      </c>
      <c r="C142" s="183">
        <f t="shared" si="11"/>
        <v>0</v>
      </c>
      <c r="D142" s="183">
        <f t="shared" si="11"/>
        <v>0</v>
      </c>
      <c r="E142" s="183">
        <f t="shared" si="11"/>
        <v>0</v>
      </c>
      <c r="F142" s="183">
        <f t="shared" si="11"/>
        <v>0</v>
      </c>
      <c r="G142" s="153"/>
      <c r="H142" s="153"/>
      <c r="I142" s="62"/>
      <c r="M142" s="64" t="s">
        <v>508</v>
      </c>
      <c r="N142" s="61">
        <f>INDEX(Data!$9:$9,1,MATCH(M142,detail_table[#Headers],0))</f>
        <v>0</v>
      </c>
    </row>
    <row r="143" spans="1:18" s="62" customFormat="1" ht="26.5" thickBot="1" x14ac:dyDescent="0.4">
      <c r="A143" s="52" t="s">
        <v>210</v>
      </c>
      <c r="B143" s="182">
        <f t="shared" si="11"/>
        <v>0</v>
      </c>
      <c r="C143" s="183">
        <f t="shared" si="11"/>
        <v>0</v>
      </c>
      <c r="D143" s="183">
        <f t="shared" si="11"/>
        <v>0</v>
      </c>
      <c r="E143" s="183">
        <f t="shared" si="11"/>
        <v>0</v>
      </c>
      <c r="F143" s="183">
        <f t="shared" si="11"/>
        <v>0</v>
      </c>
      <c r="G143" s="153"/>
      <c r="H143" s="153"/>
      <c r="I143" s="61"/>
      <c r="J143" s="61"/>
      <c r="K143" s="61"/>
      <c r="L143" s="61"/>
      <c r="M143" s="64" t="s">
        <v>509</v>
      </c>
      <c r="N143" s="61">
        <f>INDEX(Data!$9:$9,1,MATCH(M143,detail_table[#Headers],0))</f>
        <v>0</v>
      </c>
      <c r="O143" s="61"/>
      <c r="Q143" s="61"/>
      <c r="R143" s="61"/>
    </row>
    <row r="144" spans="1:18" ht="15" thickBot="1" x14ac:dyDescent="0.4">
      <c r="A144" s="52" t="s">
        <v>211</v>
      </c>
      <c r="B144" s="182">
        <f t="shared" si="11"/>
        <v>0</v>
      </c>
      <c r="C144" s="183">
        <f t="shared" si="11"/>
        <v>0</v>
      </c>
      <c r="D144" s="183">
        <f t="shared" si="11"/>
        <v>0</v>
      </c>
      <c r="E144" s="183">
        <f t="shared" si="11"/>
        <v>0</v>
      </c>
      <c r="F144" s="183">
        <f t="shared" si="11"/>
        <v>0</v>
      </c>
      <c r="G144" s="153"/>
      <c r="H144" s="153"/>
      <c r="M144" s="64" t="s">
        <v>510</v>
      </c>
      <c r="N144" s="177" t="str">
        <f>INDEX(Data!$9:$9,1,MATCH(M144,detail_table[#Headers],0))</f>
        <v>N/A</v>
      </c>
    </row>
    <row r="145" spans="1:18" ht="15" thickBot="1" x14ac:dyDescent="0.4">
      <c r="A145" s="2" t="s">
        <v>212</v>
      </c>
      <c r="B145" s="182">
        <f t="shared" si="11"/>
        <v>0</v>
      </c>
      <c r="C145" s="182">
        <f t="shared" si="11"/>
        <v>0</v>
      </c>
      <c r="D145" s="182">
        <f t="shared" si="11"/>
        <v>0</v>
      </c>
      <c r="E145" s="182">
        <f t="shared" si="11"/>
        <v>0</v>
      </c>
      <c r="F145" s="182">
        <f t="shared" si="11"/>
        <v>0</v>
      </c>
      <c r="G145" s="153"/>
      <c r="H145" s="153"/>
      <c r="M145" s="64" t="s">
        <v>511</v>
      </c>
      <c r="N145" s="177" t="str">
        <f>INDEX(Data!$9:$9,1,MATCH(M145,detail_table[#Headers],0))</f>
        <v>N/A</v>
      </c>
    </row>
    <row r="146" spans="1:18" x14ac:dyDescent="0.35">
      <c r="A146" s="60"/>
      <c r="B146" s="57"/>
      <c r="C146" s="57"/>
      <c r="D146" s="57"/>
      <c r="E146" s="57"/>
      <c r="F146" s="57"/>
      <c r="G146" s="194"/>
      <c r="H146" s="194"/>
      <c r="M146" s="64" t="s">
        <v>512</v>
      </c>
      <c r="N146" s="177" t="str">
        <f>INDEX(Data!$9:$9,1,MATCH(M146,detail_table[#Headers],0))</f>
        <v>N/A</v>
      </c>
    </row>
    <row r="147" spans="1:18" ht="15" thickBot="1" x14ac:dyDescent="0.4">
      <c r="A147" s="186" t="s">
        <v>64</v>
      </c>
      <c r="B147" s="153" t="s">
        <v>81</v>
      </c>
      <c r="C147" s="153"/>
      <c r="D147" s="153"/>
      <c r="E147" s="153"/>
      <c r="F147" s="153"/>
      <c r="G147" s="153"/>
      <c r="H147" s="153"/>
      <c r="M147" s="64" t="s">
        <v>513</v>
      </c>
      <c r="N147" s="177" t="str">
        <f>INDEX(Data!$9:$9,1,MATCH(M147,detail_table[#Headers],0))</f>
        <v>N/A</v>
      </c>
    </row>
    <row r="148" spans="1:18" ht="52.5" thickBot="1" x14ac:dyDescent="0.4">
      <c r="A148" s="23"/>
      <c r="B148" s="3" t="s">
        <v>8</v>
      </c>
      <c r="C148" s="3" t="s">
        <v>0</v>
      </c>
      <c r="D148" s="3" t="s">
        <v>1</v>
      </c>
      <c r="E148" s="3" t="s">
        <v>2</v>
      </c>
      <c r="F148" s="3" t="s">
        <v>3</v>
      </c>
      <c r="G148" s="153"/>
      <c r="H148" s="153"/>
      <c r="M148" s="64" t="s">
        <v>514</v>
      </c>
      <c r="N148" s="177" t="str">
        <f>INDEX(Data!$9:$9,1,MATCH(M148,detail_table[#Headers],0))</f>
        <v>N/A</v>
      </c>
    </row>
    <row r="149" spans="1:18" ht="26.5" thickBot="1" x14ac:dyDescent="0.4">
      <c r="A149" s="23" t="s">
        <v>213</v>
      </c>
      <c r="B149" s="184">
        <f t="shared" ref="B149:F153" si="12">INDEX($N$2:$N$1687,MATCH($B$147&amp;" | "&amp;$A149&amp;" | "&amp;B$148,$M$2:$M$1687,0))</f>
        <v>0</v>
      </c>
      <c r="C149" s="181">
        <f t="shared" si="12"/>
        <v>0</v>
      </c>
      <c r="D149" s="181">
        <f t="shared" si="12"/>
        <v>0</v>
      </c>
      <c r="E149" s="181">
        <f t="shared" si="12"/>
        <v>0</v>
      </c>
      <c r="F149" s="181">
        <f t="shared" si="12"/>
        <v>0</v>
      </c>
      <c r="G149" s="153"/>
      <c r="H149" s="153"/>
      <c r="M149" s="64" t="s">
        <v>515</v>
      </c>
      <c r="N149" s="61">
        <f>INDEX(Data!$9:$9,1,MATCH(M149,detail_table[#Headers],0))</f>
        <v>0</v>
      </c>
    </row>
    <row r="150" spans="1:18" ht="15" thickBot="1" x14ac:dyDescent="0.4">
      <c r="A150" s="23" t="s">
        <v>214</v>
      </c>
      <c r="B150" s="184">
        <f t="shared" si="12"/>
        <v>0</v>
      </c>
      <c r="C150" s="181">
        <f t="shared" si="12"/>
        <v>0</v>
      </c>
      <c r="D150" s="181">
        <f t="shared" si="12"/>
        <v>0</v>
      </c>
      <c r="E150" s="181">
        <f t="shared" si="12"/>
        <v>0</v>
      </c>
      <c r="F150" s="181">
        <f t="shared" si="12"/>
        <v>0</v>
      </c>
      <c r="G150" s="153"/>
      <c r="H150" s="153"/>
      <c r="M150" s="64" t="s">
        <v>516</v>
      </c>
      <c r="N150" s="61">
        <f>INDEX(Data!$9:$9,1,MATCH(M150,detail_table[#Headers],0))</f>
        <v>0</v>
      </c>
      <c r="Q150" s="62"/>
    </row>
    <row r="151" spans="1:18" ht="15" thickBot="1" x14ac:dyDescent="0.4">
      <c r="A151" s="23" t="s">
        <v>157</v>
      </c>
      <c r="B151" s="184">
        <f t="shared" si="12"/>
        <v>0</v>
      </c>
      <c r="C151" s="181">
        <f t="shared" si="12"/>
        <v>0</v>
      </c>
      <c r="D151" s="181">
        <f t="shared" si="12"/>
        <v>0</v>
      </c>
      <c r="E151" s="181">
        <f t="shared" si="12"/>
        <v>0</v>
      </c>
      <c r="F151" s="181">
        <f t="shared" si="12"/>
        <v>0</v>
      </c>
      <c r="G151" s="153"/>
      <c r="H151" s="153"/>
      <c r="M151" s="64" t="s">
        <v>517</v>
      </c>
      <c r="N151" s="61">
        <f>INDEX(Data!$9:$9,1,MATCH(M151,detail_table[#Headers],0))</f>
        <v>0</v>
      </c>
    </row>
    <row r="152" spans="1:18" ht="15" thickBot="1" x14ac:dyDescent="0.4">
      <c r="A152" s="23" t="s">
        <v>143</v>
      </c>
      <c r="B152" s="184">
        <f t="shared" si="12"/>
        <v>0</v>
      </c>
      <c r="C152" s="181">
        <f t="shared" si="12"/>
        <v>0</v>
      </c>
      <c r="D152" s="181">
        <f t="shared" si="12"/>
        <v>0</v>
      </c>
      <c r="E152" s="181">
        <f t="shared" si="12"/>
        <v>0</v>
      </c>
      <c r="F152" s="181">
        <f t="shared" si="12"/>
        <v>0</v>
      </c>
      <c r="G152" s="153"/>
      <c r="H152" s="153"/>
      <c r="M152" s="64" t="s">
        <v>518</v>
      </c>
      <c r="N152" s="61">
        <f>INDEX(Data!$9:$9,1,MATCH(M152,detail_table[#Headers],0))</f>
        <v>0</v>
      </c>
    </row>
    <row r="153" spans="1:18" ht="15" thickBot="1" x14ac:dyDescent="0.4">
      <c r="A153" s="1" t="s">
        <v>144</v>
      </c>
      <c r="B153" s="184">
        <f t="shared" si="12"/>
        <v>0</v>
      </c>
      <c r="C153" s="184">
        <f t="shared" si="12"/>
        <v>0</v>
      </c>
      <c r="D153" s="184">
        <f t="shared" si="12"/>
        <v>0</v>
      </c>
      <c r="E153" s="184">
        <f t="shared" si="12"/>
        <v>0</v>
      </c>
      <c r="F153" s="184">
        <f t="shared" si="12"/>
        <v>0</v>
      </c>
      <c r="G153" s="153"/>
      <c r="H153" s="153"/>
      <c r="J153" s="62"/>
      <c r="M153" s="64" t="s">
        <v>519</v>
      </c>
      <c r="N153" s="61">
        <f>INDEX(Data!$9:$9,1,MATCH(M153,detail_table[#Headers],0))</f>
        <v>0</v>
      </c>
    </row>
    <row r="154" spans="1:18" x14ac:dyDescent="0.35">
      <c r="A154" s="38"/>
      <c r="B154" s="57"/>
      <c r="C154" s="57"/>
      <c r="D154" s="57"/>
      <c r="E154" s="57"/>
      <c r="F154" s="57"/>
      <c r="G154" s="153"/>
      <c r="H154" s="153"/>
      <c r="M154" s="64" t="s">
        <v>520</v>
      </c>
      <c r="N154" s="61">
        <f>INDEX(Data!$9:$9,1,MATCH(M154,detail_table[#Headers],0))</f>
        <v>0</v>
      </c>
      <c r="R154" s="62"/>
    </row>
    <row r="155" spans="1:18" x14ac:dyDescent="0.35">
      <c r="A155" s="247" t="s">
        <v>116</v>
      </c>
      <c r="B155" s="247"/>
      <c r="C155" s="247"/>
      <c r="D155" s="247"/>
      <c r="E155" s="247"/>
      <c r="F155" s="247"/>
      <c r="G155" s="153"/>
      <c r="H155" s="153"/>
      <c r="I155" s="62"/>
      <c r="M155" s="64" t="s">
        <v>521</v>
      </c>
      <c r="N155" s="61">
        <f>INDEX(Data!$9:$9,1,MATCH(M155,detail_table[#Headers],0))</f>
        <v>0</v>
      </c>
    </row>
    <row r="156" spans="1:18" s="62" customFormat="1" ht="39.5" thickBot="1" x14ac:dyDescent="0.4">
      <c r="A156" s="186" t="s">
        <v>117</v>
      </c>
      <c r="B156" s="153" t="s">
        <v>82</v>
      </c>
      <c r="C156" s="153"/>
      <c r="D156" s="153"/>
      <c r="E156" s="153"/>
      <c r="F156" s="153"/>
      <c r="G156" s="153"/>
      <c r="H156" s="153"/>
      <c r="I156" s="61"/>
      <c r="J156" s="61"/>
      <c r="K156" s="61"/>
      <c r="L156" s="61"/>
      <c r="M156" s="64" t="s">
        <v>522</v>
      </c>
      <c r="N156" s="61">
        <f>INDEX(Data!$9:$9,1,MATCH(M156,detail_table[#Headers],0))</f>
        <v>0</v>
      </c>
      <c r="O156" s="61"/>
      <c r="Q156" s="61"/>
      <c r="R156" s="61"/>
    </row>
    <row r="157" spans="1:18" ht="52.5" thickBot="1" x14ac:dyDescent="0.4">
      <c r="A157" s="23"/>
      <c r="B157" s="4" t="s">
        <v>216</v>
      </c>
      <c r="C157" s="4" t="s">
        <v>0</v>
      </c>
      <c r="D157" s="4" t="s">
        <v>1</v>
      </c>
      <c r="E157" s="4" t="s">
        <v>2</v>
      </c>
      <c r="F157" s="4" t="s">
        <v>3</v>
      </c>
      <c r="G157" s="153"/>
      <c r="H157" s="153"/>
      <c r="M157" s="64" t="s">
        <v>523</v>
      </c>
      <c r="N157" s="61">
        <f>INDEX(Data!$9:$9,1,MATCH(M157,detail_table[#Headers],0))</f>
        <v>0</v>
      </c>
    </row>
    <row r="158" spans="1:18" ht="15" thickBot="1" x14ac:dyDescent="0.4">
      <c r="A158" s="52" t="s">
        <v>215</v>
      </c>
      <c r="B158" s="107">
        <f t="shared" ref="B158:F165" si="13">INDEX($N$2:$N$1687,MATCH($B$156&amp;" | "&amp;$A158&amp;" | "&amp;B$157,$M$2:$M$1687,0))</f>
        <v>0</v>
      </c>
      <c r="C158" s="71">
        <f t="shared" si="13"/>
        <v>0</v>
      </c>
      <c r="D158" s="71">
        <f t="shared" si="13"/>
        <v>0</v>
      </c>
      <c r="E158" s="71">
        <f t="shared" si="13"/>
        <v>0</v>
      </c>
      <c r="F158" s="71">
        <f t="shared" si="13"/>
        <v>0</v>
      </c>
      <c r="G158" s="153"/>
      <c r="H158" s="153"/>
      <c r="M158" s="64" t="s">
        <v>524</v>
      </c>
      <c r="N158" s="61">
        <f>INDEX(Data!$9:$9,1,MATCH(M158,detail_table[#Headers],0))</f>
        <v>0</v>
      </c>
    </row>
    <row r="159" spans="1:18" ht="15" thickBot="1" x14ac:dyDescent="0.4">
      <c r="A159" s="52" t="s">
        <v>217</v>
      </c>
      <c r="B159" s="107">
        <f t="shared" si="13"/>
        <v>0</v>
      </c>
      <c r="C159" s="71">
        <f t="shared" si="13"/>
        <v>0</v>
      </c>
      <c r="D159" s="71">
        <f t="shared" si="13"/>
        <v>0</v>
      </c>
      <c r="E159" s="71">
        <f t="shared" si="13"/>
        <v>0</v>
      </c>
      <c r="F159" s="71">
        <f t="shared" si="13"/>
        <v>0</v>
      </c>
      <c r="G159" s="153"/>
      <c r="H159" s="153"/>
      <c r="M159" s="64" t="s">
        <v>525</v>
      </c>
      <c r="N159" s="61">
        <f>INDEX(Data!$9:$9,1,MATCH(M159,detail_table[#Headers],0))</f>
        <v>0</v>
      </c>
    </row>
    <row r="160" spans="1:18" ht="15" thickBot="1" x14ac:dyDescent="0.4">
      <c r="A160" s="52" t="s">
        <v>218</v>
      </c>
      <c r="B160" s="107">
        <f t="shared" si="13"/>
        <v>0</v>
      </c>
      <c r="C160" s="71">
        <f t="shared" si="13"/>
        <v>0</v>
      </c>
      <c r="D160" s="71">
        <f t="shared" si="13"/>
        <v>0</v>
      </c>
      <c r="E160" s="71">
        <f t="shared" si="13"/>
        <v>0</v>
      </c>
      <c r="F160" s="71">
        <f t="shared" si="13"/>
        <v>0</v>
      </c>
      <c r="G160" s="153"/>
      <c r="H160" s="153"/>
      <c r="M160" s="64" t="s">
        <v>526</v>
      </c>
      <c r="N160" s="61">
        <f>INDEX(Data!$9:$9,1,MATCH(M160,detail_table[#Headers],0))</f>
        <v>0</v>
      </c>
    </row>
    <row r="161" spans="1:14" ht="26.5" thickBot="1" x14ac:dyDescent="0.4">
      <c r="A161" s="52" t="s">
        <v>219</v>
      </c>
      <c r="B161" s="107">
        <f t="shared" si="13"/>
        <v>0</v>
      </c>
      <c r="C161" s="71">
        <f t="shared" si="13"/>
        <v>0</v>
      </c>
      <c r="D161" s="71">
        <f t="shared" si="13"/>
        <v>0</v>
      </c>
      <c r="E161" s="71">
        <f t="shared" si="13"/>
        <v>0</v>
      </c>
      <c r="F161" s="71">
        <f t="shared" si="13"/>
        <v>0</v>
      </c>
      <c r="G161" s="153"/>
      <c r="H161" s="153"/>
      <c r="M161" s="64" t="s">
        <v>527</v>
      </c>
      <c r="N161" s="61">
        <f>INDEX(Data!$9:$9,1,MATCH(M161,detail_table[#Headers],0))</f>
        <v>0</v>
      </c>
    </row>
    <row r="162" spans="1:14" ht="26.5" thickBot="1" x14ac:dyDescent="0.4">
      <c r="A162" s="52" t="s">
        <v>220</v>
      </c>
      <c r="B162" s="107">
        <f t="shared" si="13"/>
        <v>0</v>
      </c>
      <c r="C162" s="71">
        <f t="shared" si="13"/>
        <v>0</v>
      </c>
      <c r="D162" s="71">
        <f t="shared" si="13"/>
        <v>0</v>
      </c>
      <c r="E162" s="71">
        <f t="shared" si="13"/>
        <v>0</v>
      </c>
      <c r="F162" s="71">
        <f t="shared" si="13"/>
        <v>0</v>
      </c>
      <c r="G162" s="153"/>
      <c r="H162" s="153"/>
      <c r="M162" s="64" t="s">
        <v>528</v>
      </c>
      <c r="N162" s="61">
        <f>INDEX(Data!$9:$9,1,MATCH(M162,detail_table[#Headers],0))</f>
        <v>0</v>
      </c>
    </row>
    <row r="163" spans="1:14" ht="26.5" thickBot="1" x14ac:dyDescent="0.4">
      <c r="A163" s="52" t="s">
        <v>221</v>
      </c>
      <c r="B163" s="107">
        <f t="shared" si="13"/>
        <v>0</v>
      </c>
      <c r="C163" s="71">
        <f t="shared" si="13"/>
        <v>0</v>
      </c>
      <c r="D163" s="71">
        <f t="shared" si="13"/>
        <v>0</v>
      </c>
      <c r="E163" s="71">
        <f t="shared" si="13"/>
        <v>0</v>
      </c>
      <c r="F163" s="71">
        <f t="shared" si="13"/>
        <v>0</v>
      </c>
      <c r="G163" s="153"/>
      <c r="H163" s="153"/>
      <c r="M163" s="64" t="s">
        <v>529</v>
      </c>
      <c r="N163" s="61">
        <f>INDEX(Data!$9:$9,1,MATCH(M163,detail_table[#Headers],0))</f>
        <v>0</v>
      </c>
    </row>
    <row r="164" spans="1:14" ht="26.5" thickBot="1" x14ac:dyDescent="0.4">
      <c r="A164" s="52" t="s">
        <v>222</v>
      </c>
      <c r="B164" s="107">
        <f t="shared" si="13"/>
        <v>0</v>
      </c>
      <c r="C164" s="71">
        <f t="shared" si="13"/>
        <v>0</v>
      </c>
      <c r="D164" s="71">
        <f t="shared" si="13"/>
        <v>0</v>
      </c>
      <c r="E164" s="71">
        <f t="shared" si="13"/>
        <v>0</v>
      </c>
      <c r="F164" s="71">
        <f t="shared" si="13"/>
        <v>0</v>
      </c>
      <c r="G164" s="153"/>
      <c r="H164" s="153"/>
      <c r="M164" s="64" t="s">
        <v>530</v>
      </c>
      <c r="N164" s="61">
        <f>INDEX(Data!$9:$9,1,MATCH(M164,detail_table[#Headers],0))</f>
        <v>0</v>
      </c>
    </row>
    <row r="165" spans="1:14" ht="15" thickBot="1" x14ac:dyDescent="0.4">
      <c r="A165" s="52" t="s">
        <v>223</v>
      </c>
      <c r="B165" s="107">
        <f t="shared" si="13"/>
        <v>0</v>
      </c>
      <c r="C165" s="107">
        <f t="shared" si="13"/>
        <v>0</v>
      </c>
      <c r="D165" s="107">
        <f t="shared" si="13"/>
        <v>0</v>
      </c>
      <c r="E165" s="107">
        <f t="shared" si="13"/>
        <v>0</v>
      </c>
      <c r="F165" s="107">
        <f t="shared" si="13"/>
        <v>0</v>
      </c>
      <c r="G165" s="153"/>
      <c r="H165" s="153"/>
      <c r="M165" s="64" t="s">
        <v>531</v>
      </c>
      <c r="N165" s="61">
        <f>INDEX(Data!$9:$9,1,MATCH(M165,detail_table[#Headers],0))</f>
        <v>0</v>
      </c>
    </row>
    <row r="166" spans="1:14" x14ac:dyDescent="0.35">
      <c r="A166" s="56"/>
      <c r="B166" s="59"/>
      <c r="C166" s="56"/>
      <c r="D166" s="56"/>
      <c r="E166" s="56"/>
      <c r="F166" s="56"/>
      <c r="G166" s="153"/>
      <c r="H166" s="153"/>
      <c r="M166" s="64" t="s">
        <v>532</v>
      </c>
      <c r="N166" s="61">
        <f>INDEX(Data!$9:$9,1,MATCH(M166,detail_table[#Headers],0))</f>
        <v>0</v>
      </c>
    </row>
    <row r="167" spans="1:14" ht="39.5" thickBot="1" x14ac:dyDescent="0.4">
      <c r="A167" s="186" t="s">
        <v>118</v>
      </c>
      <c r="B167" s="153" t="s">
        <v>83</v>
      </c>
      <c r="C167" s="153"/>
      <c r="D167" s="153"/>
      <c r="E167" s="153"/>
      <c r="F167" s="153"/>
      <c r="G167" s="153"/>
      <c r="H167" s="153"/>
      <c r="M167" s="64" t="s">
        <v>533</v>
      </c>
      <c r="N167" s="61">
        <f>INDEX(Data!$9:$9,1,MATCH(M167,detail_table[#Headers],0))</f>
        <v>0</v>
      </c>
    </row>
    <row r="168" spans="1:14" ht="52.5" thickBot="1" x14ac:dyDescent="0.4">
      <c r="A168" s="23"/>
      <c r="B168" s="4" t="s">
        <v>216</v>
      </c>
      <c r="C168" s="4" t="s">
        <v>0</v>
      </c>
      <c r="D168" s="4" t="s">
        <v>1</v>
      </c>
      <c r="E168" s="4" t="s">
        <v>2</v>
      </c>
      <c r="F168" s="4" t="s">
        <v>3</v>
      </c>
      <c r="G168" s="153"/>
      <c r="H168" s="153"/>
      <c r="M168" s="64" t="s">
        <v>534</v>
      </c>
      <c r="N168" s="61">
        <f>INDEX(Data!$9:$9,1,MATCH(M168,detail_table[#Headers],0))</f>
        <v>0</v>
      </c>
    </row>
    <row r="169" spans="1:14" ht="15" thickBot="1" x14ac:dyDescent="0.4">
      <c r="A169" s="52" t="s">
        <v>215</v>
      </c>
      <c r="B169" s="102">
        <f t="shared" ref="B169:F176" si="14">INDEX($N$2:$N$1687,MATCH($B$167&amp;" | "&amp;$A169&amp;" | "&amp;B$168,$M$2:$M$1687,0))</f>
        <v>0</v>
      </c>
      <c r="C169" s="71">
        <f t="shared" si="14"/>
        <v>0</v>
      </c>
      <c r="D169" s="71">
        <f t="shared" si="14"/>
        <v>0</v>
      </c>
      <c r="E169" s="71">
        <f t="shared" si="14"/>
        <v>0</v>
      </c>
      <c r="F169" s="71">
        <f t="shared" si="14"/>
        <v>0</v>
      </c>
      <c r="G169" s="153"/>
      <c r="H169" s="153"/>
      <c r="M169" s="64" t="s">
        <v>535</v>
      </c>
      <c r="N169" s="61">
        <f>INDEX(Data!$9:$9,1,MATCH(M169,detail_table[#Headers],0))</f>
        <v>0</v>
      </c>
    </row>
    <row r="170" spans="1:14" ht="15" thickBot="1" x14ac:dyDescent="0.4">
      <c r="A170" s="52" t="s">
        <v>217</v>
      </c>
      <c r="B170" s="102">
        <f t="shared" si="14"/>
        <v>0</v>
      </c>
      <c r="C170" s="71">
        <f t="shared" si="14"/>
        <v>0</v>
      </c>
      <c r="D170" s="71">
        <f t="shared" si="14"/>
        <v>0</v>
      </c>
      <c r="E170" s="71">
        <f t="shared" si="14"/>
        <v>0</v>
      </c>
      <c r="F170" s="71">
        <f t="shared" si="14"/>
        <v>0</v>
      </c>
      <c r="G170" s="153"/>
      <c r="H170" s="153"/>
      <c r="M170" s="64" t="s">
        <v>536</v>
      </c>
      <c r="N170" s="61">
        <f>INDEX(Data!$9:$9,1,MATCH(M170,detail_table[#Headers],0))</f>
        <v>0</v>
      </c>
    </row>
    <row r="171" spans="1:14" ht="15" thickBot="1" x14ac:dyDescent="0.4">
      <c r="A171" s="52" t="s">
        <v>218</v>
      </c>
      <c r="B171" s="102">
        <f t="shared" si="14"/>
        <v>0</v>
      </c>
      <c r="C171" s="71">
        <f t="shared" si="14"/>
        <v>0</v>
      </c>
      <c r="D171" s="71">
        <f t="shared" si="14"/>
        <v>0</v>
      </c>
      <c r="E171" s="71">
        <f t="shared" si="14"/>
        <v>0</v>
      </c>
      <c r="F171" s="71">
        <f t="shared" si="14"/>
        <v>0</v>
      </c>
      <c r="G171" s="153"/>
      <c r="H171" s="153"/>
      <c r="M171" s="64" t="s">
        <v>537</v>
      </c>
      <c r="N171" s="61">
        <f>INDEX(Data!$9:$9,1,MATCH(M171,detail_table[#Headers],0))</f>
        <v>0</v>
      </c>
    </row>
    <row r="172" spans="1:14" ht="26.5" thickBot="1" x14ac:dyDescent="0.4">
      <c r="A172" s="52" t="s">
        <v>219</v>
      </c>
      <c r="B172" s="102">
        <f t="shared" si="14"/>
        <v>0</v>
      </c>
      <c r="C172" s="71">
        <f t="shared" si="14"/>
        <v>0</v>
      </c>
      <c r="D172" s="71">
        <f t="shared" si="14"/>
        <v>0</v>
      </c>
      <c r="E172" s="71">
        <f t="shared" si="14"/>
        <v>0</v>
      </c>
      <c r="F172" s="71">
        <f t="shared" si="14"/>
        <v>0</v>
      </c>
      <c r="G172" s="153"/>
      <c r="H172" s="153"/>
      <c r="M172" s="64" t="s">
        <v>538</v>
      </c>
      <c r="N172" s="61">
        <f>INDEX(Data!$9:$9,1,MATCH(M172,detail_table[#Headers],0))</f>
        <v>0</v>
      </c>
    </row>
    <row r="173" spans="1:14" ht="26.5" thickBot="1" x14ac:dyDescent="0.4">
      <c r="A173" s="52" t="s">
        <v>220</v>
      </c>
      <c r="B173" s="102">
        <f t="shared" si="14"/>
        <v>0</v>
      </c>
      <c r="C173" s="71">
        <f t="shared" si="14"/>
        <v>0</v>
      </c>
      <c r="D173" s="71">
        <f t="shared" si="14"/>
        <v>0</v>
      </c>
      <c r="E173" s="71">
        <f t="shared" si="14"/>
        <v>0</v>
      </c>
      <c r="F173" s="71">
        <f t="shared" si="14"/>
        <v>0</v>
      </c>
      <c r="G173" s="153"/>
      <c r="H173" s="153"/>
      <c r="M173" s="64" t="s">
        <v>539</v>
      </c>
      <c r="N173" s="61">
        <f>INDEX(Data!$9:$9,1,MATCH(M173,detail_table[#Headers],0))</f>
        <v>0</v>
      </c>
    </row>
    <row r="174" spans="1:14" ht="26.5" thickBot="1" x14ac:dyDescent="0.4">
      <c r="A174" s="52" t="s">
        <v>221</v>
      </c>
      <c r="B174" s="102">
        <f t="shared" si="14"/>
        <v>0</v>
      </c>
      <c r="C174" s="71">
        <f t="shared" si="14"/>
        <v>0</v>
      </c>
      <c r="D174" s="71">
        <f t="shared" si="14"/>
        <v>0</v>
      </c>
      <c r="E174" s="71">
        <f t="shared" si="14"/>
        <v>0</v>
      </c>
      <c r="F174" s="71">
        <f t="shared" si="14"/>
        <v>0</v>
      </c>
      <c r="G174" s="153"/>
      <c r="H174" s="153"/>
      <c r="M174" s="64" t="s">
        <v>540</v>
      </c>
      <c r="N174" s="61">
        <f>INDEX(Data!$9:$9,1,MATCH(M174,detail_table[#Headers],0))</f>
        <v>0</v>
      </c>
    </row>
    <row r="175" spans="1:14" ht="26.5" thickBot="1" x14ac:dyDescent="0.4">
      <c r="A175" s="52" t="s">
        <v>222</v>
      </c>
      <c r="B175" s="102">
        <f t="shared" si="14"/>
        <v>0</v>
      </c>
      <c r="C175" s="71">
        <f t="shared" si="14"/>
        <v>0</v>
      </c>
      <c r="D175" s="71">
        <f t="shared" si="14"/>
        <v>0</v>
      </c>
      <c r="E175" s="71">
        <f t="shared" si="14"/>
        <v>0</v>
      </c>
      <c r="F175" s="71">
        <f t="shared" si="14"/>
        <v>0</v>
      </c>
      <c r="G175" s="153"/>
      <c r="H175" s="153"/>
      <c r="M175" s="64" t="s">
        <v>541</v>
      </c>
      <c r="N175" s="61">
        <f>INDEX(Data!$9:$9,1,MATCH(M175,detail_table[#Headers],0))</f>
        <v>0</v>
      </c>
    </row>
    <row r="176" spans="1:14" ht="15" thickBot="1" x14ac:dyDescent="0.4">
      <c r="A176" s="52" t="s">
        <v>223</v>
      </c>
      <c r="B176" s="102">
        <f t="shared" si="14"/>
        <v>0</v>
      </c>
      <c r="C176" s="102">
        <f t="shared" si="14"/>
        <v>0</v>
      </c>
      <c r="D176" s="102">
        <f t="shared" si="14"/>
        <v>0</v>
      </c>
      <c r="E176" s="102">
        <f t="shared" si="14"/>
        <v>0</v>
      </c>
      <c r="F176" s="102">
        <f t="shared" si="14"/>
        <v>0</v>
      </c>
      <c r="G176" s="153"/>
      <c r="H176" s="153"/>
      <c r="M176" s="64" t="s">
        <v>542</v>
      </c>
      <c r="N176" s="61">
        <f>INDEX(Data!$9:$9,1,MATCH(M176,detail_table[#Headers],0))</f>
        <v>0</v>
      </c>
    </row>
    <row r="177" spans="1:18" x14ac:dyDescent="0.35">
      <c r="A177" s="59"/>
      <c r="B177" s="59"/>
      <c r="C177" s="59"/>
      <c r="D177" s="59"/>
      <c r="E177" s="59"/>
      <c r="F177" s="59"/>
      <c r="G177" s="194"/>
      <c r="H177" s="194"/>
      <c r="M177" s="64" t="s">
        <v>543</v>
      </c>
      <c r="N177" s="61">
        <f>INDEX(Data!$9:$9,1,MATCH(M177,detail_table[#Headers],0))</f>
        <v>0</v>
      </c>
    </row>
    <row r="178" spans="1:18" ht="39.5" thickBot="1" x14ac:dyDescent="0.4">
      <c r="A178" s="186" t="s">
        <v>119</v>
      </c>
      <c r="B178" s="153" t="s">
        <v>84</v>
      </c>
      <c r="C178" s="153"/>
      <c r="D178" s="153"/>
      <c r="E178" s="153"/>
      <c r="F178" s="153"/>
      <c r="G178" s="153"/>
      <c r="H178" s="153"/>
      <c r="M178" s="64" t="s">
        <v>544</v>
      </c>
      <c r="N178" s="61">
        <f>INDEX(Data!$9:$9,1,MATCH(M178,detail_table[#Headers],0))</f>
        <v>0</v>
      </c>
      <c r="Q178" s="62"/>
    </row>
    <row r="179" spans="1:18" ht="52.5" thickBot="1" x14ac:dyDescent="0.4">
      <c r="A179" s="23"/>
      <c r="B179" s="4" t="s">
        <v>216</v>
      </c>
      <c r="C179" s="4" t="s">
        <v>0</v>
      </c>
      <c r="D179" s="4" t="s">
        <v>1</v>
      </c>
      <c r="E179" s="4" t="s">
        <v>2</v>
      </c>
      <c r="F179" s="4" t="s">
        <v>3</v>
      </c>
      <c r="G179" s="153"/>
      <c r="H179" s="153"/>
      <c r="M179" s="64" t="s">
        <v>545</v>
      </c>
      <c r="N179" s="61">
        <f>INDEX(Data!$9:$9,1,MATCH(M179,detail_table[#Headers],0))</f>
        <v>0</v>
      </c>
    </row>
    <row r="180" spans="1:18" ht="15" thickBot="1" x14ac:dyDescent="0.4">
      <c r="A180" s="52" t="s">
        <v>215</v>
      </c>
      <c r="B180" s="102">
        <f t="shared" ref="B180:F187" si="15">INDEX($N$2:$N$1687,MATCH($B$178&amp;" | "&amp;$A180&amp;" | "&amp;B$179,$M$2:$M$1687,0))</f>
        <v>0</v>
      </c>
      <c r="C180" s="71">
        <f t="shared" si="15"/>
        <v>0</v>
      </c>
      <c r="D180" s="71">
        <f t="shared" si="15"/>
        <v>0</v>
      </c>
      <c r="E180" s="71">
        <f t="shared" si="15"/>
        <v>0</v>
      </c>
      <c r="F180" s="71">
        <f t="shared" si="15"/>
        <v>0</v>
      </c>
      <c r="G180" s="153"/>
      <c r="H180" s="153"/>
      <c r="M180" s="64" t="s">
        <v>546</v>
      </c>
      <c r="N180" s="61">
        <f>INDEX(Data!$9:$9,1,MATCH(M180,detail_table[#Headers],0))</f>
        <v>0</v>
      </c>
    </row>
    <row r="181" spans="1:18" ht="15" thickBot="1" x14ac:dyDescent="0.4">
      <c r="A181" s="52" t="s">
        <v>217</v>
      </c>
      <c r="B181" s="102">
        <f t="shared" si="15"/>
        <v>0</v>
      </c>
      <c r="C181" s="71">
        <f t="shared" si="15"/>
        <v>0</v>
      </c>
      <c r="D181" s="71">
        <f t="shared" si="15"/>
        <v>0</v>
      </c>
      <c r="E181" s="71">
        <f t="shared" si="15"/>
        <v>0</v>
      </c>
      <c r="F181" s="71">
        <f t="shared" si="15"/>
        <v>0</v>
      </c>
      <c r="G181" s="153"/>
      <c r="H181" s="153"/>
      <c r="M181" s="64" t="s">
        <v>547</v>
      </c>
      <c r="N181" s="61">
        <f>INDEX(Data!$9:$9,1,MATCH(M181,detail_table[#Headers],0))</f>
        <v>0</v>
      </c>
    </row>
    <row r="182" spans="1:18" ht="15" thickBot="1" x14ac:dyDescent="0.4">
      <c r="A182" s="52" t="s">
        <v>218</v>
      </c>
      <c r="B182" s="102">
        <f t="shared" si="15"/>
        <v>0</v>
      </c>
      <c r="C182" s="71">
        <f t="shared" si="15"/>
        <v>0</v>
      </c>
      <c r="D182" s="71">
        <f t="shared" si="15"/>
        <v>0</v>
      </c>
      <c r="E182" s="71">
        <f t="shared" si="15"/>
        <v>0</v>
      </c>
      <c r="F182" s="71">
        <f t="shared" si="15"/>
        <v>0</v>
      </c>
      <c r="G182" s="153"/>
      <c r="H182" s="153"/>
      <c r="M182" s="64" t="s">
        <v>548</v>
      </c>
      <c r="N182" s="61">
        <f>INDEX(Data!$9:$9,1,MATCH(M182,detail_table[#Headers],0))</f>
        <v>0</v>
      </c>
    </row>
    <row r="183" spans="1:18" ht="26.5" thickBot="1" x14ac:dyDescent="0.4">
      <c r="A183" s="52" t="s">
        <v>219</v>
      </c>
      <c r="B183" s="102">
        <f t="shared" si="15"/>
        <v>0</v>
      </c>
      <c r="C183" s="71">
        <f t="shared" si="15"/>
        <v>0</v>
      </c>
      <c r="D183" s="71">
        <f t="shared" si="15"/>
        <v>0</v>
      </c>
      <c r="E183" s="71">
        <f t="shared" si="15"/>
        <v>0</v>
      </c>
      <c r="F183" s="71">
        <f t="shared" si="15"/>
        <v>0</v>
      </c>
      <c r="G183" s="153"/>
      <c r="H183" s="153"/>
      <c r="J183" s="62"/>
      <c r="M183" s="64" t="s">
        <v>549</v>
      </c>
      <c r="N183" s="61">
        <f>INDEX(Data!$9:$9,1,MATCH(M183,detail_table[#Headers],0))</f>
        <v>0</v>
      </c>
    </row>
    <row r="184" spans="1:18" ht="26.5" thickBot="1" x14ac:dyDescent="0.4">
      <c r="A184" s="52" t="s">
        <v>220</v>
      </c>
      <c r="B184" s="102">
        <f t="shared" si="15"/>
        <v>0</v>
      </c>
      <c r="C184" s="71">
        <f t="shared" si="15"/>
        <v>0</v>
      </c>
      <c r="D184" s="71">
        <f t="shared" si="15"/>
        <v>0</v>
      </c>
      <c r="E184" s="71">
        <f t="shared" si="15"/>
        <v>0</v>
      </c>
      <c r="F184" s="71">
        <f t="shared" si="15"/>
        <v>0</v>
      </c>
      <c r="G184" s="153"/>
      <c r="H184" s="153"/>
      <c r="M184" s="64" t="s">
        <v>550</v>
      </c>
      <c r="N184" s="61">
        <f>INDEX(Data!$9:$9,1,MATCH(M184,detail_table[#Headers],0))</f>
        <v>0</v>
      </c>
    </row>
    <row r="185" spans="1:18" ht="26.5" thickBot="1" x14ac:dyDescent="0.4">
      <c r="A185" s="52" t="s">
        <v>221</v>
      </c>
      <c r="B185" s="102">
        <f t="shared" si="15"/>
        <v>0</v>
      </c>
      <c r="C185" s="71">
        <f t="shared" si="15"/>
        <v>0</v>
      </c>
      <c r="D185" s="71">
        <f t="shared" si="15"/>
        <v>0</v>
      </c>
      <c r="E185" s="71">
        <f t="shared" si="15"/>
        <v>0</v>
      </c>
      <c r="F185" s="71">
        <f t="shared" si="15"/>
        <v>0</v>
      </c>
      <c r="G185" s="153"/>
      <c r="H185" s="153"/>
      <c r="M185" s="64" t="s">
        <v>551</v>
      </c>
      <c r="N185" s="61">
        <f>INDEX(Data!$9:$9,1,MATCH(M185,detail_table[#Headers],0))</f>
        <v>0</v>
      </c>
      <c r="R185" s="62"/>
    </row>
    <row r="186" spans="1:18" ht="26.5" thickBot="1" x14ac:dyDescent="0.4">
      <c r="A186" s="52" t="s">
        <v>222</v>
      </c>
      <c r="B186" s="102">
        <f t="shared" si="15"/>
        <v>0</v>
      </c>
      <c r="C186" s="71">
        <f t="shared" si="15"/>
        <v>0</v>
      </c>
      <c r="D186" s="71">
        <f t="shared" si="15"/>
        <v>0</v>
      </c>
      <c r="E186" s="71">
        <f t="shared" si="15"/>
        <v>0</v>
      </c>
      <c r="F186" s="71">
        <f t="shared" si="15"/>
        <v>0</v>
      </c>
      <c r="G186" s="153"/>
      <c r="H186" s="153"/>
      <c r="I186" s="62"/>
      <c r="M186" s="64" t="s">
        <v>552</v>
      </c>
      <c r="N186" s="61">
        <f>INDEX(Data!$9:$9,1,MATCH(M186,detail_table[#Headers],0))</f>
        <v>0</v>
      </c>
    </row>
    <row r="187" spans="1:18" s="62" customFormat="1" ht="15" thickBot="1" x14ac:dyDescent="0.4">
      <c r="A187" s="52" t="s">
        <v>223</v>
      </c>
      <c r="B187" s="102">
        <f t="shared" si="15"/>
        <v>0</v>
      </c>
      <c r="C187" s="102">
        <f t="shared" si="15"/>
        <v>0</v>
      </c>
      <c r="D187" s="102">
        <f t="shared" si="15"/>
        <v>0</v>
      </c>
      <c r="E187" s="102">
        <f t="shared" si="15"/>
        <v>0</v>
      </c>
      <c r="F187" s="102">
        <f t="shared" si="15"/>
        <v>0</v>
      </c>
      <c r="G187" s="153"/>
      <c r="H187" s="153"/>
      <c r="I187" s="61"/>
      <c r="J187" s="61"/>
      <c r="K187" s="61"/>
      <c r="L187" s="61"/>
      <c r="M187" s="64" t="s">
        <v>553</v>
      </c>
      <c r="N187" s="61">
        <f>INDEX(Data!$9:$9,1,MATCH(M187,detail_table[#Headers],0))</f>
        <v>0</v>
      </c>
      <c r="O187" s="61"/>
      <c r="Q187" s="61"/>
      <c r="R187" s="61"/>
    </row>
    <row r="188" spans="1:18" x14ac:dyDescent="0.35">
      <c r="A188" s="59"/>
      <c r="B188" s="59"/>
      <c r="C188" s="59"/>
      <c r="D188" s="59"/>
      <c r="E188" s="59"/>
      <c r="F188" s="59"/>
      <c r="G188" s="194"/>
      <c r="H188" s="194"/>
      <c r="M188" s="64" t="s">
        <v>554</v>
      </c>
      <c r="N188" s="61">
        <f>INDEX(Data!$9:$9,1,MATCH(M188,detail_table[#Headers],0))</f>
        <v>0</v>
      </c>
    </row>
    <row r="189" spans="1:18" x14ac:dyDescent="0.35">
      <c r="A189" s="227" t="s">
        <v>120</v>
      </c>
      <c r="B189" s="153"/>
      <c r="C189" s="153"/>
      <c r="D189" s="153"/>
      <c r="E189" s="153"/>
      <c r="F189" s="153"/>
      <c r="G189" s="153"/>
      <c r="H189" s="153"/>
      <c r="M189" s="64" t="s">
        <v>555</v>
      </c>
      <c r="N189" s="61">
        <f>INDEX(Data!$9:$9,1,MATCH(M189,detail_table[#Headers],0))</f>
        <v>0</v>
      </c>
      <c r="Q189" s="62"/>
    </row>
    <row r="190" spans="1:18" ht="39.5" thickBot="1" x14ac:dyDescent="0.4">
      <c r="A190" s="186" t="s">
        <v>121</v>
      </c>
      <c r="B190" s="153" t="s">
        <v>85</v>
      </c>
      <c r="C190" s="153"/>
      <c r="D190" s="153"/>
      <c r="E190" s="153"/>
      <c r="F190" s="153"/>
      <c r="G190" s="153"/>
      <c r="H190" s="153"/>
      <c r="M190" s="64" t="s">
        <v>556</v>
      </c>
      <c r="N190" s="61">
        <f>INDEX(Data!$9:$9,1,MATCH(M190,detail_table[#Headers],0))</f>
        <v>0</v>
      </c>
    </row>
    <row r="191" spans="1:18" ht="52.5" thickBot="1" x14ac:dyDescent="0.4">
      <c r="A191" s="23"/>
      <c r="B191" s="4" t="s">
        <v>8</v>
      </c>
      <c r="C191" s="4" t="s">
        <v>0</v>
      </c>
      <c r="D191" s="4" t="s">
        <v>1</v>
      </c>
      <c r="E191" s="4" t="s">
        <v>2</v>
      </c>
      <c r="F191" s="4" t="s">
        <v>3</v>
      </c>
      <c r="G191" s="153"/>
      <c r="H191" s="153"/>
      <c r="M191" s="64" t="s">
        <v>557</v>
      </c>
      <c r="N191" s="61">
        <f>INDEX(Data!$9:$9,1,MATCH(M191,detail_table[#Headers],0))</f>
        <v>0</v>
      </c>
    </row>
    <row r="192" spans="1:18" ht="15" thickBot="1" x14ac:dyDescent="0.4">
      <c r="A192" s="52" t="s">
        <v>224</v>
      </c>
      <c r="B192" s="107">
        <f t="shared" ref="B192:F196" si="16">INDEX($N$2:$N$1687,MATCH($B$190&amp;" | "&amp;$A192&amp;" | "&amp;B$191,$M$2:$M$1687,0))</f>
        <v>0</v>
      </c>
      <c r="C192" s="71">
        <f t="shared" si="16"/>
        <v>0</v>
      </c>
      <c r="D192" s="71">
        <f t="shared" si="16"/>
        <v>0</v>
      </c>
      <c r="E192" s="71">
        <f t="shared" si="16"/>
        <v>0</v>
      </c>
      <c r="F192" s="71">
        <f t="shared" si="16"/>
        <v>0</v>
      </c>
      <c r="G192" s="153"/>
      <c r="H192" s="153"/>
      <c r="M192" s="64" t="s">
        <v>558</v>
      </c>
      <c r="N192" s="61">
        <f>INDEX(Data!$9:$9,1,MATCH(M192,detail_table[#Headers],0))</f>
        <v>0</v>
      </c>
    </row>
    <row r="193" spans="1:18" ht="15" thickBot="1" x14ac:dyDescent="0.4">
      <c r="A193" s="52" t="s">
        <v>225</v>
      </c>
      <c r="B193" s="107">
        <f t="shared" si="16"/>
        <v>0</v>
      </c>
      <c r="C193" s="71">
        <f t="shared" si="16"/>
        <v>0</v>
      </c>
      <c r="D193" s="71">
        <f t="shared" si="16"/>
        <v>0</v>
      </c>
      <c r="E193" s="71">
        <f t="shared" si="16"/>
        <v>0</v>
      </c>
      <c r="F193" s="71">
        <f t="shared" si="16"/>
        <v>0</v>
      </c>
      <c r="G193" s="153"/>
      <c r="H193" s="153"/>
      <c r="M193" s="64" t="s">
        <v>559</v>
      </c>
      <c r="N193" s="61">
        <f>INDEX(Data!$9:$9,1,MATCH(M193,detail_table[#Headers],0))</f>
        <v>0</v>
      </c>
    </row>
    <row r="194" spans="1:18" ht="15" thickBot="1" x14ac:dyDescent="0.4">
      <c r="A194" s="52" t="s">
        <v>157</v>
      </c>
      <c r="B194" s="107">
        <f t="shared" si="16"/>
        <v>0</v>
      </c>
      <c r="C194" s="71">
        <f t="shared" si="16"/>
        <v>0</v>
      </c>
      <c r="D194" s="71">
        <f t="shared" si="16"/>
        <v>0</v>
      </c>
      <c r="E194" s="71">
        <f t="shared" si="16"/>
        <v>0</v>
      </c>
      <c r="F194" s="71">
        <f t="shared" si="16"/>
        <v>0</v>
      </c>
      <c r="G194" s="153"/>
      <c r="H194" s="153"/>
      <c r="J194" s="62"/>
      <c r="M194" s="64" t="s">
        <v>560</v>
      </c>
      <c r="N194" s="61">
        <f>INDEX(Data!$9:$9,1,MATCH(M194,detail_table[#Headers],0))</f>
        <v>0</v>
      </c>
    </row>
    <row r="195" spans="1:18" ht="15" thickBot="1" x14ac:dyDescent="0.4">
      <c r="A195" s="52" t="s">
        <v>143</v>
      </c>
      <c r="B195" s="107">
        <f t="shared" si="16"/>
        <v>0</v>
      </c>
      <c r="C195" s="71">
        <f t="shared" si="16"/>
        <v>0</v>
      </c>
      <c r="D195" s="71">
        <f t="shared" si="16"/>
        <v>0</v>
      </c>
      <c r="E195" s="71">
        <f t="shared" si="16"/>
        <v>0</v>
      </c>
      <c r="F195" s="71">
        <f t="shared" si="16"/>
        <v>0</v>
      </c>
      <c r="G195" s="153"/>
      <c r="H195" s="153"/>
      <c r="M195" s="64" t="s">
        <v>561</v>
      </c>
      <c r="N195" s="61">
        <f>INDEX(Data!$9:$9,1,MATCH(M195,detail_table[#Headers],0))</f>
        <v>0</v>
      </c>
    </row>
    <row r="196" spans="1:18" ht="15" thickBot="1" x14ac:dyDescent="0.4">
      <c r="A196" s="2" t="s">
        <v>144</v>
      </c>
      <c r="B196" s="107">
        <f t="shared" si="16"/>
        <v>0</v>
      </c>
      <c r="C196" s="107">
        <f t="shared" si="16"/>
        <v>0</v>
      </c>
      <c r="D196" s="107">
        <f t="shared" si="16"/>
        <v>0</v>
      </c>
      <c r="E196" s="107">
        <f t="shared" si="16"/>
        <v>0</v>
      </c>
      <c r="F196" s="107">
        <f t="shared" si="16"/>
        <v>0</v>
      </c>
      <c r="G196" s="153"/>
      <c r="H196" s="153"/>
      <c r="M196" s="64" t="s">
        <v>562</v>
      </c>
      <c r="N196" s="61">
        <f>INDEX(Data!$9:$9,1,MATCH(M196,detail_table[#Headers],0))</f>
        <v>0</v>
      </c>
      <c r="R196" s="62"/>
    </row>
    <row r="197" spans="1:18" x14ac:dyDescent="0.35">
      <c r="A197" s="60"/>
      <c r="B197" s="59"/>
      <c r="C197" s="59"/>
      <c r="D197" s="59"/>
      <c r="E197" s="59"/>
      <c r="F197" s="59"/>
      <c r="G197" s="194"/>
      <c r="H197" s="194"/>
      <c r="I197" s="62"/>
      <c r="M197" s="64" t="s">
        <v>563</v>
      </c>
      <c r="N197" s="61">
        <f>INDEX(Data!$9:$9,1,MATCH(M197,detail_table[#Headers],0))</f>
        <v>0</v>
      </c>
      <c r="Q197" s="62"/>
    </row>
    <row r="198" spans="1:18" s="62" customFormat="1" ht="26.5" thickBot="1" x14ac:dyDescent="0.4">
      <c r="A198" s="186" t="s">
        <v>122</v>
      </c>
      <c r="B198" s="153" t="s">
        <v>86</v>
      </c>
      <c r="C198" s="153"/>
      <c r="D198" s="153"/>
      <c r="E198" s="153"/>
      <c r="F198" s="153"/>
      <c r="G198" s="153"/>
      <c r="H198" s="153"/>
      <c r="I198" s="61"/>
      <c r="J198" s="61"/>
      <c r="K198" s="61"/>
      <c r="L198" s="61"/>
      <c r="M198" s="64" t="s">
        <v>564</v>
      </c>
      <c r="N198" s="61">
        <f>INDEX(Data!$9:$9,1,MATCH(M198,detail_table[#Headers],0))</f>
        <v>0</v>
      </c>
      <c r="O198" s="61"/>
      <c r="Q198" s="61"/>
      <c r="R198" s="61"/>
    </row>
    <row r="199" spans="1:18" ht="52.5" thickBot="1" x14ac:dyDescent="0.4">
      <c r="A199" s="23"/>
      <c r="B199" s="4" t="s">
        <v>8</v>
      </c>
      <c r="C199" s="4" t="s">
        <v>0</v>
      </c>
      <c r="D199" s="4" t="s">
        <v>1</v>
      </c>
      <c r="E199" s="4" t="s">
        <v>2</v>
      </c>
      <c r="F199" s="4" t="s">
        <v>3</v>
      </c>
      <c r="G199" s="153"/>
      <c r="H199" s="153"/>
      <c r="M199" s="64" t="s">
        <v>565</v>
      </c>
      <c r="N199" s="61">
        <f>INDEX(Data!$9:$9,1,MATCH(M199,detail_table[#Headers],0))</f>
        <v>0</v>
      </c>
    </row>
    <row r="200" spans="1:18" ht="15" thickBot="1" x14ac:dyDescent="0.4">
      <c r="A200" s="52" t="s">
        <v>224</v>
      </c>
      <c r="B200" s="107">
        <f t="shared" ref="B200:F204" si="17">INDEX($N$2:$N$1687,MATCH($B$198&amp;" | "&amp;$A200&amp;" | "&amp;B$199,$M$2:$M$1687,0))</f>
        <v>0</v>
      </c>
      <c r="C200" s="71">
        <f t="shared" si="17"/>
        <v>0</v>
      </c>
      <c r="D200" s="71">
        <f t="shared" si="17"/>
        <v>0</v>
      </c>
      <c r="E200" s="71">
        <f t="shared" si="17"/>
        <v>0</v>
      </c>
      <c r="F200" s="71">
        <f t="shared" si="17"/>
        <v>0</v>
      </c>
      <c r="G200" s="153"/>
      <c r="H200" s="153"/>
      <c r="M200" s="64" t="s">
        <v>566</v>
      </c>
      <c r="N200" s="61">
        <f>INDEX(Data!$9:$9,1,MATCH(M200,detail_table[#Headers],0))</f>
        <v>0</v>
      </c>
    </row>
    <row r="201" spans="1:18" ht="15" thickBot="1" x14ac:dyDescent="0.4">
      <c r="A201" s="52" t="s">
        <v>225</v>
      </c>
      <c r="B201" s="107">
        <f t="shared" si="17"/>
        <v>0</v>
      </c>
      <c r="C201" s="71">
        <f t="shared" si="17"/>
        <v>0</v>
      </c>
      <c r="D201" s="71">
        <f t="shared" si="17"/>
        <v>0</v>
      </c>
      <c r="E201" s="71">
        <f t="shared" si="17"/>
        <v>0</v>
      </c>
      <c r="F201" s="71">
        <f t="shared" si="17"/>
        <v>0</v>
      </c>
      <c r="G201" s="153"/>
      <c r="H201" s="153"/>
      <c r="M201" s="64" t="s">
        <v>567</v>
      </c>
      <c r="N201" s="61">
        <f>INDEX(Data!$9:$9,1,MATCH(M201,detail_table[#Headers],0))</f>
        <v>0</v>
      </c>
    </row>
    <row r="202" spans="1:18" ht="15" thickBot="1" x14ac:dyDescent="0.4">
      <c r="A202" s="52" t="s">
        <v>157</v>
      </c>
      <c r="B202" s="107">
        <f t="shared" si="17"/>
        <v>0</v>
      </c>
      <c r="C202" s="71">
        <f t="shared" si="17"/>
        <v>0</v>
      </c>
      <c r="D202" s="71">
        <f t="shared" si="17"/>
        <v>0</v>
      </c>
      <c r="E202" s="71">
        <f t="shared" si="17"/>
        <v>0</v>
      </c>
      <c r="F202" s="71">
        <f t="shared" si="17"/>
        <v>0</v>
      </c>
      <c r="G202" s="153"/>
      <c r="H202" s="153"/>
      <c r="J202" s="62"/>
      <c r="M202" s="64" t="s">
        <v>568</v>
      </c>
      <c r="N202" s="61">
        <f>INDEX(Data!$9:$9,1,MATCH(M202,detail_table[#Headers],0))</f>
        <v>0</v>
      </c>
    </row>
    <row r="203" spans="1:18" ht="15" thickBot="1" x14ac:dyDescent="0.4">
      <c r="A203" s="52" t="s">
        <v>143</v>
      </c>
      <c r="B203" s="107">
        <f t="shared" si="17"/>
        <v>0</v>
      </c>
      <c r="C203" s="71">
        <f t="shared" si="17"/>
        <v>0</v>
      </c>
      <c r="D203" s="71">
        <f t="shared" si="17"/>
        <v>0</v>
      </c>
      <c r="E203" s="71">
        <f t="shared" si="17"/>
        <v>0</v>
      </c>
      <c r="F203" s="71">
        <f t="shared" si="17"/>
        <v>0</v>
      </c>
      <c r="G203" s="153"/>
      <c r="H203" s="153"/>
      <c r="M203" s="64" t="s">
        <v>569</v>
      </c>
      <c r="N203" s="61">
        <f>INDEX(Data!$9:$9,1,MATCH(M203,detail_table[#Headers],0))</f>
        <v>0</v>
      </c>
    </row>
    <row r="204" spans="1:18" ht="15" thickBot="1" x14ac:dyDescent="0.4">
      <c r="A204" s="2" t="s">
        <v>144</v>
      </c>
      <c r="B204" s="107">
        <f t="shared" si="17"/>
        <v>0</v>
      </c>
      <c r="C204" s="107">
        <f t="shared" si="17"/>
        <v>0</v>
      </c>
      <c r="D204" s="107">
        <f t="shared" si="17"/>
        <v>0</v>
      </c>
      <c r="E204" s="107">
        <f t="shared" si="17"/>
        <v>0</v>
      </c>
      <c r="F204" s="107">
        <f t="shared" si="17"/>
        <v>0</v>
      </c>
      <c r="G204" s="153"/>
      <c r="H204" s="153"/>
      <c r="M204" s="64" t="s">
        <v>570</v>
      </c>
      <c r="N204" s="61">
        <f>INDEX(Data!$9:$9,1,MATCH(M204,detail_table[#Headers],0))</f>
        <v>0</v>
      </c>
      <c r="Q204" s="62"/>
      <c r="R204" s="62"/>
    </row>
    <row r="205" spans="1:18" x14ac:dyDescent="0.35">
      <c r="A205" s="60"/>
      <c r="B205" s="59"/>
      <c r="C205" s="59"/>
      <c r="D205" s="59"/>
      <c r="E205" s="59"/>
      <c r="F205" s="59"/>
      <c r="G205" s="194"/>
      <c r="H205" s="194"/>
      <c r="M205" s="64" t="s">
        <v>571</v>
      </c>
      <c r="N205" s="61">
        <f>INDEX(Data!$9:$9,1,MATCH(M205,detail_table[#Headers],0))</f>
        <v>0</v>
      </c>
    </row>
    <row r="206" spans="1:18" ht="26.5" thickBot="1" x14ac:dyDescent="0.4">
      <c r="A206" s="189" t="s">
        <v>123</v>
      </c>
      <c r="B206" s="153" t="s">
        <v>87</v>
      </c>
      <c r="C206" s="153"/>
      <c r="D206" s="153"/>
      <c r="E206" s="153"/>
      <c r="F206" s="153"/>
      <c r="G206" s="153"/>
      <c r="H206" s="153"/>
      <c r="I206" s="62"/>
      <c r="M206" s="64" t="s">
        <v>572</v>
      </c>
      <c r="N206" s="61">
        <f>INDEX(Data!$9:$9,1,MATCH(M206,detail_table[#Headers],0))</f>
        <v>0</v>
      </c>
    </row>
    <row r="207" spans="1:18" s="62" customFormat="1" ht="52.5" thickBot="1" x14ac:dyDescent="0.4">
      <c r="A207" s="23"/>
      <c r="B207" s="4" t="s">
        <v>8</v>
      </c>
      <c r="C207" s="4" t="s">
        <v>0</v>
      </c>
      <c r="D207" s="4" t="s">
        <v>1</v>
      </c>
      <c r="E207" s="4" t="s">
        <v>2</v>
      </c>
      <c r="F207" s="4" t="s">
        <v>3</v>
      </c>
      <c r="G207" s="153"/>
      <c r="H207" s="153"/>
      <c r="I207" s="61"/>
      <c r="J207" s="61"/>
      <c r="K207" s="61"/>
      <c r="L207" s="61"/>
      <c r="M207" s="64" t="s">
        <v>573</v>
      </c>
      <c r="N207" s="61">
        <f>INDEX(Data!$9:$9,1,MATCH(M207,detail_table[#Headers],0))</f>
        <v>0</v>
      </c>
      <c r="O207" s="61"/>
      <c r="Q207" s="61"/>
      <c r="R207" s="61"/>
    </row>
    <row r="208" spans="1:18" ht="15" thickBot="1" x14ac:dyDescent="0.4">
      <c r="A208" s="1" t="s">
        <v>226</v>
      </c>
      <c r="B208" s="105"/>
      <c r="C208" s="106"/>
      <c r="D208" s="106"/>
      <c r="E208" s="106"/>
      <c r="F208" s="106"/>
      <c r="G208" s="153"/>
      <c r="H208" s="153"/>
      <c r="M208" s="64" t="s">
        <v>574</v>
      </c>
      <c r="N208" s="61">
        <f>INDEX(Data!$9:$9,1,MATCH(M208,detail_table[#Headers],0))</f>
        <v>0</v>
      </c>
    </row>
    <row r="209" spans="1:18" ht="15" thickBot="1" x14ac:dyDescent="0.4">
      <c r="A209" s="23" t="s">
        <v>227</v>
      </c>
      <c r="B209" s="105">
        <f t="shared" ref="B209:F213" si="18">INDEX($N$2:$N$1687,MATCH($B$206&amp;" | "&amp;$A209&amp;" | "&amp;B$207,$M$2:$M$1687,0))</f>
        <v>0</v>
      </c>
      <c r="C209" s="106">
        <f t="shared" si="18"/>
        <v>0</v>
      </c>
      <c r="D209" s="106">
        <f t="shared" si="18"/>
        <v>0</v>
      </c>
      <c r="E209" s="106">
        <f t="shared" si="18"/>
        <v>0</v>
      </c>
      <c r="F209" s="106">
        <f t="shared" si="18"/>
        <v>0</v>
      </c>
      <c r="G209" s="153"/>
      <c r="H209" s="153"/>
      <c r="M209" s="64" t="s">
        <v>575</v>
      </c>
      <c r="N209" s="61">
        <f>INDEX(Data!$9:$9,1,MATCH(M209,detail_table[#Headers],0))</f>
        <v>0</v>
      </c>
    </row>
    <row r="210" spans="1:18" ht="39.5" thickBot="1" x14ac:dyDescent="0.4">
      <c r="A210" s="23" t="s">
        <v>228</v>
      </c>
      <c r="B210" s="105">
        <f t="shared" si="18"/>
        <v>0</v>
      </c>
      <c r="C210" s="106">
        <f t="shared" si="18"/>
        <v>0</v>
      </c>
      <c r="D210" s="106">
        <f t="shared" si="18"/>
        <v>0</v>
      </c>
      <c r="E210" s="106">
        <f t="shared" si="18"/>
        <v>0</v>
      </c>
      <c r="F210" s="106">
        <f t="shared" si="18"/>
        <v>0</v>
      </c>
      <c r="G210" s="153"/>
      <c r="H210" s="153"/>
      <c r="J210" s="62"/>
      <c r="M210" s="64" t="s">
        <v>576</v>
      </c>
      <c r="N210" s="61">
        <f>INDEX(Data!$9:$9,1,MATCH(M210,detail_table[#Headers],0))</f>
        <v>0</v>
      </c>
    </row>
    <row r="211" spans="1:18" ht="26.5" thickBot="1" x14ac:dyDescent="0.4">
      <c r="A211" s="23" t="s">
        <v>229</v>
      </c>
      <c r="B211" s="105">
        <f t="shared" si="18"/>
        <v>0</v>
      </c>
      <c r="C211" s="106">
        <f t="shared" si="18"/>
        <v>0</v>
      </c>
      <c r="D211" s="106">
        <f t="shared" si="18"/>
        <v>0</v>
      </c>
      <c r="E211" s="106">
        <f t="shared" si="18"/>
        <v>0</v>
      </c>
      <c r="F211" s="106">
        <f t="shared" si="18"/>
        <v>0</v>
      </c>
      <c r="G211" s="153"/>
      <c r="H211" s="153"/>
      <c r="M211" s="64" t="s">
        <v>577</v>
      </c>
      <c r="N211" s="61">
        <f>INDEX(Data!$9:$9,1,MATCH(M211,detail_table[#Headers],0))</f>
        <v>0</v>
      </c>
    </row>
    <row r="212" spans="1:18" ht="15" thickBot="1" x14ac:dyDescent="0.4">
      <c r="A212" s="23" t="s">
        <v>230</v>
      </c>
      <c r="B212" s="105">
        <f t="shared" si="18"/>
        <v>0</v>
      </c>
      <c r="C212" s="106">
        <f t="shared" si="18"/>
        <v>0</v>
      </c>
      <c r="D212" s="106">
        <f t="shared" si="18"/>
        <v>0</v>
      </c>
      <c r="E212" s="106">
        <f t="shared" si="18"/>
        <v>0</v>
      </c>
      <c r="F212" s="106">
        <f t="shared" si="18"/>
        <v>0</v>
      </c>
      <c r="G212" s="153"/>
      <c r="H212" s="153"/>
      <c r="M212" s="64" t="s">
        <v>578</v>
      </c>
      <c r="N212" s="61">
        <f>INDEX(Data!$9:$9,1,MATCH(M212,detail_table[#Headers],0))</f>
        <v>0</v>
      </c>
      <c r="R212" s="62"/>
    </row>
    <row r="213" spans="1:18" ht="15" thickBot="1" x14ac:dyDescent="0.4">
      <c r="A213" s="23" t="s">
        <v>231</v>
      </c>
      <c r="B213" s="105">
        <f t="shared" si="18"/>
        <v>0</v>
      </c>
      <c r="C213" s="106">
        <f t="shared" si="18"/>
        <v>0</v>
      </c>
      <c r="D213" s="106">
        <f t="shared" si="18"/>
        <v>0</v>
      </c>
      <c r="E213" s="106">
        <f t="shared" si="18"/>
        <v>0</v>
      </c>
      <c r="F213" s="106">
        <f t="shared" si="18"/>
        <v>0</v>
      </c>
      <c r="G213" s="153"/>
      <c r="H213" s="153"/>
      <c r="M213" s="64" t="s">
        <v>579</v>
      </c>
      <c r="N213" s="61">
        <f>INDEX(Data!$9:$9,1,MATCH(M213,detail_table[#Headers],0))</f>
        <v>0</v>
      </c>
    </row>
    <row r="214" spans="1:18" ht="15" thickBot="1" x14ac:dyDescent="0.4">
      <c r="A214" s="1" t="s">
        <v>232</v>
      </c>
      <c r="B214" s="105"/>
      <c r="C214" s="106"/>
      <c r="D214" s="106"/>
      <c r="E214" s="106"/>
      <c r="F214" s="106"/>
      <c r="G214" s="153"/>
      <c r="H214" s="153"/>
      <c r="I214" s="62"/>
      <c r="M214" s="64" t="s">
        <v>580</v>
      </c>
      <c r="N214" s="61">
        <f>INDEX(Data!$9:$9,1,MATCH(M214,detail_table[#Headers],0))</f>
        <v>0</v>
      </c>
    </row>
    <row r="215" spans="1:18" s="62" customFormat="1" ht="15" thickBot="1" x14ac:dyDescent="0.4">
      <c r="A215" s="23" t="s">
        <v>233</v>
      </c>
      <c r="B215" s="105">
        <f t="shared" ref="B215:F222" si="19">INDEX($N$2:$N$1687,MATCH($B$206&amp;" | "&amp;$A215&amp;" | "&amp;B$207,$M$2:$M$1687,0))</f>
        <v>0</v>
      </c>
      <c r="C215" s="106">
        <f t="shared" si="19"/>
        <v>0</v>
      </c>
      <c r="D215" s="106">
        <f t="shared" si="19"/>
        <v>0</v>
      </c>
      <c r="E215" s="106">
        <f t="shared" si="19"/>
        <v>0</v>
      </c>
      <c r="F215" s="106">
        <f t="shared" si="19"/>
        <v>0</v>
      </c>
      <c r="G215" s="153"/>
      <c r="H215" s="153"/>
      <c r="I215" s="61"/>
      <c r="J215" s="61"/>
      <c r="K215" s="61"/>
      <c r="L215" s="61"/>
      <c r="M215" s="64" t="s">
        <v>581</v>
      </c>
      <c r="N215" s="61">
        <f>INDEX(Data!$9:$9,1,MATCH(M215,detail_table[#Headers],0))</f>
        <v>0</v>
      </c>
      <c r="O215" s="61"/>
      <c r="Q215" s="61"/>
      <c r="R215" s="61"/>
    </row>
    <row r="216" spans="1:18" ht="26.5" thickBot="1" x14ac:dyDescent="0.4">
      <c r="A216" s="23" t="s">
        <v>234</v>
      </c>
      <c r="B216" s="105">
        <f t="shared" si="19"/>
        <v>0</v>
      </c>
      <c r="C216" s="106">
        <f t="shared" si="19"/>
        <v>0</v>
      </c>
      <c r="D216" s="106">
        <f t="shared" si="19"/>
        <v>0</v>
      </c>
      <c r="E216" s="106">
        <f t="shared" si="19"/>
        <v>0</v>
      </c>
      <c r="F216" s="106">
        <f t="shared" si="19"/>
        <v>0</v>
      </c>
      <c r="G216" s="153"/>
      <c r="H216" s="153"/>
      <c r="M216" s="64" t="s">
        <v>582</v>
      </c>
      <c r="N216" s="61">
        <f>INDEX(Data!$9:$9,1,MATCH(M216,detail_table[#Headers],0))</f>
        <v>0</v>
      </c>
    </row>
    <row r="217" spans="1:18" ht="26.5" thickBot="1" x14ac:dyDescent="0.4">
      <c r="A217" s="23" t="s">
        <v>235</v>
      </c>
      <c r="B217" s="105">
        <f t="shared" si="19"/>
        <v>0</v>
      </c>
      <c r="C217" s="106">
        <f t="shared" si="19"/>
        <v>0</v>
      </c>
      <c r="D217" s="106">
        <f t="shared" si="19"/>
        <v>0</v>
      </c>
      <c r="E217" s="106">
        <f t="shared" si="19"/>
        <v>0</v>
      </c>
      <c r="F217" s="106">
        <f t="shared" si="19"/>
        <v>0</v>
      </c>
      <c r="G217" s="153"/>
      <c r="H217" s="153"/>
      <c r="M217" s="64" t="s">
        <v>583</v>
      </c>
      <c r="N217" s="61">
        <f>INDEX(Data!$9:$9,1,MATCH(M217,detail_table[#Headers],0))</f>
        <v>0</v>
      </c>
    </row>
    <row r="218" spans="1:18" ht="26.5" thickBot="1" x14ac:dyDescent="0.4">
      <c r="A218" s="23" t="s">
        <v>236</v>
      </c>
      <c r="B218" s="105">
        <f t="shared" si="19"/>
        <v>0</v>
      </c>
      <c r="C218" s="106">
        <f t="shared" si="19"/>
        <v>0</v>
      </c>
      <c r="D218" s="106">
        <f t="shared" si="19"/>
        <v>0</v>
      </c>
      <c r="E218" s="106">
        <f t="shared" si="19"/>
        <v>0</v>
      </c>
      <c r="F218" s="106">
        <f t="shared" si="19"/>
        <v>0</v>
      </c>
      <c r="G218" s="153"/>
      <c r="H218" s="153"/>
      <c r="M218" s="64" t="s">
        <v>584</v>
      </c>
      <c r="N218" s="61">
        <f>INDEX(Data!$9:$9,1,MATCH(M218,detail_table[#Headers],0))</f>
        <v>0</v>
      </c>
    </row>
    <row r="219" spans="1:18" ht="39.5" thickBot="1" x14ac:dyDescent="0.4">
      <c r="A219" s="23" t="s">
        <v>237</v>
      </c>
      <c r="B219" s="105">
        <f t="shared" si="19"/>
        <v>0</v>
      </c>
      <c r="C219" s="106">
        <f t="shared" si="19"/>
        <v>0</v>
      </c>
      <c r="D219" s="106">
        <f t="shared" si="19"/>
        <v>0</v>
      </c>
      <c r="E219" s="106">
        <f t="shared" si="19"/>
        <v>0</v>
      </c>
      <c r="F219" s="106">
        <f t="shared" si="19"/>
        <v>0</v>
      </c>
      <c r="G219" s="153"/>
      <c r="H219" s="153"/>
      <c r="M219" s="64" t="s">
        <v>585</v>
      </c>
      <c r="N219" s="61">
        <f>INDEX(Data!$9:$9,1,MATCH(M219,detail_table[#Headers],0))</f>
        <v>0</v>
      </c>
    </row>
    <row r="220" spans="1:18" ht="39.5" thickBot="1" x14ac:dyDescent="0.4">
      <c r="A220" s="23" t="s">
        <v>238</v>
      </c>
      <c r="B220" s="105">
        <f t="shared" si="19"/>
        <v>0</v>
      </c>
      <c r="C220" s="106">
        <f t="shared" si="19"/>
        <v>0</v>
      </c>
      <c r="D220" s="106">
        <f t="shared" si="19"/>
        <v>0</v>
      </c>
      <c r="E220" s="106">
        <f t="shared" si="19"/>
        <v>0</v>
      </c>
      <c r="F220" s="106">
        <f t="shared" si="19"/>
        <v>0</v>
      </c>
      <c r="G220" s="153"/>
      <c r="H220" s="153"/>
      <c r="M220" s="64" t="s">
        <v>586</v>
      </c>
      <c r="N220" s="61">
        <f>INDEX(Data!$9:$9,1,MATCH(M220,detail_table[#Headers],0))</f>
        <v>0</v>
      </c>
    </row>
    <row r="221" spans="1:18" ht="39.5" thickBot="1" x14ac:dyDescent="0.4">
      <c r="A221" s="23" t="s">
        <v>239</v>
      </c>
      <c r="B221" s="105">
        <f t="shared" si="19"/>
        <v>0</v>
      </c>
      <c r="C221" s="106">
        <f t="shared" si="19"/>
        <v>0</v>
      </c>
      <c r="D221" s="106">
        <f t="shared" si="19"/>
        <v>0</v>
      </c>
      <c r="E221" s="106">
        <f t="shared" si="19"/>
        <v>0</v>
      </c>
      <c r="F221" s="106">
        <f t="shared" si="19"/>
        <v>0</v>
      </c>
      <c r="G221" s="153"/>
      <c r="H221" s="153"/>
      <c r="M221" s="64" t="s">
        <v>587</v>
      </c>
      <c r="N221" s="61">
        <f>INDEX(Data!$9:$9,1,MATCH(M221,detail_table[#Headers],0))</f>
        <v>0</v>
      </c>
    </row>
    <row r="222" spans="1:18" ht="15" thickBot="1" x14ac:dyDescent="0.4">
      <c r="A222" s="23" t="s">
        <v>240</v>
      </c>
      <c r="B222" s="105">
        <f t="shared" si="19"/>
        <v>0</v>
      </c>
      <c r="C222" s="106">
        <f t="shared" si="19"/>
        <v>0</v>
      </c>
      <c r="D222" s="106">
        <f t="shared" si="19"/>
        <v>0</v>
      </c>
      <c r="E222" s="106">
        <f t="shared" si="19"/>
        <v>0</v>
      </c>
      <c r="F222" s="106">
        <f t="shared" si="19"/>
        <v>0</v>
      </c>
      <c r="G222" s="153"/>
      <c r="H222" s="153"/>
      <c r="M222" s="64" t="s">
        <v>588</v>
      </c>
      <c r="N222" s="61">
        <f>INDEX(Data!$9:$9,1,MATCH(M222,detail_table[#Headers],0))</f>
        <v>0</v>
      </c>
    </row>
    <row r="223" spans="1:18" ht="15" thickBot="1" x14ac:dyDescent="0.4">
      <c r="A223" s="1" t="s">
        <v>241</v>
      </c>
      <c r="B223" s="105"/>
      <c r="C223" s="106"/>
      <c r="D223" s="106"/>
      <c r="E223" s="106"/>
      <c r="F223" s="106"/>
      <c r="G223" s="153"/>
      <c r="H223" s="153"/>
      <c r="M223" s="64" t="s">
        <v>589</v>
      </c>
      <c r="N223" s="61">
        <f>INDEX(Data!$9:$9,1,MATCH(M223,detail_table[#Headers],0))</f>
        <v>0</v>
      </c>
    </row>
    <row r="224" spans="1:18" ht="26.5" thickBot="1" x14ac:dyDescent="0.4">
      <c r="A224" s="23" t="s">
        <v>2470</v>
      </c>
      <c r="B224" s="105">
        <f t="shared" ref="B224:F238" si="20">INDEX($N$2:$N$1687,MATCH($B$206&amp;" | "&amp;$A224&amp;" | "&amp;B$207,$M$2:$M$1687,0))</f>
        <v>0</v>
      </c>
      <c r="C224" s="106">
        <f t="shared" si="20"/>
        <v>0</v>
      </c>
      <c r="D224" s="106">
        <f t="shared" si="20"/>
        <v>0</v>
      </c>
      <c r="E224" s="106">
        <f t="shared" si="20"/>
        <v>0</v>
      </c>
      <c r="F224" s="106">
        <f t="shared" si="20"/>
        <v>0</v>
      </c>
      <c r="G224" s="153"/>
      <c r="H224" s="153"/>
      <c r="M224" s="64" t="s">
        <v>590</v>
      </c>
      <c r="N224" s="61">
        <f>INDEX(Data!$9:$9,1,MATCH(M224,detail_table[#Headers],0))</f>
        <v>0</v>
      </c>
    </row>
    <row r="225" spans="1:14" ht="26.5" thickBot="1" x14ac:dyDescent="0.4">
      <c r="A225" s="23" t="s">
        <v>243</v>
      </c>
      <c r="B225" s="105">
        <f t="shared" si="20"/>
        <v>0</v>
      </c>
      <c r="C225" s="106">
        <f t="shared" si="20"/>
        <v>0</v>
      </c>
      <c r="D225" s="106">
        <f t="shared" si="20"/>
        <v>0</v>
      </c>
      <c r="E225" s="106">
        <f t="shared" si="20"/>
        <v>0</v>
      </c>
      <c r="F225" s="106">
        <f t="shared" si="20"/>
        <v>0</v>
      </c>
      <c r="G225" s="153"/>
      <c r="H225" s="153"/>
      <c r="M225" s="64" t="s">
        <v>591</v>
      </c>
      <c r="N225" s="61">
        <f>INDEX(Data!$9:$9,1,MATCH(M225,detail_table[#Headers],0))</f>
        <v>0</v>
      </c>
    </row>
    <row r="226" spans="1:14" ht="26.5" thickBot="1" x14ac:dyDescent="0.4">
      <c r="A226" s="23" t="s">
        <v>244</v>
      </c>
      <c r="B226" s="105">
        <f t="shared" si="20"/>
        <v>0</v>
      </c>
      <c r="C226" s="106">
        <f t="shared" si="20"/>
        <v>0</v>
      </c>
      <c r="D226" s="106">
        <f t="shared" si="20"/>
        <v>0</v>
      </c>
      <c r="E226" s="106">
        <f t="shared" si="20"/>
        <v>0</v>
      </c>
      <c r="F226" s="106">
        <f t="shared" si="20"/>
        <v>0</v>
      </c>
      <c r="G226" s="153"/>
      <c r="H226" s="153"/>
      <c r="M226" s="64" t="s">
        <v>592</v>
      </c>
      <c r="N226" s="61">
        <f>INDEX(Data!$9:$9,1,MATCH(M226,detail_table[#Headers],0))</f>
        <v>0</v>
      </c>
    </row>
    <row r="227" spans="1:14" ht="26.5" thickBot="1" x14ac:dyDescent="0.4">
      <c r="A227" s="23" t="s">
        <v>245</v>
      </c>
      <c r="B227" s="105">
        <f t="shared" si="20"/>
        <v>0</v>
      </c>
      <c r="C227" s="106">
        <f t="shared" si="20"/>
        <v>0</v>
      </c>
      <c r="D227" s="106">
        <f t="shared" si="20"/>
        <v>0</v>
      </c>
      <c r="E227" s="106">
        <f t="shared" si="20"/>
        <v>0</v>
      </c>
      <c r="F227" s="106">
        <f t="shared" si="20"/>
        <v>0</v>
      </c>
      <c r="G227" s="153"/>
      <c r="H227" s="153"/>
      <c r="M227" s="64" t="s">
        <v>593</v>
      </c>
      <c r="N227" s="61">
        <f>INDEX(Data!$9:$9,1,MATCH(M227,detail_table[#Headers],0))</f>
        <v>0</v>
      </c>
    </row>
    <row r="228" spans="1:14" ht="26.5" thickBot="1" x14ac:dyDescent="0.4">
      <c r="A228" s="23" t="s">
        <v>246</v>
      </c>
      <c r="B228" s="105">
        <f t="shared" si="20"/>
        <v>0</v>
      </c>
      <c r="C228" s="106">
        <f t="shared" si="20"/>
        <v>0</v>
      </c>
      <c r="D228" s="106">
        <f t="shared" si="20"/>
        <v>0</v>
      </c>
      <c r="E228" s="106">
        <f t="shared" si="20"/>
        <v>0</v>
      </c>
      <c r="F228" s="106">
        <f t="shared" si="20"/>
        <v>0</v>
      </c>
      <c r="G228" s="153"/>
      <c r="H228" s="153"/>
      <c r="M228" s="64" t="s">
        <v>594</v>
      </c>
      <c r="N228" s="61">
        <f>INDEX(Data!$9:$9,1,MATCH(M228,detail_table[#Headers],0))</f>
        <v>0</v>
      </c>
    </row>
    <row r="229" spans="1:14" ht="26.5" thickBot="1" x14ac:dyDescent="0.4">
      <c r="A229" s="23" t="s">
        <v>1967</v>
      </c>
      <c r="B229" s="105">
        <f t="shared" si="20"/>
        <v>0</v>
      </c>
      <c r="C229" s="106">
        <f t="shared" si="20"/>
        <v>0</v>
      </c>
      <c r="D229" s="106">
        <f t="shared" si="20"/>
        <v>0</v>
      </c>
      <c r="E229" s="106">
        <f t="shared" si="20"/>
        <v>0</v>
      </c>
      <c r="F229" s="106">
        <f t="shared" si="20"/>
        <v>0</v>
      </c>
      <c r="G229" s="153"/>
      <c r="H229" s="153"/>
      <c r="M229" s="64" t="s">
        <v>595</v>
      </c>
      <c r="N229" s="61">
        <f>INDEX(Data!$9:$9,1,MATCH(M229,detail_table[#Headers],0))</f>
        <v>0</v>
      </c>
    </row>
    <row r="230" spans="1:14" ht="26.5" thickBot="1" x14ac:dyDescent="0.4">
      <c r="A230" s="23" t="s">
        <v>248</v>
      </c>
      <c r="B230" s="105">
        <f t="shared" si="20"/>
        <v>0</v>
      </c>
      <c r="C230" s="106">
        <f t="shared" si="20"/>
        <v>0</v>
      </c>
      <c r="D230" s="106">
        <f t="shared" si="20"/>
        <v>0</v>
      </c>
      <c r="E230" s="106">
        <f t="shared" si="20"/>
        <v>0</v>
      </c>
      <c r="F230" s="106">
        <f t="shared" si="20"/>
        <v>0</v>
      </c>
      <c r="G230" s="153"/>
      <c r="H230" s="153"/>
      <c r="M230" s="64" t="s">
        <v>596</v>
      </c>
      <c r="N230" s="61">
        <f>INDEX(Data!$9:$9,1,MATCH(M230,detail_table[#Headers],0))</f>
        <v>0</v>
      </c>
    </row>
    <row r="231" spans="1:14" ht="26.5" thickBot="1" x14ac:dyDescent="0.4">
      <c r="A231" s="23" t="s">
        <v>249</v>
      </c>
      <c r="B231" s="105">
        <f t="shared" si="20"/>
        <v>0</v>
      </c>
      <c r="C231" s="106">
        <f t="shared" si="20"/>
        <v>0</v>
      </c>
      <c r="D231" s="106">
        <f t="shared" si="20"/>
        <v>0</v>
      </c>
      <c r="E231" s="106">
        <f t="shared" si="20"/>
        <v>0</v>
      </c>
      <c r="F231" s="106">
        <f t="shared" si="20"/>
        <v>0</v>
      </c>
      <c r="G231" s="153"/>
      <c r="H231" s="153"/>
      <c r="M231" s="64" t="s">
        <v>597</v>
      </c>
      <c r="N231" s="61">
        <f>INDEX(Data!$9:$9,1,MATCH(M231,detail_table[#Headers],0))</f>
        <v>0</v>
      </c>
    </row>
    <row r="232" spans="1:14" ht="26.5" thickBot="1" x14ac:dyDescent="0.4">
      <c r="A232" s="23" t="s">
        <v>1993</v>
      </c>
      <c r="B232" s="105">
        <f t="shared" si="20"/>
        <v>0</v>
      </c>
      <c r="C232" s="106">
        <f t="shared" si="20"/>
        <v>0</v>
      </c>
      <c r="D232" s="106">
        <f t="shared" si="20"/>
        <v>0</v>
      </c>
      <c r="E232" s="106">
        <f t="shared" si="20"/>
        <v>0</v>
      </c>
      <c r="F232" s="106">
        <f t="shared" si="20"/>
        <v>0</v>
      </c>
      <c r="G232" s="153"/>
      <c r="H232" s="153"/>
      <c r="M232" s="64" t="s">
        <v>598</v>
      </c>
      <c r="N232" s="61">
        <f>INDEX(Data!$9:$9,1,MATCH(M232,detail_table[#Headers],0))</f>
        <v>0</v>
      </c>
    </row>
    <row r="233" spans="1:14" ht="26.5" thickBot="1" x14ac:dyDescent="0.4">
      <c r="A233" s="23" t="s">
        <v>1994</v>
      </c>
      <c r="B233" s="105">
        <f t="shared" si="20"/>
        <v>0</v>
      </c>
      <c r="C233" s="106">
        <f t="shared" si="20"/>
        <v>0</v>
      </c>
      <c r="D233" s="106">
        <f t="shared" si="20"/>
        <v>0</v>
      </c>
      <c r="E233" s="106">
        <f t="shared" si="20"/>
        <v>0</v>
      </c>
      <c r="F233" s="106">
        <f t="shared" si="20"/>
        <v>0</v>
      </c>
      <c r="G233" s="153"/>
      <c r="H233" s="153"/>
      <c r="M233" s="64" t="s">
        <v>599</v>
      </c>
      <c r="N233" s="61">
        <f>INDEX(Data!$9:$9,1,MATCH(M233,detail_table[#Headers],0))</f>
        <v>0</v>
      </c>
    </row>
    <row r="234" spans="1:14" ht="15" thickBot="1" x14ac:dyDescent="0.4">
      <c r="A234" s="23" t="s">
        <v>1995</v>
      </c>
      <c r="B234" s="105">
        <f t="shared" si="20"/>
        <v>0</v>
      </c>
      <c r="C234" s="106">
        <f t="shared" si="20"/>
        <v>0</v>
      </c>
      <c r="D234" s="106">
        <f t="shared" si="20"/>
        <v>0</v>
      </c>
      <c r="E234" s="106">
        <f t="shared" si="20"/>
        <v>0</v>
      </c>
      <c r="F234" s="106">
        <f t="shared" si="20"/>
        <v>0</v>
      </c>
      <c r="G234" s="153"/>
      <c r="H234" s="153"/>
      <c r="M234" s="64" t="s">
        <v>600</v>
      </c>
      <c r="N234" s="61">
        <f>INDEX(Data!$9:$9,1,MATCH(M234,detail_table[#Headers],0))</f>
        <v>0</v>
      </c>
    </row>
    <row r="235" spans="1:14" ht="26.5" thickBot="1" x14ac:dyDescent="0.4">
      <c r="A235" s="23" t="s">
        <v>1996</v>
      </c>
      <c r="B235" s="105">
        <f t="shared" si="20"/>
        <v>0</v>
      </c>
      <c r="C235" s="106">
        <f t="shared" si="20"/>
        <v>0</v>
      </c>
      <c r="D235" s="106">
        <f t="shared" si="20"/>
        <v>0</v>
      </c>
      <c r="E235" s="106">
        <f t="shared" si="20"/>
        <v>0</v>
      </c>
      <c r="F235" s="106">
        <f t="shared" si="20"/>
        <v>0</v>
      </c>
      <c r="G235" s="153"/>
      <c r="H235" s="153"/>
      <c r="M235" s="64" t="s">
        <v>601</v>
      </c>
      <c r="N235" s="61">
        <f>INDEX(Data!$9:$9,1,MATCH(M235,detail_table[#Headers],0))</f>
        <v>0</v>
      </c>
    </row>
    <row r="236" spans="1:14" ht="26.5" thickBot="1" x14ac:dyDescent="0.4">
      <c r="A236" s="23" t="s">
        <v>1997</v>
      </c>
      <c r="B236" s="105">
        <f t="shared" si="20"/>
        <v>0</v>
      </c>
      <c r="C236" s="106">
        <f t="shared" si="20"/>
        <v>0</v>
      </c>
      <c r="D236" s="106">
        <f t="shared" si="20"/>
        <v>0</v>
      </c>
      <c r="E236" s="106">
        <f t="shared" si="20"/>
        <v>0</v>
      </c>
      <c r="F236" s="106">
        <f t="shared" si="20"/>
        <v>0</v>
      </c>
      <c r="G236" s="153"/>
      <c r="H236" s="153"/>
      <c r="M236" s="64" t="s">
        <v>602</v>
      </c>
      <c r="N236" s="61">
        <f>INDEX(Data!$9:$9,1,MATCH(M236,detail_table[#Headers],0))</f>
        <v>0</v>
      </c>
    </row>
    <row r="237" spans="1:14" ht="15" thickBot="1" x14ac:dyDescent="0.4">
      <c r="A237" s="23" t="s">
        <v>255</v>
      </c>
      <c r="B237" s="105">
        <f t="shared" si="20"/>
        <v>0</v>
      </c>
      <c r="C237" s="106">
        <f t="shared" si="20"/>
        <v>0</v>
      </c>
      <c r="D237" s="106">
        <f t="shared" si="20"/>
        <v>0</v>
      </c>
      <c r="E237" s="106">
        <f t="shared" si="20"/>
        <v>0</v>
      </c>
      <c r="F237" s="106">
        <f t="shared" si="20"/>
        <v>0</v>
      </c>
      <c r="G237" s="153"/>
      <c r="H237" s="153"/>
      <c r="M237" s="64" t="s">
        <v>603</v>
      </c>
      <c r="N237" s="61">
        <f>INDEX(Data!$9:$9,1,MATCH(M237,detail_table[#Headers],0))</f>
        <v>0</v>
      </c>
    </row>
    <row r="238" spans="1:14" ht="15" thickBot="1" x14ac:dyDescent="0.4">
      <c r="A238" s="175" t="s">
        <v>256</v>
      </c>
      <c r="B238" s="105">
        <f t="shared" si="20"/>
        <v>0</v>
      </c>
      <c r="C238" s="105">
        <f t="shared" si="20"/>
        <v>0</v>
      </c>
      <c r="D238" s="105">
        <f t="shared" si="20"/>
        <v>0</v>
      </c>
      <c r="E238" s="105">
        <f t="shared" si="20"/>
        <v>0</v>
      </c>
      <c r="F238" s="105">
        <f t="shared" si="20"/>
        <v>0</v>
      </c>
      <c r="G238" s="153"/>
      <c r="H238" s="153"/>
      <c r="M238" s="64" t="s">
        <v>604</v>
      </c>
      <c r="N238" s="61">
        <f>INDEX(Data!$9:$9,1,MATCH(M238,detail_table[#Headers],0))</f>
        <v>0</v>
      </c>
    </row>
    <row r="239" spans="1:14" x14ac:dyDescent="0.35">
      <c r="A239" s="72"/>
      <c r="B239" s="59"/>
      <c r="C239" s="59"/>
      <c r="D239" s="59"/>
      <c r="E239" s="59"/>
      <c r="F239" s="59"/>
      <c r="G239" s="194"/>
      <c r="H239" s="153"/>
      <c r="M239" s="64" t="s">
        <v>605</v>
      </c>
      <c r="N239" s="61">
        <f>INDEX(Data!$9:$9,1,MATCH(M239,detail_table[#Headers],0))</f>
        <v>0</v>
      </c>
    </row>
    <row r="240" spans="1:14" x14ac:dyDescent="0.35">
      <c r="A240" s="227" t="s">
        <v>124</v>
      </c>
      <c r="B240" s="153"/>
      <c r="C240" s="153"/>
      <c r="D240" s="153"/>
      <c r="E240" s="153"/>
      <c r="F240" s="153"/>
      <c r="G240" s="153"/>
      <c r="H240" s="153"/>
      <c r="M240" s="64" t="s">
        <v>606</v>
      </c>
      <c r="N240" s="61">
        <f>INDEX(Data!$9:$9,1,MATCH(M240,detail_table[#Headers],0))</f>
        <v>0</v>
      </c>
    </row>
    <row r="241" spans="1:18" ht="26.5" thickBot="1" x14ac:dyDescent="0.4">
      <c r="A241" s="186" t="s">
        <v>65</v>
      </c>
      <c r="B241" s="153" t="s">
        <v>88</v>
      </c>
      <c r="C241" s="153"/>
      <c r="D241" s="153"/>
      <c r="E241" s="153"/>
      <c r="F241" s="153"/>
      <c r="G241" s="153"/>
      <c r="H241" s="153"/>
      <c r="M241" s="64" t="s">
        <v>607</v>
      </c>
      <c r="N241" s="61">
        <f>INDEX(Data!$9:$9,1,MATCH(M241,detail_table[#Headers],0))</f>
        <v>0</v>
      </c>
    </row>
    <row r="242" spans="1:18" ht="52.5" thickBot="1" x14ac:dyDescent="0.4">
      <c r="A242" s="154"/>
      <c r="B242" s="112" t="s">
        <v>258</v>
      </c>
      <c r="C242" s="113" t="s">
        <v>259</v>
      </c>
      <c r="D242" s="112" t="s">
        <v>69</v>
      </c>
      <c r="E242" s="74"/>
      <c r="F242" s="195"/>
      <c r="G242" s="153"/>
      <c r="H242" s="153"/>
      <c r="M242" s="64" t="s">
        <v>608</v>
      </c>
      <c r="N242" s="61">
        <f>INDEX(Data!$9:$9,1,MATCH(M242,detail_table[#Headers],0))</f>
        <v>0</v>
      </c>
    </row>
    <row r="243" spans="1:18" ht="39.5" thickBot="1" x14ac:dyDescent="0.4">
      <c r="A243" s="154" t="s">
        <v>257</v>
      </c>
      <c r="B243" s="154">
        <f t="shared" ref="B243:D248" si="21">INDEX($N$2:$N$1687,MATCH($B$241&amp;" | "&amp;$A243&amp;" | "&amp;B$242,$M$2:$M$1687,0))</f>
        <v>0</v>
      </c>
      <c r="C243" s="154">
        <f t="shared" si="21"/>
        <v>0</v>
      </c>
      <c r="D243" s="154">
        <f t="shared" si="21"/>
        <v>0</v>
      </c>
      <c r="E243" s="56"/>
      <c r="F243" s="195"/>
      <c r="G243" s="153"/>
      <c r="H243" s="153"/>
      <c r="M243" s="64" t="s">
        <v>609</v>
      </c>
      <c r="N243" s="61">
        <f>INDEX(Data!$9:$9,1,MATCH(M243,detail_table[#Headers],0))</f>
        <v>0</v>
      </c>
    </row>
    <row r="244" spans="1:18" ht="15" thickBot="1" x14ac:dyDescent="0.4">
      <c r="A244" s="154" t="s">
        <v>260</v>
      </c>
      <c r="B244" s="154">
        <f t="shared" si="21"/>
        <v>0</v>
      </c>
      <c r="C244" s="154">
        <f t="shared" si="21"/>
        <v>0</v>
      </c>
      <c r="D244" s="154">
        <f t="shared" si="21"/>
        <v>0</v>
      </c>
      <c r="E244" s="56"/>
      <c r="F244" s="195"/>
      <c r="G244" s="153"/>
      <c r="H244" s="153"/>
      <c r="M244" s="64" t="s">
        <v>610</v>
      </c>
      <c r="N244" s="61">
        <f>INDEX(Data!$9:$9,1,MATCH(M244,detail_table[#Headers],0))</f>
        <v>0</v>
      </c>
    </row>
    <row r="245" spans="1:18" ht="26.5" thickBot="1" x14ac:dyDescent="0.4">
      <c r="A245" s="154" t="s">
        <v>261</v>
      </c>
      <c r="B245" s="154">
        <f t="shared" si="21"/>
        <v>0</v>
      </c>
      <c r="C245" s="154">
        <f t="shared" si="21"/>
        <v>0</v>
      </c>
      <c r="D245" s="154">
        <f t="shared" si="21"/>
        <v>0</v>
      </c>
      <c r="E245" s="56"/>
      <c r="F245" s="195"/>
      <c r="G245" s="153"/>
      <c r="H245" s="153"/>
      <c r="M245" s="64" t="s">
        <v>611</v>
      </c>
      <c r="N245" s="61">
        <f>INDEX(Data!$9:$9,1,MATCH(M245,detail_table[#Headers],0))</f>
        <v>0</v>
      </c>
    </row>
    <row r="246" spans="1:18" ht="26.5" thickBot="1" x14ac:dyDescent="0.4">
      <c r="A246" s="154" t="s">
        <v>262</v>
      </c>
      <c r="B246" s="154">
        <f t="shared" si="21"/>
        <v>0</v>
      </c>
      <c r="C246" s="154">
        <f t="shared" si="21"/>
        <v>0</v>
      </c>
      <c r="D246" s="154">
        <f t="shared" si="21"/>
        <v>0</v>
      </c>
      <c r="E246" s="56"/>
      <c r="F246" s="195"/>
      <c r="G246" s="153"/>
      <c r="H246" s="153"/>
      <c r="M246" s="64" t="s">
        <v>612</v>
      </c>
      <c r="N246" s="61">
        <f>INDEX(Data!$9:$9,1,MATCH(M246,detail_table[#Headers],0))</f>
        <v>0</v>
      </c>
      <c r="Q246" s="62"/>
    </row>
    <row r="247" spans="1:18" ht="26.5" thickBot="1" x14ac:dyDescent="0.4">
      <c r="A247" s="154" t="s">
        <v>263</v>
      </c>
      <c r="B247" s="154">
        <f t="shared" si="21"/>
        <v>0</v>
      </c>
      <c r="C247" s="154">
        <f t="shared" si="21"/>
        <v>0</v>
      </c>
      <c r="D247" s="154">
        <f t="shared" si="21"/>
        <v>0</v>
      </c>
      <c r="E247" s="56"/>
      <c r="F247" s="195"/>
      <c r="G247" s="153"/>
      <c r="H247" s="153"/>
      <c r="M247" s="64" t="s">
        <v>613</v>
      </c>
      <c r="N247" s="61">
        <f>INDEX(Data!$9:$9,1,MATCH(M247,detail_table[#Headers],0))</f>
        <v>0</v>
      </c>
    </row>
    <row r="248" spans="1:18" ht="15" thickBot="1" x14ac:dyDescent="0.4">
      <c r="A248" s="154" t="s">
        <v>264</v>
      </c>
      <c r="B248" s="154">
        <f t="shared" si="21"/>
        <v>0</v>
      </c>
      <c r="C248" s="154">
        <f t="shared" si="21"/>
        <v>0</v>
      </c>
      <c r="D248" s="154">
        <f t="shared" si="21"/>
        <v>0</v>
      </c>
      <c r="E248" s="59"/>
      <c r="F248" s="196"/>
      <c r="G248" s="153"/>
      <c r="H248" s="153"/>
      <c r="M248" s="64" t="s">
        <v>614</v>
      </c>
      <c r="N248" s="61">
        <f>INDEX(Data!$9:$9,1,MATCH(M248,detail_table[#Headers],0))</f>
        <v>0</v>
      </c>
    </row>
    <row r="249" spans="1:18" x14ac:dyDescent="0.35">
      <c r="A249" s="56"/>
      <c r="B249" s="56"/>
      <c r="C249" s="56"/>
      <c r="D249" s="56"/>
      <c r="E249" s="59"/>
      <c r="F249" s="196"/>
      <c r="G249" s="153"/>
      <c r="H249" s="153"/>
      <c r="M249" s="64" t="s">
        <v>615</v>
      </c>
      <c r="N249" s="61">
        <f>INDEX(Data!$9:$9,1,MATCH(M249,detail_table[#Headers],0))</f>
        <v>0</v>
      </c>
    </row>
    <row r="250" spans="1:18" ht="15" thickBot="1" x14ac:dyDescent="0.4">
      <c r="A250" s="189" t="s">
        <v>66</v>
      </c>
      <c r="B250" s="153" t="s">
        <v>89</v>
      </c>
      <c r="C250" s="153"/>
      <c r="D250" s="153"/>
      <c r="E250" s="66"/>
      <c r="F250" s="153"/>
      <c r="G250" s="153"/>
      <c r="H250" s="153"/>
      <c r="M250" s="64" t="s">
        <v>616</v>
      </c>
      <c r="N250" s="61">
        <f>INDEX(Data!$9:$9,1,MATCH(M250,detail_table[#Headers],0))</f>
        <v>0</v>
      </c>
    </row>
    <row r="251" spans="1:18" ht="52.5" thickBot="1" x14ac:dyDescent="0.4">
      <c r="A251" s="188"/>
      <c r="B251" s="113" t="s">
        <v>258</v>
      </c>
      <c r="C251" s="113" t="s">
        <v>259</v>
      </c>
      <c r="D251" s="113" t="s">
        <v>69</v>
      </c>
      <c r="E251" s="66"/>
      <c r="F251" s="153"/>
      <c r="G251" s="153"/>
      <c r="H251" s="153"/>
      <c r="M251" s="64" t="s">
        <v>617</v>
      </c>
      <c r="N251" s="61">
        <f>INDEX(Data!$9:$9,1,MATCH(M251,detail_table[#Headers],0))</f>
        <v>0</v>
      </c>
    </row>
    <row r="252" spans="1:18" ht="26.5" thickBot="1" x14ac:dyDescent="0.4">
      <c r="A252" s="188" t="s">
        <v>265</v>
      </c>
      <c r="B252" s="188">
        <f t="shared" ref="B252:D265" si="22">INDEX($N$2:$N$1687,MATCH($B$250&amp;" | "&amp;$A252&amp;" | "&amp;B$251,$M$2:$M$1687,0))</f>
        <v>0</v>
      </c>
      <c r="C252" s="188">
        <f t="shared" si="22"/>
        <v>0</v>
      </c>
      <c r="D252" s="188">
        <f t="shared" si="22"/>
        <v>0</v>
      </c>
      <c r="E252" s="66"/>
      <c r="F252" s="153"/>
      <c r="G252" s="153"/>
      <c r="H252" s="153"/>
      <c r="M252" s="64" t="s">
        <v>618</v>
      </c>
      <c r="N252" s="61">
        <f>INDEX(Data!$9:$9,1,MATCH(M252,detail_table[#Headers],0))</f>
        <v>0</v>
      </c>
    </row>
    <row r="253" spans="1:18" ht="26.5" thickBot="1" x14ac:dyDescent="0.4">
      <c r="A253" s="188" t="s">
        <v>266</v>
      </c>
      <c r="B253" s="188">
        <f t="shared" si="22"/>
        <v>0</v>
      </c>
      <c r="C253" s="188">
        <f t="shared" si="22"/>
        <v>0</v>
      </c>
      <c r="D253" s="188">
        <f t="shared" si="22"/>
        <v>0</v>
      </c>
      <c r="E253" s="66"/>
      <c r="F253" s="153"/>
      <c r="G253" s="153"/>
      <c r="H253" s="153"/>
      <c r="M253" s="64" t="s">
        <v>619</v>
      </c>
      <c r="N253" s="61">
        <f>INDEX(Data!$9:$9,1,MATCH(M253,detail_table[#Headers],0))</f>
        <v>0</v>
      </c>
    </row>
    <row r="254" spans="1:18" ht="26.5" thickBot="1" x14ac:dyDescent="0.4">
      <c r="A254" s="197" t="s">
        <v>352</v>
      </c>
      <c r="B254" s="188">
        <f t="shared" si="22"/>
        <v>0</v>
      </c>
      <c r="C254" s="188">
        <f t="shared" si="22"/>
        <v>0</v>
      </c>
      <c r="D254" s="188">
        <f t="shared" si="22"/>
        <v>0</v>
      </c>
      <c r="E254" s="66"/>
      <c r="F254" s="153"/>
      <c r="G254" s="153"/>
      <c r="H254" s="153"/>
      <c r="J254" s="62"/>
      <c r="M254" s="64" t="s">
        <v>620</v>
      </c>
      <c r="N254" s="61">
        <f>INDEX(Data!$9:$9,1,MATCH(M254,detail_table[#Headers],0))</f>
        <v>0</v>
      </c>
    </row>
    <row r="255" spans="1:18" ht="15" thickBot="1" x14ac:dyDescent="0.4">
      <c r="A255" s="188" t="s">
        <v>353</v>
      </c>
      <c r="B255" s="188">
        <f t="shared" si="22"/>
        <v>0</v>
      </c>
      <c r="C255" s="188">
        <f t="shared" si="22"/>
        <v>0</v>
      </c>
      <c r="D255" s="188">
        <f t="shared" si="22"/>
        <v>0</v>
      </c>
      <c r="E255" s="66"/>
      <c r="F255" s="153"/>
      <c r="G255" s="153"/>
      <c r="H255" s="153"/>
      <c r="M255" s="64" t="s">
        <v>621</v>
      </c>
      <c r="N255" s="61">
        <f>INDEX(Data!$9:$9,1,MATCH(M255,detail_table[#Headers],0))</f>
        <v>0</v>
      </c>
    </row>
    <row r="256" spans="1:18" ht="26.5" thickBot="1" x14ac:dyDescent="0.4">
      <c r="A256" s="188" t="s">
        <v>354</v>
      </c>
      <c r="B256" s="188">
        <f t="shared" si="22"/>
        <v>0</v>
      </c>
      <c r="C256" s="188">
        <f t="shared" si="22"/>
        <v>0</v>
      </c>
      <c r="D256" s="188">
        <f t="shared" si="22"/>
        <v>0</v>
      </c>
      <c r="E256" s="66"/>
      <c r="F256" s="153"/>
      <c r="G256" s="153"/>
      <c r="H256" s="153"/>
      <c r="M256" s="64" t="s">
        <v>622</v>
      </c>
      <c r="N256" s="61">
        <f>INDEX(Data!$9:$9,1,MATCH(M256,detail_table[#Headers],0))</f>
        <v>0</v>
      </c>
      <c r="R256" s="62"/>
    </row>
    <row r="257" spans="1:18" ht="26.5" thickBot="1" x14ac:dyDescent="0.4">
      <c r="A257" s="188" t="s">
        <v>355</v>
      </c>
      <c r="B257" s="188">
        <f t="shared" si="22"/>
        <v>0</v>
      </c>
      <c r="C257" s="188">
        <f t="shared" si="22"/>
        <v>0</v>
      </c>
      <c r="D257" s="188">
        <f t="shared" si="22"/>
        <v>0</v>
      </c>
      <c r="E257" s="66"/>
      <c r="F257" s="153"/>
      <c r="G257" s="153"/>
      <c r="H257" s="153"/>
      <c r="M257" s="64" t="s">
        <v>623</v>
      </c>
      <c r="N257" s="61">
        <f>INDEX(Data!$9:$9,1,MATCH(M257,detail_table[#Headers],0))</f>
        <v>0</v>
      </c>
    </row>
    <row r="258" spans="1:18" ht="26.5" thickBot="1" x14ac:dyDescent="0.4">
      <c r="A258" s="188" t="s">
        <v>356</v>
      </c>
      <c r="B258" s="188">
        <f t="shared" si="22"/>
        <v>0</v>
      </c>
      <c r="C258" s="188">
        <f t="shared" si="22"/>
        <v>0</v>
      </c>
      <c r="D258" s="188">
        <f t="shared" si="22"/>
        <v>0</v>
      </c>
      <c r="E258" s="66"/>
      <c r="F258" s="153"/>
      <c r="G258" s="153"/>
      <c r="H258" s="153"/>
      <c r="I258" s="62"/>
      <c r="M258" s="64" t="s">
        <v>624</v>
      </c>
      <c r="N258" s="61">
        <f>INDEX(Data!$9:$9,1,MATCH(M258,detail_table[#Headers],0))</f>
        <v>0</v>
      </c>
    </row>
    <row r="259" spans="1:18" s="62" customFormat="1" ht="26.5" thickBot="1" x14ac:dyDescent="0.4">
      <c r="A259" s="188" t="s">
        <v>357</v>
      </c>
      <c r="B259" s="188">
        <f t="shared" si="22"/>
        <v>0</v>
      </c>
      <c r="C259" s="188">
        <f t="shared" si="22"/>
        <v>0</v>
      </c>
      <c r="D259" s="188">
        <f t="shared" si="22"/>
        <v>0</v>
      </c>
      <c r="E259" s="66"/>
      <c r="F259" s="153"/>
      <c r="G259" s="153"/>
      <c r="H259" s="153"/>
      <c r="I259" s="61"/>
      <c r="J259" s="61"/>
      <c r="K259" s="61"/>
      <c r="L259" s="61"/>
      <c r="M259" s="64" t="s">
        <v>625</v>
      </c>
      <c r="N259" s="61">
        <f>INDEX(Data!$9:$9,1,MATCH(M259,detail_table[#Headers],0))</f>
        <v>0</v>
      </c>
      <c r="O259" s="61"/>
      <c r="Q259" s="61"/>
      <c r="R259" s="61"/>
    </row>
    <row r="260" spans="1:18" ht="15" thickBot="1" x14ac:dyDescent="0.4">
      <c r="A260" s="188" t="s">
        <v>358</v>
      </c>
      <c r="B260" s="188">
        <f t="shared" si="22"/>
        <v>0</v>
      </c>
      <c r="C260" s="188">
        <f t="shared" si="22"/>
        <v>0</v>
      </c>
      <c r="D260" s="188">
        <f t="shared" si="22"/>
        <v>0</v>
      </c>
      <c r="E260" s="66"/>
      <c r="F260" s="153"/>
      <c r="G260" s="153"/>
      <c r="H260" s="153"/>
      <c r="M260" s="64" t="s">
        <v>626</v>
      </c>
      <c r="N260" s="61">
        <f>INDEX(Data!$9:$9,1,MATCH(M260,detail_table[#Headers],0))</f>
        <v>0</v>
      </c>
    </row>
    <row r="261" spans="1:18" ht="26.5" thickBot="1" x14ac:dyDescent="0.4">
      <c r="A261" s="188" t="s">
        <v>359</v>
      </c>
      <c r="B261" s="188">
        <f t="shared" si="22"/>
        <v>0</v>
      </c>
      <c r="C261" s="188">
        <f t="shared" si="22"/>
        <v>0</v>
      </c>
      <c r="D261" s="188">
        <f t="shared" si="22"/>
        <v>0</v>
      </c>
      <c r="E261" s="66"/>
      <c r="F261" s="153"/>
      <c r="G261" s="153"/>
      <c r="H261" s="153"/>
      <c r="M261" s="64" t="s">
        <v>627</v>
      </c>
      <c r="N261" s="61">
        <f>INDEX(Data!$9:$9,1,MATCH(M261,detail_table[#Headers],0))</f>
        <v>0</v>
      </c>
    </row>
    <row r="262" spans="1:18" ht="15" thickBot="1" x14ac:dyDescent="0.4">
      <c r="A262" s="188" t="s">
        <v>360</v>
      </c>
      <c r="B262" s="188">
        <f t="shared" si="22"/>
        <v>0</v>
      </c>
      <c r="C262" s="188">
        <f t="shared" si="22"/>
        <v>0</v>
      </c>
      <c r="D262" s="188">
        <f t="shared" si="22"/>
        <v>0</v>
      </c>
      <c r="E262" s="66"/>
      <c r="F262" s="153"/>
      <c r="G262" s="153"/>
      <c r="H262" s="153"/>
      <c r="M262" s="64" t="s">
        <v>628</v>
      </c>
      <c r="N262" s="61">
        <f>INDEX(Data!$9:$9,1,MATCH(M262,detail_table[#Headers],0))</f>
        <v>0</v>
      </c>
    </row>
    <row r="263" spans="1:18" ht="52.5" thickBot="1" x14ac:dyDescent="0.4">
      <c r="A263" s="188" t="s">
        <v>361</v>
      </c>
      <c r="B263" s="188">
        <f t="shared" si="22"/>
        <v>0</v>
      </c>
      <c r="C263" s="188">
        <f t="shared" si="22"/>
        <v>0</v>
      </c>
      <c r="D263" s="188">
        <f t="shared" si="22"/>
        <v>0</v>
      </c>
      <c r="E263" s="66"/>
      <c r="F263" s="153"/>
      <c r="G263" s="153"/>
      <c r="H263" s="153"/>
      <c r="M263" s="64" t="s">
        <v>629</v>
      </c>
      <c r="N263" s="61">
        <f>INDEX(Data!$9:$9,1,MATCH(M263,detail_table[#Headers],0))</f>
        <v>0</v>
      </c>
    </row>
    <row r="264" spans="1:18" ht="26.5" thickBot="1" x14ac:dyDescent="0.4">
      <c r="A264" s="188" t="s">
        <v>362</v>
      </c>
      <c r="B264" s="188">
        <f t="shared" si="22"/>
        <v>0</v>
      </c>
      <c r="C264" s="188">
        <f t="shared" si="22"/>
        <v>0</v>
      </c>
      <c r="D264" s="188">
        <f t="shared" si="22"/>
        <v>0</v>
      </c>
      <c r="E264" s="66"/>
      <c r="F264" s="153"/>
      <c r="G264" s="153"/>
      <c r="H264" s="153"/>
      <c r="M264" s="64" t="s">
        <v>630</v>
      </c>
      <c r="N264" s="61">
        <f>INDEX(Data!$9:$9,1,MATCH(M264,detail_table[#Headers],0))</f>
        <v>0</v>
      </c>
    </row>
    <row r="265" spans="1:18" ht="26.5" thickBot="1" x14ac:dyDescent="0.4">
      <c r="A265" s="188" t="s">
        <v>363</v>
      </c>
      <c r="B265" s="188">
        <f t="shared" si="22"/>
        <v>0</v>
      </c>
      <c r="C265" s="188">
        <f t="shared" si="22"/>
        <v>0</v>
      </c>
      <c r="D265" s="188">
        <f t="shared" si="22"/>
        <v>0</v>
      </c>
      <c r="E265" s="66"/>
      <c r="F265" s="153"/>
      <c r="G265" s="153"/>
      <c r="H265" s="153"/>
      <c r="M265" s="64" t="s">
        <v>631</v>
      </c>
      <c r="N265" s="61">
        <f>INDEX(Data!$9:$9,1,MATCH(M265,detail_table[#Headers],0))</f>
        <v>0</v>
      </c>
    </row>
    <row r="266" spans="1:18" x14ac:dyDescent="0.35">
      <c r="A266" s="66"/>
      <c r="B266" s="66"/>
      <c r="C266" s="59"/>
      <c r="D266" s="66"/>
      <c r="E266" s="66"/>
      <c r="F266" s="153"/>
      <c r="G266" s="153"/>
      <c r="H266" s="153"/>
      <c r="M266" s="64" t="s">
        <v>632</v>
      </c>
      <c r="N266" s="61">
        <f>INDEX(Data!$9:$9,1,MATCH(M266,detail_table[#Headers],0))</f>
        <v>0</v>
      </c>
    </row>
    <row r="267" spans="1:18" x14ac:dyDescent="0.35">
      <c r="A267" s="247" t="s">
        <v>67</v>
      </c>
      <c r="B267" s="247"/>
      <c r="C267" s="247"/>
      <c r="D267" s="247"/>
      <c r="E267" s="153"/>
      <c r="F267" s="153"/>
      <c r="G267" s="153"/>
      <c r="H267" s="153"/>
      <c r="M267" s="64" t="s">
        <v>2004</v>
      </c>
      <c r="N267" s="61">
        <f>INDEX(Data!$9:$9,1,MATCH(M267,detail_table[#Headers],0))</f>
        <v>0</v>
      </c>
    </row>
    <row r="268" spans="1:18" ht="39.5" thickBot="1" x14ac:dyDescent="0.4">
      <c r="A268" s="186" t="s">
        <v>125</v>
      </c>
      <c r="B268" s="153" t="s">
        <v>90</v>
      </c>
      <c r="C268" s="153"/>
      <c r="D268" s="153"/>
      <c r="E268" s="153"/>
      <c r="F268" s="153"/>
      <c r="G268" s="153"/>
      <c r="H268" s="153"/>
      <c r="M268" s="64" t="s">
        <v>2005</v>
      </c>
      <c r="N268" s="61">
        <f>INDEX(Data!$9:$9,1,MATCH(M268,detail_table[#Headers],0))</f>
        <v>0</v>
      </c>
    </row>
    <row r="269" spans="1:18" ht="15" thickBot="1" x14ac:dyDescent="0.4">
      <c r="A269" s="23"/>
      <c r="B269" s="4" t="s">
        <v>8</v>
      </c>
      <c r="C269" s="4" t="s">
        <v>20</v>
      </c>
      <c r="D269" s="4" t="s">
        <v>21</v>
      </c>
      <c r="E269" s="153"/>
      <c r="F269" s="153"/>
      <c r="G269" s="153"/>
      <c r="H269" s="153"/>
      <c r="M269" s="64" t="s">
        <v>2006</v>
      </c>
      <c r="N269" s="61">
        <f>INDEX(Data!$9:$9,1,MATCH(M269,detail_table[#Headers],0))</f>
        <v>0</v>
      </c>
    </row>
    <row r="270" spans="1:18" ht="15" thickBot="1" x14ac:dyDescent="0.4">
      <c r="A270" s="52" t="s">
        <v>365</v>
      </c>
      <c r="B270" s="107">
        <f t="shared" ref="B270:D284" si="23">INDEX($N$2:$N$1687,MATCH($B$268&amp;" | "&amp;$A270&amp;" | "&amp;B$269,$M$2:$M$1687,0))</f>
        <v>0</v>
      </c>
      <c r="C270" s="71">
        <f t="shared" si="23"/>
        <v>0</v>
      </c>
      <c r="D270" s="71">
        <f t="shared" si="23"/>
        <v>0</v>
      </c>
      <c r="E270" s="153"/>
      <c r="F270" s="153"/>
      <c r="G270" s="153"/>
      <c r="H270" s="153"/>
      <c r="M270" s="64" t="s">
        <v>2007</v>
      </c>
      <c r="N270" s="61">
        <f>INDEX(Data!$9:$9,1,MATCH(M270,detail_table[#Headers],0))</f>
        <v>0</v>
      </c>
    </row>
    <row r="271" spans="1:18" ht="15" thickBot="1" x14ac:dyDescent="0.4">
      <c r="A271" s="52" t="s">
        <v>366</v>
      </c>
      <c r="B271" s="107">
        <f t="shared" si="23"/>
        <v>0</v>
      </c>
      <c r="C271" s="71">
        <f t="shared" si="23"/>
        <v>0</v>
      </c>
      <c r="D271" s="71">
        <f t="shared" si="23"/>
        <v>0</v>
      </c>
      <c r="E271" s="153"/>
      <c r="F271" s="153"/>
      <c r="G271" s="153"/>
      <c r="H271" s="153"/>
      <c r="M271" s="64" t="s">
        <v>2008</v>
      </c>
      <c r="N271" s="61">
        <f>INDEX(Data!$9:$9,1,MATCH(M271,detail_table[#Headers],0))</f>
        <v>0</v>
      </c>
    </row>
    <row r="272" spans="1:18" ht="15" thickBot="1" x14ac:dyDescent="0.4">
      <c r="A272" s="52" t="s">
        <v>367</v>
      </c>
      <c r="B272" s="107">
        <f t="shared" si="23"/>
        <v>0</v>
      </c>
      <c r="C272" s="71">
        <f t="shared" si="23"/>
        <v>0</v>
      </c>
      <c r="D272" s="71">
        <f t="shared" si="23"/>
        <v>0</v>
      </c>
      <c r="E272" s="153"/>
      <c r="F272" s="153"/>
      <c r="G272" s="153"/>
      <c r="H272" s="153"/>
      <c r="M272" s="64" t="s">
        <v>2009</v>
      </c>
      <c r="N272" s="61">
        <f>INDEX(Data!$9:$9,1,MATCH(M272,detail_table[#Headers],0))</f>
        <v>0</v>
      </c>
    </row>
    <row r="273" spans="1:17" ht="15" thickBot="1" x14ac:dyDescent="0.4">
      <c r="A273" s="52" t="s">
        <v>270</v>
      </c>
      <c r="B273" s="107">
        <f t="shared" si="23"/>
        <v>0</v>
      </c>
      <c r="C273" s="71">
        <f t="shared" si="23"/>
        <v>0</v>
      </c>
      <c r="D273" s="71">
        <f t="shared" si="23"/>
        <v>0</v>
      </c>
      <c r="E273" s="153"/>
      <c r="F273" s="153"/>
      <c r="G273" s="153"/>
      <c r="H273" s="153"/>
      <c r="M273" s="64" t="s">
        <v>2010</v>
      </c>
      <c r="N273" s="61">
        <f>INDEX(Data!$9:$9,1,MATCH(M273,detail_table[#Headers],0))</f>
        <v>0</v>
      </c>
    </row>
    <row r="274" spans="1:17" ht="15" thickBot="1" x14ac:dyDescent="0.4">
      <c r="A274" s="52" t="s">
        <v>271</v>
      </c>
      <c r="B274" s="107">
        <f t="shared" si="23"/>
        <v>0</v>
      </c>
      <c r="C274" s="71">
        <f t="shared" si="23"/>
        <v>0</v>
      </c>
      <c r="D274" s="71">
        <f t="shared" si="23"/>
        <v>0</v>
      </c>
      <c r="E274" s="153"/>
      <c r="F274" s="153"/>
      <c r="G274" s="153"/>
      <c r="H274" s="153"/>
      <c r="L274" s="62"/>
      <c r="M274" s="64" t="s">
        <v>2011</v>
      </c>
      <c r="N274" s="61">
        <f>INDEX(Data!$9:$9,1,MATCH(M274,detail_table[#Headers],0))</f>
        <v>0</v>
      </c>
    </row>
    <row r="275" spans="1:17" ht="15" thickBot="1" x14ac:dyDescent="0.4">
      <c r="A275" s="52" t="s">
        <v>272</v>
      </c>
      <c r="B275" s="107">
        <f t="shared" si="23"/>
        <v>0</v>
      </c>
      <c r="C275" s="71">
        <f t="shared" si="23"/>
        <v>0</v>
      </c>
      <c r="D275" s="71">
        <f t="shared" si="23"/>
        <v>0</v>
      </c>
      <c r="E275" s="153"/>
      <c r="F275" s="153"/>
      <c r="G275" s="153"/>
      <c r="H275" s="153"/>
      <c r="K275" s="62"/>
      <c r="M275" s="64" t="s">
        <v>2012</v>
      </c>
      <c r="N275" s="61">
        <f>INDEX(Data!$9:$9,1,MATCH(M275,detail_table[#Headers],0))</f>
        <v>0</v>
      </c>
      <c r="O275" s="62"/>
    </row>
    <row r="276" spans="1:17" ht="15" thickBot="1" x14ac:dyDescent="0.4">
      <c r="A276" s="52" t="s">
        <v>273</v>
      </c>
      <c r="B276" s="107">
        <f t="shared" si="23"/>
        <v>0</v>
      </c>
      <c r="C276" s="71">
        <f t="shared" si="23"/>
        <v>0</v>
      </c>
      <c r="D276" s="71">
        <f t="shared" si="23"/>
        <v>0</v>
      </c>
      <c r="E276" s="153"/>
      <c r="F276" s="153"/>
      <c r="G276" s="153"/>
      <c r="H276" s="153"/>
      <c r="M276" s="64" t="s">
        <v>2013</v>
      </c>
      <c r="N276" s="61">
        <f>INDEX(Data!$9:$9,1,MATCH(M276,detail_table[#Headers],0))</f>
        <v>0</v>
      </c>
    </row>
    <row r="277" spans="1:17" ht="15" thickBot="1" x14ac:dyDescent="0.4">
      <c r="A277" s="52" t="s">
        <v>274</v>
      </c>
      <c r="B277" s="107">
        <f t="shared" si="23"/>
        <v>0</v>
      </c>
      <c r="C277" s="71">
        <f t="shared" si="23"/>
        <v>0</v>
      </c>
      <c r="D277" s="71">
        <f t="shared" si="23"/>
        <v>0</v>
      </c>
      <c r="E277" s="153"/>
      <c r="F277" s="153"/>
      <c r="G277" s="153"/>
      <c r="H277" s="153"/>
      <c r="M277" s="64" t="s">
        <v>2014</v>
      </c>
      <c r="N277" s="61">
        <f>INDEX(Data!$9:$9,1,MATCH(M277,detail_table[#Headers],0))</f>
        <v>0</v>
      </c>
    </row>
    <row r="278" spans="1:17" ht="26.5" thickBot="1" x14ac:dyDescent="0.4">
      <c r="A278" s="52" t="s">
        <v>2094</v>
      </c>
      <c r="B278" s="107">
        <f t="shared" si="23"/>
        <v>0</v>
      </c>
      <c r="C278" s="71">
        <f t="shared" si="23"/>
        <v>0</v>
      </c>
      <c r="D278" s="71">
        <f t="shared" si="23"/>
        <v>0</v>
      </c>
      <c r="E278" s="153"/>
      <c r="F278" s="153"/>
      <c r="G278" s="153"/>
      <c r="H278" s="153"/>
      <c r="M278" s="64" t="s">
        <v>2015</v>
      </c>
      <c r="N278" s="61">
        <f>INDEX(Data!$9:$9,1,MATCH(M278,detail_table[#Headers],0))</f>
        <v>0</v>
      </c>
    </row>
    <row r="279" spans="1:17" ht="26.5" thickBot="1" x14ac:dyDescent="0.4">
      <c r="A279" s="52" t="s">
        <v>2095</v>
      </c>
      <c r="B279" s="107">
        <f t="shared" si="23"/>
        <v>0</v>
      </c>
      <c r="C279" s="71">
        <f t="shared" si="23"/>
        <v>0</v>
      </c>
      <c r="D279" s="71">
        <f t="shared" si="23"/>
        <v>0</v>
      </c>
      <c r="E279" s="153"/>
      <c r="F279" s="153"/>
      <c r="G279" s="153"/>
      <c r="H279" s="153"/>
      <c r="M279" s="64" t="s">
        <v>2016</v>
      </c>
      <c r="N279" s="61">
        <f>INDEX(Data!$9:$9,1,MATCH(M279,detail_table[#Headers],0))</f>
        <v>0</v>
      </c>
    </row>
    <row r="280" spans="1:17" ht="26.5" thickBot="1" x14ac:dyDescent="0.4">
      <c r="A280" s="52" t="s">
        <v>2096</v>
      </c>
      <c r="B280" s="107">
        <f t="shared" si="23"/>
        <v>0</v>
      </c>
      <c r="C280" s="71">
        <f t="shared" si="23"/>
        <v>0</v>
      </c>
      <c r="D280" s="71">
        <f t="shared" si="23"/>
        <v>0</v>
      </c>
      <c r="E280" s="153"/>
      <c r="F280" s="153"/>
      <c r="G280" s="153"/>
      <c r="H280" s="153"/>
      <c r="M280" s="64" t="s">
        <v>2017</v>
      </c>
      <c r="N280" s="61">
        <f>INDEX(Data!$9:$9,1,MATCH(M280,detail_table[#Headers],0))</f>
        <v>0</v>
      </c>
      <c r="Q280" s="62"/>
    </row>
    <row r="281" spans="1:17" ht="26.5" thickBot="1" x14ac:dyDescent="0.4">
      <c r="A281" s="52" t="s">
        <v>2097</v>
      </c>
      <c r="B281" s="107">
        <f t="shared" si="23"/>
        <v>0</v>
      </c>
      <c r="C281" s="71">
        <f t="shared" si="23"/>
        <v>0</v>
      </c>
      <c r="D281" s="71">
        <f t="shared" si="23"/>
        <v>0</v>
      </c>
      <c r="E281" s="153"/>
      <c r="F281" s="153"/>
      <c r="G281" s="153"/>
      <c r="H281" s="153"/>
      <c r="M281" s="64" t="s">
        <v>2018</v>
      </c>
      <c r="N281" s="61">
        <f>INDEX(Data!$9:$9,1,MATCH(M281,detail_table[#Headers],0))</f>
        <v>0</v>
      </c>
    </row>
    <row r="282" spans="1:17" ht="26.5" thickBot="1" x14ac:dyDescent="0.4">
      <c r="A282" s="52" t="s">
        <v>279</v>
      </c>
      <c r="B282" s="107">
        <f t="shared" si="23"/>
        <v>0</v>
      </c>
      <c r="C282" s="71">
        <f t="shared" si="23"/>
        <v>0</v>
      </c>
      <c r="D282" s="71">
        <f t="shared" si="23"/>
        <v>0</v>
      </c>
      <c r="E282" s="153"/>
      <c r="F282" s="153"/>
      <c r="G282" s="153"/>
      <c r="H282" s="153"/>
      <c r="M282" s="64" t="s">
        <v>2019</v>
      </c>
      <c r="N282" s="61">
        <f>INDEX(Data!$9:$9,1,MATCH(M282,detail_table[#Headers],0))</f>
        <v>0</v>
      </c>
    </row>
    <row r="283" spans="1:17" ht="15" thickBot="1" x14ac:dyDescent="0.4">
      <c r="A283" s="52" t="s">
        <v>280</v>
      </c>
      <c r="B283" s="107">
        <f t="shared" si="23"/>
        <v>0</v>
      </c>
      <c r="C283" s="71">
        <f t="shared" si="23"/>
        <v>0</v>
      </c>
      <c r="D283" s="71">
        <f t="shared" si="23"/>
        <v>0</v>
      </c>
      <c r="E283" s="153"/>
      <c r="F283" s="153"/>
      <c r="G283" s="153"/>
      <c r="H283" s="153"/>
      <c r="M283" s="64" t="s">
        <v>2020</v>
      </c>
      <c r="N283" s="61">
        <f>INDEX(Data!$9:$9,1,MATCH(M283,detail_table[#Headers],0))</f>
        <v>0</v>
      </c>
    </row>
    <row r="284" spans="1:17" ht="15" thickBot="1" x14ac:dyDescent="0.4">
      <c r="A284" s="2" t="s">
        <v>281</v>
      </c>
      <c r="B284" s="107">
        <f t="shared" si="23"/>
        <v>0</v>
      </c>
      <c r="C284" s="107">
        <f t="shared" si="23"/>
        <v>0</v>
      </c>
      <c r="D284" s="107">
        <f t="shared" si="23"/>
        <v>0</v>
      </c>
      <c r="E284" s="153"/>
      <c r="F284" s="153"/>
      <c r="G284" s="153"/>
      <c r="H284" s="153"/>
      <c r="M284" s="64" t="s">
        <v>2021</v>
      </c>
      <c r="N284" s="61">
        <f>INDEX(Data!$9:$9,1,MATCH(M284,detail_table[#Headers],0))</f>
        <v>0</v>
      </c>
    </row>
    <row r="285" spans="1:17" x14ac:dyDescent="0.35">
      <c r="A285" s="60"/>
      <c r="B285" s="59"/>
      <c r="C285" s="59"/>
      <c r="D285" s="59"/>
      <c r="E285" s="194"/>
      <c r="F285" s="194"/>
      <c r="G285" s="153"/>
      <c r="H285" s="153"/>
      <c r="M285" s="64" t="s">
        <v>2022</v>
      </c>
      <c r="N285" s="61">
        <f>INDEX(Data!$9:$9,1,MATCH(M285,detail_table[#Headers],0))</f>
        <v>0</v>
      </c>
    </row>
    <row r="286" spans="1:17" ht="65.5" thickBot="1" x14ac:dyDescent="0.4">
      <c r="A286" s="186" t="s">
        <v>126</v>
      </c>
      <c r="B286" s="153" t="s">
        <v>104</v>
      </c>
      <c r="C286" s="153"/>
      <c r="D286" s="153"/>
      <c r="E286" s="153"/>
      <c r="F286" s="153"/>
      <c r="G286" s="194"/>
      <c r="H286" s="194"/>
      <c r="M286" s="64" t="s">
        <v>2023</v>
      </c>
      <c r="N286" s="61">
        <f>INDEX(Data!$9:$9,1,MATCH(M286,detail_table[#Headers],0))</f>
        <v>0</v>
      </c>
    </row>
    <row r="287" spans="1:17" ht="52.5" thickBot="1" x14ac:dyDescent="0.4">
      <c r="A287" s="154"/>
      <c r="B287" s="25" t="s">
        <v>8</v>
      </c>
      <c r="C287" s="25" t="s">
        <v>0</v>
      </c>
      <c r="D287" s="25" t="s">
        <v>1</v>
      </c>
      <c r="E287" s="25" t="s">
        <v>2</v>
      </c>
      <c r="F287" s="25" t="s">
        <v>3</v>
      </c>
      <c r="G287" s="153"/>
      <c r="H287" s="153"/>
      <c r="M287" s="64" t="s">
        <v>2024</v>
      </c>
      <c r="N287" s="61">
        <f>INDEX(Data!$9:$9,1,MATCH(M287,detail_table[#Headers],0))</f>
        <v>0</v>
      </c>
    </row>
    <row r="288" spans="1:17" ht="15" thickBot="1" x14ac:dyDescent="0.4">
      <c r="A288" s="20" t="s">
        <v>267</v>
      </c>
      <c r="B288" s="21">
        <f t="shared" ref="B288:F297" si="24">INDEX($N$2:$N$1687,MATCH($B$286&amp;" | "&amp;$A288&amp;" | "&amp;B$287,$M$2:$M$1687,0))</f>
        <v>0</v>
      </c>
      <c r="C288" s="114">
        <f t="shared" si="24"/>
        <v>0</v>
      </c>
      <c r="D288" s="114">
        <f t="shared" si="24"/>
        <v>0</v>
      </c>
      <c r="E288" s="114">
        <f t="shared" si="24"/>
        <v>0</v>
      </c>
      <c r="F288" s="114">
        <f t="shared" si="24"/>
        <v>0</v>
      </c>
      <c r="G288" s="153"/>
      <c r="H288" s="153"/>
      <c r="J288" s="62"/>
      <c r="M288" s="64" t="s">
        <v>2025</v>
      </c>
      <c r="N288" s="61">
        <f>INDEX(Data!$9:$9,1,MATCH(M288,detail_table[#Headers],0))</f>
        <v>0</v>
      </c>
    </row>
    <row r="289" spans="1:18" ht="15" thickBot="1" x14ac:dyDescent="0.4">
      <c r="A289" s="20" t="s">
        <v>268</v>
      </c>
      <c r="B289" s="21">
        <f t="shared" si="24"/>
        <v>0</v>
      </c>
      <c r="C289" s="114">
        <f t="shared" si="24"/>
        <v>0</v>
      </c>
      <c r="D289" s="114">
        <f t="shared" si="24"/>
        <v>0</v>
      </c>
      <c r="E289" s="114">
        <f t="shared" si="24"/>
        <v>0</v>
      </c>
      <c r="F289" s="114">
        <f t="shared" si="24"/>
        <v>0</v>
      </c>
      <c r="G289" s="153"/>
      <c r="H289" s="153"/>
      <c r="M289" s="64" t="s">
        <v>2026</v>
      </c>
      <c r="N289" s="61">
        <f>INDEX(Data!$9:$9,1,MATCH(M289,detail_table[#Headers],0))</f>
        <v>0</v>
      </c>
    </row>
    <row r="290" spans="1:18" ht="15" thickBot="1" x14ac:dyDescent="0.4">
      <c r="A290" s="20" t="s">
        <v>269</v>
      </c>
      <c r="B290" s="21">
        <f t="shared" si="24"/>
        <v>0</v>
      </c>
      <c r="C290" s="114">
        <f t="shared" si="24"/>
        <v>0</v>
      </c>
      <c r="D290" s="114">
        <f t="shared" si="24"/>
        <v>0</v>
      </c>
      <c r="E290" s="114">
        <f t="shared" si="24"/>
        <v>0</v>
      </c>
      <c r="F290" s="114">
        <f t="shared" si="24"/>
        <v>0</v>
      </c>
      <c r="G290" s="153"/>
      <c r="H290" s="153"/>
      <c r="M290" s="64" t="s">
        <v>2027</v>
      </c>
      <c r="N290" s="61">
        <f>INDEX(Data!$9:$9,1,MATCH(M290,detail_table[#Headers],0))</f>
        <v>0</v>
      </c>
    </row>
    <row r="291" spans="1:18" ht="15" thickBot="1" x14ac:dyDescent="0.4">
      <c r="A291" s="20" t="s">
        <v>270</v>
      </c>
      <c r="B291" s="21">
        <f t="shared" si="24"/>
        <v>0</v>
      </c>
      <c r="C291" s="114">
        <f t="shared" si="24"/>
        <v>0</v>
      </c>
      <c r="D291" s="114">
        <f t="shared" si="24"/>
        <v>0</v>
      </c>
      <c r="E291" s="114">
        <f t="shared" si="24"/>
        <v>0</v>
      </c>
      <c r="F291" s="114">
        <f t="shared" si="24"/>
        <v>0</v>
      </c>
      <c r="G291" s="153"/>
      <c r="H291" s="153"/>
      <c r="M291" s="64" t="s">
        <v>2028</v>
      </c>
      <c r="N291" s="61">
        <f>INDEX(Data!$9:$9,1,MATCH(M291,detail_table[#Headers],0))</f>
        <v>0</v>
      </c>
    </row>
    <row r="292" spans="1:18" ht="15" thickBot="1" x14ac:dyDescent="0.4">
      <c r="A292" s="20" t="s">
        <v>271</v>
      </c>
      <c r="B292" s="21">
        <f t="shared" si="24"/>
        <v>0</v>
      </c>
      <c r="C292" s="114">
        <f t="shared" si="24"/>
        <v>0</v>
      </c>
      <c r="D292" s="114">
        <f t="shared" si="24"/>
        <v>0</v>
      </c>
      <c r="E292" s="114">
        <f t="shared" si="24"/>
        <v>0</v>
      </c>
      <c r="F292" s="114">
        <f t="shared" si="24"/>
        <v>0</v>
      </c>
      <c r="G292" s="153"/>
      <c r="H292" s="153"/>
      <c r="M292" s="64" t="s">
        <v>2029</v>
      </c>
      <c r="N292" s="61">
        <f>INDEX(Data!$9:$9,1,MATCH(M292,detail_table[#Headers],0))</f>
        <v>0</v>
      </c>
      <c r="Q292" s="62"/>
    </row>
    <row r="293" spans="1:18" ht="15" thickBot="1" x14ac:dyDescent="0.4">
      <c r="A293" s="20" t="s">
        <v>346</v>
      </c>
      <c r="B293" s="21">
        <f t="shared" si="24"/>
        <v>0</v>
      </c>
      <c r="C293" s="114">
        <f t="shared" si="24"/>
        <v>0</v>
      </c>
      <c r="D293" s="114">
        <f t="shared" si="24"/>
        <v>0</v>
      </c>
      <c r="E293" s="114">
        <f t="shared" si="24"/>
        <v>0</v>
      </c>
      <c r="F293" s="114">
        <f t="shared" si="24"/>
        <v>0</v>
      </c>
      <c r="G293" s="153"/>
      <c r="H293" s="153"/>
      <c r="M293" s="64" t="s">
        <v>2030</v>
      </c>
      <c r="N293" s="61">
        <f>INDEX(Data!$9:$9,1,MATCH(M293,detail_table[#Headers],0))</f>
        <v>0</v>
      </c>
      <c r="R293" s="62"/>
    </row>
    <row r="294" spans="1:18" ht="15" thickBot="1" x14ac:dyDescent="0.4">
      <c r="A294" s="20" t="s">
        <v>347</v>
      </c>
      <c r="B294" s="21">
        <f t="shared" si="24"/>
        <v>0</v>
      </c>
      <c r="C294" s="114">
        <f t="shared" si="24"/>
        <v>0</v>
      </c>
      <c r="D294" s="114">
        <f t="shared" si="24"/>
        <v>0</v>
      </c>
      <c r="E294" s="114">
        <f t="shared" si="24"/>
        <v>0</v>
      </c>
      <c r="F294" s="114">
        <f t="shared" si="24"/>
        <v>0</v>
      </c>
      <c r="G294" s="153"/>
      <c r="H294" s="153"/>
      <c r="M294" s="64" t="s">
        <v>2031</v>
      </c>
      <c r="N294" s="61">
        <f>INDEX(Data!$9:$9,1,MATCH(M294,detail_table[#Headers],0))</f>
        <v>0</v>
      </c>
    </row>
    <row r="295" spans="1:18" ht="26.5" thickBot="1" x14ac:dyDescent="0.4">
      <c r="A295" s="20" t="s">
        <v>2098</v>
      </c>
      <c r="B295" s="21">
        <f t="shared" si="24"/>
        <v>0</v>
      </c>
      <c r="C295" s="114">
        <f t="shared" si="24"/>
        <v>0</v>
      </c>
      <c r="D295" s="114">
        <f t="shared" si="24"/>
        <v>0</v>
      </c>
      <c r="E295" s="114">
        <f t="shared" si="24"/>
        <v>0</v>
      </c>
      <c r="F295" s="114">
        <f t="shared" si="24"/>
        <v>0</v>
      </c>
      <c r="G295" s="153"/>
      <c r="H295" s="153"/>
      <c r="I295" s="62"/>
      <c r="M295" s="64" t="s">
        <v>2032</v>
      </c>
      <c r="N295" s="61">
        <f>INDEX(Data!$9:$9,1,MATCH(M295,detail_table[#Headers],0))</f>
        <v>0</v>
      </c>
    </row>
    <row r="296" spans="1:18" s="62" customFormat="1" ht="15" thickBot="1" x14ac:dyDescent="0.4">
      <c r="A296" s="20" t="s">
        <v>349</v>
      </c>
      <c r="B296" s="21">
        <f t="shared" si="24"/>
        <v>0</v>
      </c>
      <c r="C296" s="114">
        <f t="shared" si="24"/>
        <v>0</v>
      </c>
      <c r="D296" s="114">
        <f t="shared" si="24"/>
        <v>0</v>
      </c>
      <c r="E296" s="114">
        <f t="shared" si="24"/>
        <v>0</v>
      </c>
      <c r="F296" s="114">
        <f t="shared" si="24"/>
        <v>0</v>
      </c>
      <c r="G296" s="153"/>
      <c r="H296" s="153"/>
      <c r="I296" s="61"/>
      <c r="J296" s="61"/>
      <c r="K296" s="61"/>
      <c r="L296" s="61"/>
      <c r="M296" s="64" t="s">
        <v>2033</v>
      </c>
      <c r="N296" s="61">
        <f>INDEX(Data!$9:$9,1,MATCH(M296,detail_table[#Headers],0))</f>
        <v>0</v>
      </c>
      <c r="O296" s="61"/>
      <c r="Q296" s="61"/>
      <c r="R296" s="61"/>
    </row>
    <row r="297" spans="1:18" ht="15" thickBot="1" x14ac:dyDescent="0.4">
      <c r="A297" s="5" t="s">
        <v>350</v>
      </c>
      <c r="B297" s="21">
        <f t="shared" si="24"/>
        <v>0</v>
      </c>
      <c r="C297" s="21">
        <f t="shared" si="24"/>
        <v>0</v>
      </c>
      <c r="D297" s="21">
        <f t="shared" si="24"/>
        <v>0</v>
      </c>
      <c r="E297" s="21">
        <f t="shared" si="24"/>
        <v>0</v>
      </c>
      <c r="F297" s="21">
        <f t="shared" si="24"/>
        <v>0</v>
      </c>
      <c r="G297" s="153"/>
      <c r="H297" s="153"/>
      <c r="M297" s="64" t="s">
        <v>2034</v>
      </c>
      <c r="N297" s="61">
        <f>INDEX(Data!$9:$9,1,MATCH(M297,detail_table[#Headers],0))</f>
        <v>0</v>
      </c>
    </row>
    <row r="298" spans="1:18" x14ac:dyDescent="0.35">
      <c r="A298" s="59"/>
      <c r="B298" s="59"/>
      <c r="C298" s="59"/>
      <c r="D298" s="59"/>
      <c r="E298" s="59"/>
      <c r="F298" s="59"/>
      <c r="G298" s="153"/>
      <c r="H298" s="153"/>
      <c r="M298" s="64" t="s">
        <v>2035</v>
      </c>
      <c r="N298" s="61">
        <f>INDEX(Data!$9:$9,1,MATCH(M298,detail_table[#Headers],0))</f>
        <v>0</v>
      </c>
    </row>
    <row r="299" spans="1:18" ht="39.5" thickBot="1" x14ac:dyDescent="0.4">
      <c r="A299" s="186" t="s">
        <v>68</v>
      </c>
      <c r="B299" s="153" t="s">
        <v>91</v>
      </c>
      <c r="C299" s="153"/>
      <c r="D299" s="153"/>
      <c r="E299" s="153"/>
      <c r="F299" s="153"/>
      <c r="G299" s="194"/>
      <c r="H299" s="194"/>
      <c r="M299" s="64" t="s">
        <v>2036</v>
      </c>
      <c r="N299" s="61">
        <f>INDEX(Data!$9:$9,1,MATCH(M299,detail_table[#Headers],0))</f>
        <v>0</v>
      </c>
    </row>
    <row r="300" spans="1:18" ht="52.5" thickBot="1" x14ac:dyDescent="0.4">
      <c r="A300" s="154"/>
      <c r="B300" s="26" t="s">
        <v>8</v>
      </c>
      <c r="C300" s="26" t="s">
        <v>0</v>
      </c>
      <c r="D300" s="26" t="s">
        <v>1</v>
      </c>
      <c r="E300" s="26" t="s">
        <v>2</v>
      </c>
      <c r="F300" s="26" t="s">
        <v>3</v>
      </c>
      <c r="G300" s="153"/>
      <c r="H300" s="153"/>
      <c r="M300" s="64" t="s">
        <v>2037</v>
      </c>
      <c r="N300" s="61">
        <f>INDEX(Data!$9:$9,1,MATCH(M300,detail_table[#Headers],0))</f>
        <v>0</v>
      </c>
    </row>
    <row r="301" spans="1:18" ht="15" thickBot="1" x14ac:dyDescent="0.4">
      <c r="A301" s="27" t="s">
        <v>365</v>
      </c>
      <c r="B301" s="31">
        <f t="shared" ref="B301:F315" si="25">INDEX($N$2:$N$1687,MATCH($B$299&amp;" | "&amp;$A301&amp;" | "&amp;B$300,$M$2:$M$1687,0))</f>
        <v>0</v>
      </c>
      <c r="C301" s="110">
        <f t="shared" si="25"/>
        <v>0</v>
      </c>
      <c r="D301" s="110">
        <f t="shared" si="25"/>
        <v>0</v>
      </c>
      <c r="E301" s="110">
        <f t="shared" si="25"/>
        <v>0</v>
      </c>
      <c r="F301" s="110">
        <f t="shared" si="25"/>
        <v>0</v>
      </c>
      <c r="G301" s="153"/>
      <c r="H301" s="153"/>
      <c r="J301" s="62"/>
      <c r="M301" s="64" t="s">
        <v>2038</v>
      </c>
      <c r="N301" s="61">
        <f>INDEX(Data!$9:$9,1,MATCH(M301,detail_table[#Headers],0))</f>
        <v>0</v>
      </c>
    </row>
    <row r="302" spans="1:18" ht="15" thickBot="1" x14ac:dyDescent="0.4">
      <c r="A302" s="27" t="s">
        <v>366</v>
      </c>
      <c r="B302" s="31">
        <f t="shared" si="25"/>
        <v>0</v>
      </c>
      <c r="C302" s="110">
        <f t="shared" si="25"/>
        <v>0</v>
      </c>
      <c r="D302" s="110">
        <f t="shared" si="25"/>
        <v>0</v>
      </c>
      <c r="E302" s="110">
        <f t="shared" si="25"/>
        <v>0</v>
      </c>
      <c r="F302" s="110">
        <f t="shared" si="25"/>
        <v>0</v>
      </c>
      <c r="G302" s="153"/>
      <c r="H302" s="153"/>
      <c r="M302" s="64" t="s">
        <v>2039</v>
      </c>
      <c r="N302" s="61">
        <f>INDEX(Data!$9:$9,1,MATCH(M302,detail_table[#Headers],0))</f>
        <v>0</v>
      </c>
    </row>
    <row r="303" spans="1:18" ht="15" thickBot="1" x14ac:dyDescent="0.4">
      <c r="A303" s="27" t="s">
        <v>367</v>
      </c>
      <c r="B303" s="31">
        <f t="shared" si="25"/>
        <v>0</v>
      </c>
      <c r="C303" s="110">
        <f t="shared" si="25"/>
        <v>0</v>
      </c>
      <c r="D303" s="110">
        <f t="shared" si="25"/>
        <v>0</v>
      </c>
      <c r="E303" s="110">
        <f t="shared" si="25"/>
        <v>0</v>
      </c>
      <c r="F303" s="110">
        <f t="shared" si="25"/>
        <v>0</v>
      </c>
      <c r="G303" s="153"/>
      <c r="H303" s="153"/>
      <c r="M303" s="64" t="s">
        <v>2040</v>
      </c>
      <c r="N303" s="61">
        <f>INDEX(Data!$9:$9,1,MATCH(M303,detail_table[#Headers],0))</f>
        <v>0</v>
      </c>
    </row>
    <row r="304" spans="1:18" ht="15" thickBot="1" x14ac:dyDescent="0.4">
      <c r="A304" s="27" t="s">
        <v>270</v>
      </c>
      <c r="B304" s="31">
        <f t="shared" si="25"/>
        <v>0</v>
      </c>
      <c r="C304" s="110">
        <f t="shared" si="25"/>
        <v>0</v>
      </c>
      <c r="D304" s="110">
        <f t="shared" si="25"/>
        <v>0</v>
      </c>
      <c r="E304" s="110">
        <f t="shared" si="25"/>
        <v>0</v>
      </c>
      <c r="F304" s="110">
        <f t="shared" si="25"/>
        <v>0</v>
      </c>
      <c r="G304" s="153"/>
      <c r="H304" s="153"/>
      <c r="M304" s="64" t="s">
        <v>2041</v>
      </c>
      <c r="N304" s="61">
        <f>INDEX(Data!$9:$9,1,MATCH(M304,detail_table[#Headers],0))</f>
        <v>0</v>
      </c>
    </row>
    <row r="305" spans="1:18" ht="15" thickBot="1" x14ac:dyDescent="0.4">
      <c r="A305" s="29" t="s">
        <v>271</v>
      </c>
      <c r="B305" s="31">
        <f t="shared" si="25"/>
        <v>0</v>
      </c>
      <c r="C305" s="110">
        <f t="shared" si="25"/>
        <v>0</v>
      </c>
      <c r="D305" s="110">
        <f t="shared" si="25"/>
        <v>0</v>
      </c>
      <c r="E305" s="110">
        <f t="shared" si="25"/>
        <v>0</v>
      </c>
      <c r="F305" s="110">
        <f t="shared" si="25"/>
        <v>0</v>
      </c>
      <c r="G305" s="153"/>
      <c r="H305" s="153"/>
      <c r="M305" s="64" t="s">
        <v>2042</v>
      </c>
      <c r="N305" s="61">
        <f>INDEX(Data!$9:$9,1,MATCH(M305,detail_table[#Headers],0))</f>
        <v>0</v>
      </c>
    </row>
    <row r="306" spans="1:18" ht="15" thickBot="1" x14ac:dyDescent="0.4">
      <c r="A306" s="29" t="s">
        <v>272</v>
      </c>
      <c r="B306" s="31">
        <f t="shared" si="25"/>
        <v>0</v>
      </c>
      <c r="C306" s="110">
        <f t="shared" si="25"/>
        <v>0</v>
      </c>
      <c r="D306" s="110">
        <f t="shared" si="25"/>
        <v>0</v>
      </c>
      <c r="E306" s="110">
        <f t="shared" si="25"/>
        <v>0</v>
      </c>
      <c r="F306" s="110">
        <f t="shared" si="25"/>
        <v>0</v>
      </c>
      <c r="G306" s="153"/>
      <c r="H306" s="153"/>
      <c r="M306" s="64" t="s">
        <v>2043</v>
      </c>
      <c r="N306" s="61">
        <f>INDEX(Data!$9:$9,1,MATCH(M306,detail_table[#Headers],0))</f>
        <v>0</v>
      </c>
    </row>
    <row r="307" spans="1:18" ht="15" thickBot="1" x14ac:dyDescent="0.4">
      <c r="A307" s="29" t="s">
        <v>273</v>
      </c>
      <c r="B307" s="31">
        <f t="shared" si="25"/>
        <v>0</v>
      </c>
      <c r="C307" s="110">
        <f t="shared" si="25"/>
        <v>0</v>
      </c>
      <c r="D307" s="110">
        <f t="shared" si="25"/>
        <v>0</v>
      </c>
      <c r="E307" s="110">
        <f t="shared" si="25"/>
        <v>0</v>
      </c>
      <c r="F307" s="110">
        <f t="shared" si="25"/>
        <v>0</v>
      </c>
      <c r="G307" s="153"/>
      <c r="H307" s="153"/>
      <c r="M307" s="64" t="s">
        <v>2044</v>
      </c>
      <c r="N307" s="61">
        <f>INDEX(Data!$9:$9,1,MATCH(M307,detail_table[#Headers],0))</f>
        <v>0</v>
      </c>
      <c r="Q307" s="62"/>
    </row>
    <row r="308" spans="1:18" ht="15" thickBot="1" x14ac:dyDescent="0.4">
      <c r="A308" s="29" t="s">
        <v>274</v>
      </c>
      <c r="B308" s="31">
        <f t="shared" si="25"/>
        <v>0</v>
      </c>
      <c r="C308" s="110">
        <f t="shared" si="25"/>
        <v>0</v>
      </c>
      <c r="D308" s="110">
        <f t="shared" si="25"/>
        <v>0</v>
      </c>
      <c r="E308" s="110">
        <f t="shared" si="25"/>
        <v>0</v>
      </c>
      <c r="F308" s="110">
        <f t="shared" si="25"/>
        <v>0</v>
      </c>
      <c r="G308" s="153"/>
      <c r="H308" s="153"/>
      <c r="I308" s="62"/>
      <c r="M308" s="64" t="s">
        <v>2045</v>
      </c>
      <c r="N308" s="61">
        <f>INDEX(Data!$9:$9,1,MATCH(M308,detail_table[#Headers],0))</f>
        <v>0</v>
      </c>
      <c r="Q308" s="62"/>
    </row>
    <row r="309" spans="1:18" s="62" customFormat="1" ht="26.5" thickBot="1" x14ac:dyDescent="0.4">
      <c r="A309" s="29" t="s">
        <v>2094</v>
      </c>
      <c r="B309" s="31">
        <f t="shared" si="25"/>
        <v>0</v>
      </c>
      <c r="C309" s="110">
        <f t="shared" si="25"/>
        <v>0</v>
      </c>
      <c r="D309" s="110">
        <f t="shared" si="25"/>
        <v>0</v>
      </c>
      <c r="E309" s="110">
        <f t="shared" si="25"/>
        <v>0</v>
      </c>
      <c r="F309" s="110">
        <f t="shared" si="25"/>
        <v>0</v>
      </c>
      <c r="G309" s="153"/>
      <c r="H309" s="153"/>
      <c r="I309" s="61"/>
      <c r="J309" s="61"/>
      <c r="K309" s="61"/>
      <c r="L309" s="61"/>
      <c r="M309" s="64" t="s">
        <v>633</v>
      </c>
      <c r="N309" s="61">
        <f>INDEX(Data!$9:$9,1,MATCH(M309,detail_table[#Headers],0))</f>
        <v>0</v>
      </c>
      <c r="O309" s="61"/>
      <c r="Q309" s="61"/>
      <c r="R309" s="61"/>
    </row>
    <row r="310" spans="1:18" ht="26.5" thickBot="1" x14ac:dyDescent="0.4">
      <c r="A310" s="29" t="s">
        <v>2095</v>
      </c>
      <c r="B310" s="31">
        <f t="shared" si="25"/>
        <v>0</v>
      </c>
      <c r="C310" s="110">
        <f t="shared" si="25"/>
        <v>0</v>
      </c>
      <c r="D310" s="110">
        <f t="shared" si="25"/>
        <v>0</v>
      </c>
      <c r="E310" s="110">
        <f t="shared" si="25"/>
        <v>0</v>
      </c>
      <c r="F310" s="110">
        <f t="shared" si="25"/>
        <v>0</v>
      </c>
      <c r="G310" s="153"/>
      <c r="H310" s="153"/>
      <c r="M310" s="64" t="s">
        <v>634</v>
      </c>
      <c r="N310" s="61">
        <f>INDEX(Data!$9:$9,1,MATCH(M310,detail_table[#Headers],0))</f>
        <v>0</v>
      </c>
    </row>
    <row r="311" spans="1:18" ht="26.5" thickBot="1" x14ac:dyDescent="0.4">
      <c r="A311" s="29" t="s">
        <v>2096</v>
      </c>
      <c r="B311" s="31">
        <f t="shared" si="25"/>
        <v>0</v>
      </c>
      <c r="C311" s="110">
        <f t="shared" si="25"/>
        <v>0</v>
      </c>
      <c r="D311" s="110">
        <f t="shared" si="25"/>
        <v>0</v>
      </c>
      <c r="E311" s="110">
        <f t="shared" si="25"/>
        <v>0</v>
      </c>
      <c r="F311" s="110">
        <f t="shared" si="25"/>
        <v>0</v>
      </c>
      <c r="G311" s="153"/>
      <c r="H311" s="153"/>
      <c r="M311" s="64" t="s">
        <v>635</v>
      </c>
      <c r="N311" s="61">
        <f>INDEX(Data!$9:$9,1,MATCH(M311,detail_table[#Headers],0))</f>
        <v>0</v>
      </c>
    </row>
    <row r="312" spans="1:18" ht="26.5" thickBot="1" x14ac:dyDescent="0.4">
      <c r="A312" s="29" t="s">
        <v>2097</v>
      </c>
      <c r="B312" s="31">
        <f t="shared" si="25"/>
        <v>0</v>
      </c>
      <c r="C312" s="110">
        <f t="shared" si="25"/>
        <v>0</v>
      </c>
      <c r="D312" s="110">
        <f t="shared" si="25"/>
        <v>0</v>
      </c>
      <c r="E312" s="110">
        <f t="shared" si="25"/>
        <v>0</v>
      </c>
      <c r="F312" s="110">
        <f t="shared" si="25"/>
        <v>0</v>
      </c>
      <c r="G312" s="153"/>
      <c r="H312" s="153"/>
      <c r="M312" s="64" t="s">
        <v>636</v>
      </c>
      <c r="N312" s="61">
        <f>INDEX(Data!$9:$9,1,MATCH(M312,detail_table[#Headers],0))</f>
        <v>0</v>
      </c>
    </row>
    <row r="313" spans="1:18" ht="26.5" thickBot="1" x14ac:dyDescent="0.4">
      <c r="A313" s="29" t="s">
        <v>279</v>
      </c>
      <c r="B313" s="31">
        <f t="shared" si="25"/>
        <v>0</v>
      </c>
      <c r="C313" s="110">
        <f t="shared" si="25"/>
        <v>0</v>
      </c>
      <c r="D313" s="110">
        <f t="shared" si="25"/>
        <v>0</v>
      </c>
      <c r="E313" s="110">
        <f t="shared" si="25"/>
        <v>0</v>
      </c>
      <c r="F313" s="110">
        <f t="shared" si="25"/>
        <v>0</v>
      </c>
      <c r="G313" s="153"/>
      <c r="H313" s="153"/>
      <c r="M313" s="64" t="s">
        <v>637</v>
      </c>
      <c r="N313" s="61">
        <f>INDEX(Data!$9:$9,1,MATCH(M313,detail_table[#Headers],0))</f>
        <v>0</v>
      </c>
    </row>
    <row r="314" spans="1:18" ht="15" thickBot="1" x14ac:dyDescent="0.4">
      <c r="A314" s="29" t="s">
        <v>280</v>
      </c>
      <c r="B314" s="31">
        <f t="shared" si="25"/>
        <v>0</v>
      </c>
      <c r="C314" s="110">
        <f t="shared" si="25"/>
        <v>0</v>
      </c>
      <c r="D314" s="110">
        <f t="shared" si="25"/>
        <v>0</v>
      </c>
      <c r="E314" s="110">
        <f t="shared" si="25"/>
        <v>0</v>
      </c>
      <c r="F314" s="110">
        <f t="shared" si="25"/>
        <v>0</v>
      </c>
      <c r="G314" s="153"/>
      <c r="H314" s="153"/>
      <c r="M314" s="64" t="s">
        <v>638</v>
      </c>
      <c r="N314" s="61">
        <f>INDEX(Data!$9:$9,1,MATCH(M314,detail_table[#Headers],0))</f>
        <v>0</v>
      </c>
    </row>
    <row r="315" spans="1:18" ht="15" thickBot="1" x14ac:dyDescent="0.4">
      <c r="A315" s="157" t="s">
        <v>281</v>
      </c>
      <c r="B315" s="31">
        <f t="shared" si="25"/>
        <v>0</v>
      </c>
      <c r="C315" s="31">
        <f t="shared" si="25"/>
        <v>0</v>
      </c>
      <c r="D315" s="31">
        <f t="shared" si="25"/>
        <v>0</v>
      </c>
      <c r="E315" s="31">
        <f t="shared" si="25"/>
        <v>0</v>
      </c>
      <c r="F315" s="31">
        <f t="shared" si="25"/>
        <v>0</v>
      </c>
      <c r="G315" s="153"/>
      <c r="H315" s="153"/>
      <c r="M315" s="64" t="s">
        <v>639</v>
      </c>
      <c r="N315" s="61">
        <f>INDEX(Data!$9:$9,1,MATCH(M315,detail_table[#Headers],0))</f>
        <v>0</v>
      </c>
    </row>
    <row r="316" spans="1:18" x14ac:dyDescent="0.35">
      <c r="A316" s="67"/>
      <c r="B316" s="68"/>
      <c r="C316" s="68"/>
      <c r="D316" s="68"/>
      <c r="E316" s="70"/>
      <c r="F316" s="70"/>
      <c r="G316" s="194"/>
      <c r="H316" s="194"/>
      <c r="M316" s="64" t="s">
        <v>640</v>
      </c>
      <c r="N316" s="61">
        <f>INDEX(Data!$9:$9,1,MATCH(M316,detail_table[#Headers],0))</f>
        <v>0</v>
      </c>
    </row>
    <row r="317" spans="1:18" ht="26.5" thickBot="1" x14ac:dyDescent="0.4">
      <c r="A317" s="189" t="s">
        <v>127</v>
      </c>
      <c r="B317" s="153" t="s">
        <v>92</v>
      </c>
      <c r="C317" s="153"/>
      <c r="D317" s="153"/>
      <c r="E317" s="153"/>
      <c r="F317" s="153"/>
      <c r="G317" s="194"/>
      <c r="H317" s="194"/>
      <c r="M317" s="64" t="s">
        <v>641</v>
      </c>
      <c r="N317" s="61">
        <f>INDEX(Data!$9:$9,1,MATCH(M317,detail_table[#Headers],0))</f>
        <v>0</v>
      </c>
    </row>
    <row r="318" spans="1:18" ht="52.5" thickBot="1" x14ac:dyDescent="0.4">
      <c r="A318" s="1"/>
      <c r="B318" s="3" t="s">
        <v>8</v>
      </c>
      <c r="C318" s="3" t="s">
        <v>0</v>
      </c>
      <c r="D318" s="3" t="s">
        <v>1</v>
      </c>
      <c r="E318" s="3" t="s">
        <v>2</v>
      </c>
      <c r="F318" s="3" t="s">
        <v>3</v>
      </c>
      <c r="G318" s="153"/>
      <c r="H318" s="153"/>
      <c r="J318" s="62"/>
      <c r="M318" s="64" t="s">
        <v>642</v>
      </c>
      <c r="N318" s="61">
        <f>INDEX(Data!$9:$9,1,MATCH(M318,detail_table[#Headers],0))</f>
        <v>0</v>
      </c>
    </row>
    <row r="319" spans="1:18" ht="26.5" thickBot="1" x14ac:dyDescent="0.4">
      <c r="A319" s="1" t="s">
        <v>282</v>
      </c>
      <c r="B319" s="105"/>
      <c r="C319" s="23"/>
      <c r="D319" s="23"/>
      <c r="E319" s="23"/>
      <c r="F319" s="23"/>
      <c r="G319" s="153"/>
      <c r="H319" s="153"/>
      <c r="J319" s="62"/>
      <c r="M319" s="64" t="s">
        <v>643</v>
      </c>
      <c r="N319" s="61">
        <f>INDEX(Data!$9:$9,1,MATCH(M319,detail_table[#Headers],0))</f>
        <v>0</v>
      </c>
    </row>
    <row r="320" spans="1:18" ht="39.5" thickBot="1" x14ac:dyDescent="0.4">
      <c r="A320" s="23" t="s">
        <v>283</v>
      </c>
      <c r="B320" s="105">
        <f t="shared" ref="B320:F330" si="26">INDEX($N$2:$N$1687,MATCH($B$317&amp;" | "&amp;$A320&amp;" | "&amp;B$318,$M$2:$M$1687,0))</f>
        <v>0</v>
      </c>
      <c r="C320" s="23">
        <f t="shared" si="26"/>
        <v>0</v>
      </c>
      <c r="D320" s="23">
        <f t="shared" si="26"/>
        <v>0</v>
      </c>
      <c r="E320" s="23">
        <f t="shared" si="26"/>
        <v>0</v>
      </c>
      <c r="F320" s="23">
        <f t="shared" si="26"/>
        <v>0</v>
      </c>
      <c r="G320" s="153"/>
      <c r="H320" s="153"/>
      <c r="M320" s="64" t="s">
        <v>644</v>
      </c>
      <c r="N320" s="61">
        <f>INDEX(Data!$9:$9,1,MATCH(M320,detail_table[#Headers],0))</f>
        <v>0</v>
      </c>
    </row>
    <row r="321" spans="1:18" ht="26.5" thickBot="1" x14ac:dyDescent="0.4">
      <c r="A321" s="23" t="s">
        <v>284</v>
      </c>
      <c r="B321" s="105">
        <f t="shared" si="26"/>
        <v>0</v>
      </c>
      <c r="C321" s="23">
        <f t="shared" si="26"/>
        <v>0</v>
      </c>
      <c r="D321" s="23">
        <f t="shared" si="26"/>
        <v>0</v>
      </c>
      <c r="E321" s="23">
        <f t="shared" si="26"/>
        <v>0</v>
      </c>
      <c r="F321" s="23">
        <f t="shared" si="26"/>
        <v>0</v>
      </c>
      <c r="G321" s="153"/>
      <c r="H321" s="153"/>
      <c r="M321" s="64" t="s">
        <v>645</v>
      </c>
      <c r="N321" s="61">
        <f>INDEX(Data!$9:$9,1,MATCH(M321,detail_table[#Headers],0))</f>
        <v>0</v>
      </c>
      <c r="R321" s="62"/>
    </row>
    <row r="322" spans="1:18" ht="26.5" thickBot="1" x14ac:dyDescent="0.4">
      <c r="A322" s="23" t="s">
        <v>285</v>
      </c>
      <c r="B322" s="105">
        <f t="shared" si="26"/>
        <v>0</v>
      </c>
      <c r="C322" s="23">
        <f t="shared" si="26"/>
        <v>0</v>
      </c>
      <c r="D322" s="23">
        <f t="shared" si="26"/>
        <v>0</v>
      </c>
      <c r="E322" s="23">
        <f t="shared" si="26"/>
        <v>0</v>
      </c>
      <c r="F322" s="23">
        <f t="shared" si="26"/>
        <v>0</v>
      </c>
      <c r="G322" s="153"/>
      <c r="H322" s="153"/>
      <c r="M322" s="64" t="s">
        <v>646</v>
      </c>
      <c r="N322" s="61">
        <f>INDEX(Data!$9:$9,1,MATCH(M322,detail_table[#Headers],0))</f>
        <v>0</v>
      </c>
      <c r="R322" s="62"/>
    </row>
    <row r="323" spans="1:18" ht="26.5" thickBot="1" x14ac:dyDescent="0.4">
      <c r="A323" s="23" t="s">
        <v>286</v>
      </c>
      <c r="B323" s="105">
        <f t="shared" si="26"/>
        <v>0</v>
      </c>
      <c r="C323" s="23">
        <f t="shared" si="26"/>
        <v>0</v>
      </c>
      <c r="D323" s="23">
        <f t="shared" si="26"/>
        <v>0</v>
      </c>
      <c r="E323" s="23">
        <f t="shared" si="26"/>
        <v>0</v>
      </c>
      <c r="F323" s="23">
        <f t="shared" si="26"/>
        <v>0</v>
      </c>
      <c r="G323" s="153"/>
      <c r="H323" s="153"/>
      <c r="M323" s="64" t="s">
        <v>647</v>
      </c>
      <c r="N323" s="61">
        <f>INDEX(Data!$9:$9,1,MATCH(M323,detail_table[#Headers],0))</f>
        <v>0</v>
      </c>
    </row>
    <row r="324" spans="1:18" ht="26.5" thickBot="1" x14ac:dyDescent="0.4">
      <c r="A324" s="23" t="s">
        <v>287</v>
      </c>
      <c r="B324" s="105">
        <f t="shared" si="26"/>
        <v>0</v>
      </c>
      <c r="C324" s="23">
        <f t="shared" si="26"/>
        <v>0</v>
      </c>
      <c r="D324" s="23">
        <f t="shared" si="26"/>
        <v>0</v>
      </c>
      <c r="E324" s="23">
        <f t="shared" si="26"/>
        <v>0</v>
      </c>
      <c r="F324" s="23">
        <f t="shared" si="26"/>
        <v>0</v>
      </c>
      <c r="G324" s="153"/>
      <c r="H324" s="153"/>
      <c r="M324" s="64" t="s">
        <v>648</v>
      </c>
      <c r="N324" s="61">
        <f>INDEX(Data!$9:$9,1,MATCH(M324,detail_table[#Headers],0))</f>
        <v>0</v>
      </c>
    </row>
    <row r="325" spans="1:18" ht="39.5" thickBot="1" x14ac:dyDescent="0.4">
      <c r="A325" s="23" t="s">
        <v>288</v>
      </c>
      <c r="B325" s="105">
        <f t="shared" si="26"/>
        <v>0</v>
      </c>
      <c r="C325" s="23">
        <f t="shared" si="26"/>
        <v>0</v>
      </c>
      <c r="D325" s="23">
        <f t="shared" si="26"/>
        <v>0</v>
      </c>
      <c r="E325" s="23">
        <f t="shared" si="26"/>
        <v>0</v>
      </c>
      <c r="F325" s="23">
        <f t="shared" si="26"/>
        <v>0</v>
      </c>
      <c r="G325" s="153"/>
      <c r="H325" s="153"/>
      <c r="I325" s="62"/>
      <c r="M325" s="64" t="s">
        <v>649</v>
      </c>
      <c r="N325" s="61">
        <f>INDEX(Data!$9:$9,1,MATCH(M325,detail_table[#Headers],0))</f>
        <v>0</v>
      </c>
    </row>
    <row r="326" spans="1:18" s="62" customFormat="1" ht="26.5" thickBot="1" x14ac:dyDescent="0.4">
      <c r="A326" s="23" t="s">
        <v>289</v>
      </c>
      <c r="B326" s="105">
        <f t="shared" si="26"/>
        <v>0</v>
      </c>
      <c r="C326" s="23">
        <f t="shared" si="26"/>
        <v>0</v>
      </c>
      <c r="D326" s="23">
        <f t="shared" si="26"/>
        <v>0</v>
      </c>
      <c r="E326" s="23">
        <f t="shared" si="26"/>
        <v>0</v>
      </c>
      <c r="F326" s="23">
        <f t="shared" si="26"/>
        <v>0</v>
      </c>
      <c r="G326" s="153"/>
      <c r="H326" s="153"/>
      <c r="J326" s="61"/>
      <c r="K326" s="61"/>
      <c r="L326" s="61"/>
      <c r="M326" s="64" t="s">
        <v>650</v>
      </c>
      <c r="N326" s="61">
        <f>INDEX(Data!$9:$9,1,MATCH(M326,detail_table[#Headers],0))</f>
        <v>0</v>
      </c>
      <c r="O326" s="61"/>
      <c r="Q326" s="61"/>
      <c r="R326" s="61"/>
    </row>
    <row r="327" spans="1:18" s="62" customFormat="1" ht="39.5" thickBot="1" x14ac:dyDescent="0.4">
      <c r="A327" s="23" t="s">
        <v>290</v>
      </c>
      <c r="B327" s="105">
        <f t="shared" si="26"/>
        <v>0</v>
      </c>
      <c r="C327" s="23">
        <f t="shared" si="26"/>
        <v>0</v>
      </c>
      <c r="D327" s="23">
        <f t="shared" si="26"/>
        <v>0</v>
      </c>
      <c r="E327" s="23">
        <f t="shared" si="26"/>
        <v>0</v>
      </c>
      <c r="F327" s="23">
        <f t="shared" si="26"/>
        <v>0</v>
      </c>
      <c r="G327" s="153"/>
      <c r="H327" s="153"/>
      <c r="I327" s="61"/>
      <c r="J327" s="61"/>
      <c r="K327" s="61"/>
      <c r="L327" s="61"/>
      <c r="M327" s="64" t="s">
        <v>651</v>
      </c>
      <c r="N327" s="61">
        <f>INDEX(Data!$9:$9,1,MATCH(M327,detail_table[#Headers],0))</f>
        <v>0</v>
      </c>
      <c r="O327" s="61"/>
      <c r="Q327" s="61"/>
      <c r="R327" s="61"/>
    </row>
    <row r="328" spans="1:18" ht="39.5" thickBot="1" x14ac:dyDescent="0.4">
      <c r="A328" s="23" t="s">
        <v>291</v>
      </c>
      <c r="B328" s="105">
        <f t="shared" si="26"/>
        <v>0</v>
      </c>
      <c r="C328" s="23">
        <f t="shared" si="26"/>
        <v>0</v>
      </c>
      <c r="D328" s="23">
        <f t="shared" si="26"/>
        <v>0</v>
      </c>
      <c r="E328" s="23">
        <f t="shared" si="26"/>
        <v>0</v>
      </c>
      <c r="F328" s="23">
        <f t="shared" si="26"/>
        <v>0</v>
      </c>
      <c r="G328" s="153"/>
      <c r="H328" s="153"/>
      <c r="M328" s="64" t="s">
        <v>652</v>
      </c>
      <c r="N328" s="61">
        <f>INDEX(Data!$9:$9,1,MATCH(M328,detail_table[#Headers],0))</f>
        <v>0</v>
      </c>
    </row>
    <row r="329" spans="1:18" ht="39.5" thickBot="1" x14ac:dyDescent="0.4">
      <c r="A329" s="23" t="s">
        <v>292</v>
      </c>
      <c r="B329" s="105">
        <f t="shared" si="26"/>
        <v>0</v>
      </c>
      <c r="C329" s="23">
        <f t="shared" si="26"/>
        <v>0</v>
      </c>
      <c r="D329" s="23">
        <f t="shared" si="26"/>
        <v>0</v>
      </c>
      <c r="E329" s="23">
        <f t="shared" si="26"/>
        <v>0</v>
      </c>
      <c r="F329" s="23">
        <f t="shared" si="26"/>
        <v>0</v>
      </c>
      <c r="G329" s="153"/>
      <c r="H329" s="153"/>
      <c r="M329" s="64" t="s">
        <v>653</v>
      </c>
      <c r="N329" s="61">
        <f>INDEX(Data!$9:$9,1,MATCH(M329,detail_table[#Headers],0))</f>
        <v>0</v>
      </c>
    </row>
    <row r="330" spans="1:18" ht="15" thickBot="1" x14ac:dyDescent="0.4">
      <c r="A330" s="23" t="s">
        <v>231</v>
      </c>
      <c r="B330" s="105">
        <f t="shared" si="26"/>
        <v>0</v>
      </c>
      <c r="C330" s="23">
        <f t="shared" si="26"/>
        <v>0</v>
      </c>
      <c r="D330" s="23">
        <f t="shared" si="26"/>
        <v>0</v>
      </c>
      <c r="E330" s="23">
        <f t="shared" si="26"/>
        <v>0</v>
      </c>
      <c r="F330" s="23">
        <f t="shared" si="26"/>
        <v>0</v>
      </c>
      <c r="G330" s="153"/>
      <c r="H330" s="153"/>
      <c r="M330" s="64" t="s">
        <v>654</v>
      </c>
      <c r="N330" s="61">
        <f>INDEX(Data!$9:$9,1,MATCH(M330,detail_table[#Headers],0))</f>
        <v>0</v>
      </c>
    </row>
    <row r="331" spans="1:18" ht="26.5" thickBot="1" x14ac:dyDescent="0.4">
      <c r="A331" s="1" t="s">
        <v>293</v>
      </c>
      <c r="B331" s="105"/>
      <c r="C331" s="23"/>
      <c r="D331" s="23"/>
      <c r="E331" s="23"/>
      <c r="F331" s="23"/>
      <c r="G331" s="153"/>
      <c r="H331" s="153"/>
      <c r="M331" s="64" t="s">
        <v>655</v>
      </c>
      <c r="N331" s="61">
        <f>INDEX(Data!$9:$9,1,MATCH(M331,detail_table[#Headers],0))</f>
        <v>0</v>
      </c>
    </row>
    <row r="332" spans="1:18" ht="15" thickBot="1" x14ac:dyDescent="0.4">
      <c r="A332" s="23" t="s">
        <v>294</v>
      </c>
      <c r="B332" s="105">
        <f t="shared" ref="B332:F340" si="27">INDEX($N$2:$N$1687,MATCH($B$317&amp;" | "&amp;$A332&amp;" | "&amp;B$318,$M$2:$M$1687,0))</f>
        <v>0</v>
      </c>
      <c r="C332" s="23">
        <f t="shared" si="27"/>
        <v>0</v>
      </c>
      <c r="D332" s="23">
        <f t="shared" si="27"/>
        <v>0</v>
      </c>
      <c r="E332" s="23">
        <f t="shared" si="27"/>
        <v>0</v>
      </c>
      <c r="F332" s="23">
        <f t="shared" si="27"/>
        <v>0</v>
      </c>
      <c r="G332" s="153"/>
      <c r="H332" s="153"/>
      <c r="M332" s="64" t="s">
        <v>656</v>
      </c>
      <c r="N332" s="61">
        <f>INDEX(Data!$9:$9,1,MATCH(M332,detail_table[#Headers],0))</f>
        <v>0</v>
      </c>
    </row>
    <row r="333" spans="1:18" ht="39.5" thickBot="1" x14ac:dyDescent="0.4">
      <c r="A333" s="23" t="s">
        <v>295</v>
      </c>
      <c r="B333" s="105">
        <f t="shared" si="27"/>
        <v>0</v>
      </c>
      <c r="C333" s="23">
        <f t="shared" si="27"/>
        <v>0</v>
      </c>
      <c r="D333" s="23">
        <f t="shared" si="27"/>
        <v>0</v>
      </c>
      <c r="E333" s="23">
        <f t="shared" si="27"/>
        <v>0</v>
      </c>
      <c r="F333" s="23">
        <f t="shared" si="27"/>
        <v>0</v>
      </c>
      <c r="G333" s="153"/>
      <c r="H333" s="153"/>
      <c r="M333" s="64" t="s">
        <v>657</v>
      </c>
      <c r="N333" s="61">
        <f>INDEX(Data!$9:$9,1,MATCH(M333,detail_table[#Headers],0))</f>
        <v>0</v>
      </c>
    </row>
    <row r="334" spans="1:18" ht="39.5" thickBot="1" x14ac:dyDescent="0.4">
      <c r="A334" s="23" t="s">
        <v>296</v>
      </c>
      <c r="B334" s="105">
        <f t="shared" si="27"/>
        <v>0</v>
      </c>
      <c r="C334" s="23">
        <f t="shared" si="27"/>
        <v>0</v>
      </c>
      <c r="D334" s="23">
        <f t="shared" si="27"/>
        <v>0</v>
      </c>
      <c r="E334" s="23">
        <f t="shared" si="27"/>
        <v>0</v>
      </c>
      <c r="F334" s="23">
        <f t="shared" si="27"/>
        <v>0</v>
      </c>
      <c r="G334" s="153"/>
      <c r="H334" s="153"/>
      <c r="M334" s="64" t="s">
        <v>658</v>
      </c>
      <c r="N334" s="61">
        <f>INDEX(Data!$9:$9,1,MATCH(M334,detail_table[#Headers],0))</f>
        <v>0</v>
      </c>
    </row>
    <row r="335" spans="1:18" ht="26.5" thickBot="1" x14ac:dyDescent="0.4">
      <c r="A335" s="23" t="s">
        <v>1961</v>
      </c>
      <c r="B335" s="105">
        <f t="shared" si="27"/>
        <v>0</v>
      </c>
      <c r="C335" s="23">
        <f t="shared" si="27"/>
        <v>0</v>
      </c>
      <c r="D335" s="23">
        <f t="shared" si="27"/>
        <v>0</v>
      </c>
      <c r="E335" s="23">
        <f t="shared" si="27"/>
        <v>0</v>
      </c>
      <c r="F335" s="23">
        <f t="shared" si="27"/>
        <v>0</v>
      </c>
      <c r="G335" s="153"/>
      <c r="H335" s="153"/>
      <c r="M335" s="64" t="s">
        <v>659</v>
      </c>
      <c r="N335" s="61">
        <f>INDEX(Data!$9:$9,1,MATCH(M335,detail_table[#Headers],0))</f>
        <v>0</v>
      </c>
    </row>
    <row r="336" spans="1:18" ht="39.5" thickBot="1" x14ac:dyDescent="0.4">
      <c r="A336" s="23" t="s">
        <v>298</v>
      </c>
      <c r="B336" s="105">
        <f t="shared" si="27"/>
        <v>0</v>
      </c>
      <c r="C336" s="23">
        <f t="shared" si="27"/>
        <v>0</v>
      </c>
      <c r="D336" s="23">
        <f t="shared" si="27"/>
        <v>0</v>
      </c>
      <c r="E336" s="23">
        <f t="shared" si="27"/>
        <v>0</v>
      </c>
      <c r="F336" s="23">
        <f t="shared" si="27"/>
        <v>0</v>
      </c>
      <c r="G336" s="153"/>
      <c r="H336" s="153"/>
      <c r="M336" s="64" t="s">
        <v>660</v>
      </c>
      <c r="N336" s="61">
        <f>INDEX(Data!$9:$9,1,MATCH(M336,detail_table[#Headers],0))</f>
        <v>0</v>
      </c>
    </row>
    <row r="337" spans="1:17" ht="26.5" thickBot="1" x14ac:dyDescent="0.4">
      <c r="A337" s="23" t="s">
        <v>299</v>
      </c>
      <c r="B337" s="105">
        <f t="shared" si="27"/>
        <v>0</v>
      </c>
      <c r="C337" s="23">
        <f t="shared" si="27"/>
        <v>0</v>
      </c>
      <c r="D337" s="23">
        <f t="shared" si="27"/>
        <v>0</v>
      </c>
      <c r="E337" s="23">
        <f t="shared" si="27"/>
        <v>0</v>
      </c>
      <c r="F337" s="23">
        <f t="shared" si="27"/>
        <v>0</v>
      </c>
      <c r="G337" s="153"/>
      <c r="H337" s="153"/>
      <c r="M337" s="64" t="s">
        <v>661</v>
      </c>
      <c r="N337" s="61">
        <f>INDEX(Data!$9:$9,1,MATCH(M337,detail_table[#Headers],0))</f>
        <v>0</v>
      </c>
    </row>
    <row r="338" spans="1:17" ht="15" thickBot="1" x14ac:dyDescent="0.4">
      <c r="A338" s="23" t="s">
        <v>300</v>
      </c>
      <c r="B338" s="105">
        <f t="shared" si="27"/>
        <v>0</v>
      </c>
      <c r="C338" s="23">
        <f t="shared" si="27"/>
        <v>0</v>
      </c>
      <c r="D338" s="23">
        <f t="shared" si="27"/>
        <v>0</v>
      </c>
      <c r="E338" s="23">
        <f t="shared" si="27"/>
        <v>0</v>
      </c>
      <c r="F338" s="23">
        <f t="shared" si="27"/>
        <v>0</v>
      </c>
      <c r="G338" s="153"/>
      <c r="H338" s="153"/>
      <c r="M338" s="64" t="s">
        <v>662</v>
      </c>
      <c r="N338" s="61">
        <f>INDEX(Data!$9:$9,1,MATCH(M338,detail_table[#Headers],0))</f>
        <v>0</v>
      </c>
    </row>
    <row r="339" spans="1:17" ht="26.5" thickBot="1" x14ac:dyDescent="0.4">
      <c r="A339" s="23" t="s">
        <v>301</v>
      </c>
      <c r="B339" s="105">
        <f t="shared" si="27"/>
        <v>0</v>
      </c>
      <c r="C339" s="23">
        <f t="shared" si="27"/>
        <v>0</v>
      </c>
      <c r="D339" s="23">
        <f t="shared" si="27"/>
        <v>0</v>
      </c>
      <c r="E339" s="23">
        <f t="shared" si="27"/>
        <v>0</v>
      </c>
      <c r="F339" s="23">
        <f t="shared" si="27"/>
        <v>0</v>
      </c>
      <c r="G339" s="153"/>
      <c r="H339" s="153"/>
      <c r="M339" s="64" t="s">
        <v>663</v>
      </c>
      <c r="N339" s="61">
        <f>INDEX(Data!$9:$9,1,MATCH(M339,detail_table[#Headers],0))</f>
        <v>0</v>
      </c>
    </row>
    <row r="340" spans="1:17" ht="15" thickBot="1" x14ac:dyDescent="0.4">
      <c r="A340" s="23" t="s">
        <v>240</v>
      </c>
      <c r="B340" s="105">
        <f t="shared" si="27"/>
        <v>0</v>
      </c>
      <c r="C340" s="23">
        <f t="shared" si="27"/>
        <v>0</v>
      </c>
      <c r="D340" s="23">
        <f t="shared" si="27"/>
        <v>0</v>
      </c>
      <c r="E340" s="23">
        <f t="shared" si="27"/>
        <v>0</v>
      </c>
      <c r="F340" s="23">
        <f t="shared" si="27"/>
        <v>0</v>
      </c>
      <c r="G340" s="153"/>
      <c r="H340" s="153"/>
      <c r="M340" s="64" t="s">
        <v>664</v>
      </c>
      <c r="N340" s="61">
        <f>INDEX(Data!$9:$9,1,MATCH(M340,detail_table[#Headers],0))</f>
        <v>0</v>
      </c>
    </row>
    <row r="341" spans="1:17" ht="15" thickBot="1" x14ac:dyDescent="0.4">
      <c r="A341" s="1" t="s">
        <v>302</v>
      </c>
      <c r="B341" s="105"/>
      <c r="C341" s="23"/>
      <c r="D341" s="23"/>
      <c r="E341" s="23"/>
      <c r="F341" s="23"/>
      <c r="G341" s="153"/>
      <c r="H341" s="153"/>
      <c r="M341" s="64" t="s">
        <v>665</v>
      </c>
      <c r="N341" s="61">
        <f>INDEX(Data!$9:$9,1,MATCH(M341,detail_table[#Headers],0))</f>
        <v>0</v>
      </c>
    </row>
    <row r="342" spans="1:17" ht="39.5" thickBot="1" x14ac:dyDescent="0.4">
      <c r="A342" s="23" t="s">
        <v>303</v>
      </c>
      <c r="B342" s="105">
        <f t="shared" ref="B342:F348" si="28">INDEX($N$2:$N$1687,MATCH($B$317&amp;" | "&amp;$A342&amp;" | "&amp;B$318,$M$2:$M$1687,0))</f>
        <v>0</v>
      </c>
      <c r="C342" s="23">
        <f t="shared" si="28"/>
        <v>0</v>
      </c>
      <c r="D342" s="23">
        <f t="shared" si="28"/>
        <v>0</v>
      </c>
      <c r="E342" s="23">
        <f t="shared" si="28"/>
        <v>0</v>
      </c>
      <c r="F342" s="23">
        <f t="shared" si="28"/>
        <v>0</v>
      </c>
      <c r="G342" s="153"/>
      <c r="H342" s="153"/>
      <c r="M342" s="64" t="s">
        <v>666</v>
      </c>
      <c r="N342" s="61">
        <f>INDEX(Data!$9:$9,1,MATCH(M342,detail_table[#Headers],0))</f>
        <v>0</v>
      </c>
    </row>
    <row r="343" spans="1:17" ht="39.5" thickBot="1" x14ac:dyDescent="0.4">
      <c r="A343" s="23" t="s">
        <v>304</v>
      </c>
      <c r="B343" s="105">
        <f t="shared" si="28"/>
        <v>0</v>
      </c>
      <c r="C343" s="23">
        <f t="shared" si="28"/>
        <v>0</v>
      </c>
      <c r="D343" s="23">
        <f t="shared" si="28"/>
        <v>0</v>
      </c>
      <c r="E343" s="23">
        <f t="shared" si="28"/>
        <v>0</v>
      </c>
      <c r="F343" s="23">
        <f t="shared" si="28"/>
        <v>0</v>
      </c>
      <c r="G343" s="153"/>
      <c r="H343" s="153"/>
      <c r="M343" s="64" t="s">
        <v>667</v>
      </c>
      <c r="N343" s="61">
        <f>INDEX(Data!$9:$9,1,MATCH(M343,detail_table[#Headers],0))</f>
        <v>0</v>
      </c>
    </row>
    <row r="344" spans="1:17" ht="39.5" thickBot="1" x14ac:dyDescent="0.4">
      <c r="A344" s="23" t="s">
        <v>305</v>
      </c>
      <c r="B344" s="105">
        <f t="shared" si="28"/>
        <v>0</v>
      </c>
      <c r="C344" s="23">
        <f t="shared" si="28"/>
        <v>0</v>
      </c>
      <c r="D344" s="23">
        <f t="shared" si="28"/>
        <v>0</v>
      </c>
      <c r="E344" s="23">
        <f t="shared" si="28"/>
        <v>0</v>
      </c>
      <c r="F344" s="23">
        <f t="shared" si="28"/>
        <v>0</v>
      </c>
      <c r="G344" s="153"/>
      <c r="H344" s="153"/>
      <c r="M344" s="64" t="s">
        <v>668</v>
      </c>
      <c r="N344" s="61">
        <f>INDEX(Data!$9:$9,1,MATCH(M344,detail_table[#Headers],0))</f>
        <v>0</v>
      </c>
    </row>
    <row r="345" spans="1:17" ht="52.5" thickBot="1" x14ac:dyDescent="0.4">
      <c r="A345" s="23" t="s">
        <v>306</v>
      </c>
      <c r="B345" s="105">
        <f t="shared" si="28"/>
        <v>0</v>
      </c>
      <c r="C345" s="23">
        <f t="shared" si="28"/>
        <v>0</v>
      </c>
      <c r="D345" s="23">
        <f t="shared" si="28"/>
        <v>0</v>
      </c>
      <c r="E345" s="23">
        <f t="shared" si="28"/>
        <v>0</v>
      </c>
      <c r="F345" s="23">
        <f t="shared" si="28"/>
        <v>0</v>
      </c>
      <c r="G345" s="153"/>
      <c r="H345" s="153"/>
      <c r="M345" s="64" t="s">
        <v>669</v>
      </c>
      <c r="N345" s="61">
        <f>INDEX(Data!$9:$9,1,MATCH(M345,detail_table[#Headers],0))</f>
        <v>0</v>
      </c>
    </row>
    <row r="346" spans="1:17" ht="39.5" thickBot="1" x14ac:dyDescent="0.4">
      <c r="A346" s="23" t="s">
        <v>307</v>
      </c>
      <c r="B346" s="105">
        <f t="shared" si="28"/>
        <v>0</v>
      </c>
      <c r="C346" s="23">
        <f t="shared" si="28"/>
        <v>0</v>
      </c>
      <c r="D346" s="23">
        <f t="shared" si="28"/>
        <v>0</v>
      </c>
      <c r="E346" s="23">
        <f t="shared" si="28"/>
        <v>0</v>
      </c>
      <c r="F346" s="23">
        <f t="shared" si="28"/>
        <v>0</v>
      </c>
      <c r="G346" s="153"/>
      <c r="H346" s="153"/>
      <c r="M346" s="64" t="s">
        <v>670</v>
      </c>
      <c r="N346" s="61">
        <f>INDEX(Data!$9:$9,1,MATCH(M346,detail_table[#Headers],0))</f>
        <v>0</v>
      </c>
      <c r="Q346" s="62"/>
    </row>
    <row r="347" spans="1:17" ht="39.5" thickBot="1" x14ac:dyDescent="0.4">
      <c r="A347" s="23" t="s">
        <v>308</v>
      </c>
      <c r="B347" s="105">
        <f t="shared" si="28"/>
        <v>0</v>
      </c>
      <c r="C347" s="23">
        <f t="shared" si="28"/>
        <v>0</v>
      </c>
      <c r="D347" s="23">
        <f t="shared" si="28"/>
        <v>0</v>
      </c>
      <c r="E347" s="23">
        <f t="shared" si="28"/>
        <v>0</v>
      </c>
      <c r="F347" s="23">
        <f t="shared" si="28"/>
        <v>0</v>
      </c>
      <c r="G347" s="153"/>
      <c r="H347" s="153"/>
      <c r="M347" s="64" t="s">
        <v>671</v>
      </c>
      <c r="N347" s="61">
        <f>INDEX(Data!$9:$9,1,MATCH(M347,detail_table[#Headers],0))</f>
        <v>0</v>
      </c>
      <c r="Q347" s="62"/>
    </row>
    <row r="348" spans="1:17" ht="15" thickBot="1" x14ac:dyDescent="0.4">
      <c r="A348" s="23" t="s">
        <v>255</v>
      </c>
      <c r="B348" s="105">
        <f t="shared" si="28"/>
        <v>0</v>
      </c>
      <c r="C348" s="23">
        <f t="shared" si="28"/>
        <v>0</v>
      </c>
      <c r="D348" s="23">
        <f t="shared" si="28"/>
        <v>0</v>
      </c>
      <c r="E348" s="23">
        <f t="shared" si="28"/>
        <v>0</v>
      </c>
      <c r="F348" s="23">
        <f t="shared" si="28"/>
        <v>0</v>
      </c>
      <c r="G348" s="153"/>
      <c r="H348" s="153"/>
      <c r="M348" s="64" t="s">
        <v>672</v>
      </c>
      <c r="N348" s="61">
        <f>INDEX(Data!$9:$9,1,MATCH(M348,detail_table[#Headers],0))</f>
        <v>0</v>
      </c>
      <c r="Q348" s="62"/>
    </row>
    <row r="349" spans="1:17" ht="15" thickBot="1" x14ac:dyDescent="0.4">
      <c r="A349" s="1" t="s">
        <v>309</v>
      </c>
      <c r="B349" s="105"/>
      <c r="C349" s="23"/>
      <c r="D349" s="23"/>
      <c r="E349" s="23"/>
      <c r="F349" s="23"/>
      <c r="G349" s="153"/>
      <c r="H349" s="153"/>
      <c r="M349" s="64" t="s">
        <v>673</v>
      </c>
      <c r="N349" s="61">
        <f>INDEX(Data!$9:$9,1,MATCH(M349,detail_table[#Headers],0))</f>
        <v>0</v>
      </c>
    </row>
    <row r="350" spans="1:17" ht="39.5" thickBot="1" x14ac:dyDescent="0.4">
      <c r="A350" s="23" t="s">
        <v>310</v>
      </c>
      <c r="B350" s="105">
        <f t="shared" ref="B350:F356" si="29">INDEX($N$2:$N$1687,MATCH($B$317&amp;" | "&amp;$A350&amp;" | "&amp;B$318,$M$2:$M$1687,0))</f>
        <v>0</v>
      </c>
      <c r="C350" s="23">
        <f t="shared" si="29"/>
        <v>0</v>
      </c>
      <c r="D350" s="23">
        <f t="shared" si="29"/>
        <v>0</v>
      </c>
      <c r="E350" s="23">
        <f t="shared" si="29"/>
        <v>0</v>
      </c>
      <c r="F350" s="23">
        <f t="shared" si="29"/>
        <v>0</v>
      </c>
      <c r="G350" s="153"/>
      <c r="H350" s="153"/>
      <c r="M350" s="64" t="s">
        <v>674</v>
      </c>
      <c r="N350" s="61">
        <f>INDEX(Data!$9:$9,1,MATCH(M350,detail_table[#Headers],0))</f>
        <v>0</v>
      </c>
    </row>
    <row r="351" spans="1:17" ht="15" thickBot="1" x14ac:dyDescent="0.4">
      <c r="A351" s="23" t="s">
        <v>311</v>
      </c>
      <c r="B351" s="105">
        <f t="shared" si="29"/>
        <v>0</v>
      </c>
      <c r="C351" s="23">
        <f t="shared" si="29"/>
        <v>0</v>
      </c>
      <c r="D351" s="23">
        <f t="shared" si="29"/>
        <v>0</v>
      </c>
      <c r="E351" s="23">
        <f t="shared" si="29"/>
        <v>0</v>
      </c>
      <c r="F351" s="23">
        <f t="shared" si="29"/>
        <v>0</v>
      </c>
      <c r="G351" s="153"/>
      <c r="H351" s="153"/>
      <c r="M351" s="64" t="s">
        <v>675</v>
      </c>
      <c r="N351" s="61">
        <f>INDEX(Data!$9:$9,1,MATCH(M351,detail_table[#Headers],0))</f>
        <v>0</v>
      </c>
    </row>
    <row r="352" spans="1:17" ht="15" thickBot="1" x14ac:dyDescent="0.4">
      <c r="A352" s="23" t="s">
        <v>312</v>
      </c>
      <c r="B352" s="105">
        <f t="shared" si="29"/>
        <v>0</v>
      </c>
      <c r="C352" s="23">
        <f t="shared" si="29"/>
        <v>0</v>
      </c>
      <c r="D352" s="23">
        <f t="shared" si="29"/>
        <v>0</v>
      </c>
      <c r="E352" s="23">
        <f t="shared" si="29"/>
        <v>0</v>
      </c>
      <c r="F352" s="23">
        <f t="shared" si="29"/>
        <v>0</v>
      </c>
      <c r="G352" s="153"/>
      <c r="H352" s="153"/>
      <c r="M352" s="64" t="s">
        <v>676</v>
      </c>
      <c r="N352" s="61">
        <f>INDEX(Data!$9:$9,1,MATCH(M352,detail_table[#Headers],0))</f>
        <v>0</v>
      </c>
    </row>
    <row r="353" spans="1:18" ht="26.5" thickBot="1" x14ac:dyDescent="0.4">
      <c r="A353" s="23" t="s">
        <v>313</v>
      </c>
      <c r="B353" s="105">
        <f t="shared" si="29"/>
        <v>0</v>
      </c>
      <c r="C353" s="23">
        <f t="shared" si="29"/>
        <v>0</v>
      </c>
      <c r="D353" s="23">
        <f t="shared" si="29"/>
        <v>0</v>
      </c>
      <c r="E353" s="23">
        <f t="shared" si="29"/>
        <v>0</v>
      </c>
      <c r="F353" s="23">
        <f t="shared" si="29"/>
        <v>0</v>
      </c>
      <c r="G353" s="153"/>
      <c r="H353" s="153"/>
      <c r="M353" s="64" t="s">
        <v>677</v>
      </c>
      <c r="N353" s="61">
        <f>INDEX(Data!$9:$9,1,MATCH(M353,detail_table[#Headers],0))</f>
        <v>0</v>
      </c>
    </row>
    <row r="354" spans="1:18" ht="26.5" thickBot="1" x14ac:dyDescent="0.4">
      <c r="A354" s="23" t="s">
        <v>314</v>
      </c>
      <c r="B354" s="105">
        <f t="shared" si="29"/>
        <v>0</v>
      </c>
      <c r="C354" s="23">
        <f t="shared" si="29"/>
        <v>0</v>
      </c>
      <c r="D354" s="23">
        <f t="shared" si="29"/>
        <v>0</v>
      </c>
      <c r="E354" s="23">
        <f t="shared" si="29"/>
        <v>0</v>
      </c>
      <c r="F354" s="23">
        <f t="shared" si="29"/>
        <v>0</v>
      </c>
      <c r="G354" s="153"/>
      <c r="H354" s="153"/>
      <c r="M354" s="64" t="s">
        <v>678</v>
      </c>
      <c r="N354" s="61">
        <f>INDEX(Data!$9:$9,1,MATCH(M354,detail_table[#Headers],0))</f>
        <v>0</v>
      </c>
    </row>
    <row r="355" spans="1:18" ht="15" thickBot="1" x14ac:dyDescent="0.4">
      <c r="A355" s="23" t="s">
        <v>315</v>
      </c>
      <c r="B355" s="105">
        <f t="shared" si="29"/>
        <v>0</v>
      </c>
      <c r="C355" s="23">
        <f t="shared" si="29"/>
        <v>0</v>
      </c>
      <c r="D355" s="23">
        <f t="shared" si="29"/>
        <v>0</v>
      </c>
      <c r="E355" s="23">
        <f t="shared" si="29"/>
        <v>0</v>
      </c>
      <c r="F355" s="23">
        <f t="shared" si="29"/>
        <v>0</v>
      </c>
      <c r="G355" s="153"/>
      <c r="H355" s="153"/>
      <c r="M355" s="64" t="s">
        <v>679</v>
      </c>
      <c r="N355" s="61">
        <f>INDEX(Data!$9:$9,1,MATCH(M355,detail_table[#Headers],0))</f>
        <v>0</v>
      </c>
    </row>
    <row r="356" spans="1:18" ht="15" thickBot="1" x14ac:dyDescent="0.4">
      <c r="A356" s="109" t="s">
        <v>144</v>
      </c>
      <c r="B356" s="105">
        <f t="shared" si="29"/>
        <v>0</v>
      </c>
      <c r="C356" s="105">
        <f t="shared" si="29"/>
        <v>0</v>
      </c>
      <c r="D356" s="105">
        <f t="shared" si="29"/>
        <v>0</v>
      </c>
      <c r="E356" s="105">
        <f t="shared" si="29"/>
        <v>0</v>
      </c>
      <c r="F356" s="105">
        <f t="shared" si="29"/>
        <v>0</v>
      </c>
      <c r="G356" s="153"/>
      <c r="H356" s="153"/>
      <c r="M356" s="64" t="s">
        <v>680</v>
      </c>
      <c r="N356" s="61">
        <f>INDEX(Data!$9:$9,1,MATCH(M356,detail_table[#Headers],0))</f>
        <v>0</v>
      </c>
    </row>
    <row r="357" spans="1:18" x14ac:dyDescent="0.35">
      <c r="A357" s="60"/>
      <c r="B357" s="226"/>
      <c r="C357" s="226"/>
      <c r="D357" s="226"/>
      <c r="E357" s="226"/>
      <c r="F357" s="226"/>
      <c r="G357" s="153"/>
      <c r="H357" s="153"/>
      <c r="M357" s="64" t="s">
        <v>681</v>
      </c>
      <c r="N357" s="61">
        <f>INDEX(Data!$9:$9,1,MATCH(M357,detail_table[#Headers],0))</f>
        <v>0</v>
      </c>
    </row>
    <row r="358" spans="1:18" ht="39.5" thickBot="1" x14ac:dyDescent="0.4">
      <c r="A358" s="186" t="s">
        <v>128</v>
      </c>
      <c r="B358" s="153" t="s">
        <v>135</v>
      </c>
      <c r="C358" s="153"/>
      <c r="D358" s="153"/>
      <c r="E358" s="153"/>
      <c r="F358" s="153"/>
      <c r="G358" s="194"/>
      <c r="H358" s="194"/>
      <c r="M358" s="64" t="s">
        <v>682</v>
      </c>
      <c r="N358" s="61">
        <f>INDEX(Data!$9:$9,1,MATCH(M358,detail_table[#Headers],0))</f>
        <v>0</v>
      </c>
    </row>
    <row r="359" spans="1:18" ht="52.5" thickBot="1" x14ac:dyDescent="0.4">
      <c r="A359" s="1"/>
      <c r="B359" s="3" t="s">
        <v>8</v>
      </c>
      <c r="C359" s="3" t="s">
        <v>0</v>
      </c>
      <c r="D359" s="3" t="s">
        <v>1</v>
      </c>
      <c r="E359" s="3" t="s">
        <v>2</v>
      </c>
      <c r="F359" s="3" t="s">
        <v>3</v>
      </c>
      <c r="G359" s="194"/>
      <c r="H359" s="194"/>
      <c r="M359" s="64" t="s">
        <v>683</v>
      </c>
      <c r="N359" s="61">
        <f>INDEX(Data!$9:$9,1,MATCH(M359,detail_table[#Headers],0))</f>
        <v>0</v>
      </c>
    </row>
    <row r="360" spans="1:18" ht="26.5" thickBot="1" x14ac:dyDescent="0.4">
      <c r="A360" s="1" t="s">
        <v>282</v>
      </c>
      <c r="B360" s="174"/>
      <c r="C360" s="23"/>
      <c r="D360" s="23"/>
      <c r="E360" s="23"/>
      <c r="F360" s="23"/>
      <c r="G360" s="153"/>
      <c r="H360" s="153"/>
      <c r="J360" s="62"/>
      <c r="M360" s="64" t="s">
        <v>684</v>
      </c>
      <c r="N360" s="61">
        <f>INDEX(Data!$9:$9,1,MATCH(M360,detail_table[#Headers],0))</f>
        <v>0</v>
      </c>
    </row>
    <row r="361" spans="1:18" ht="39.5" thickBot="1" x14ac:dyDescent="0.4">
      <c r="A361" s="23" t="s">
        <v>283</v>
      </c>
      <c r="B361" s="174">
        <f t="shared" ref="B361:F371" si="30">INDEX($N$2:$N$1687,MATCH($B$358&amp;" | "&amp;$A361&amp;" | "&amp;B$359,$M$2:$M$1687,0))</f>
        <v>0</v>
      </c>
      <c r="C361" s="23">
        <f t="shared" si="30"/>
        <v>0</v>
      </c>
      <c r="D361" s="23">
        <f t="shared" si="30"/>
        <v>0</v>
      </c>
      <c r="E361" s="23">
        <f t="shared" si="30"/>
        <v>0</v>
      </c>
      <c r="F361" s="23">
        <f t="shared" si="30"/>
        <v>0</v>
      </c>
      <c r="G361" s="153"/>
      <c r="H361" s="153"/>
      <c r="J361" s="62"/>
      <c r="M361" s="64" t="s">
        <v>685</v>
      </c>
      <c r="N361" s="61">
        <f>INDEX(Data!$9:$9,1,MATCH(M361,detail_table[#Headers],0))</f>
        <v>0</v>
      </c>
    </row>
    <row r="362" spans="1:18" ht="26.5" thickBot="1" x14ac:dyDescent="0.4">
      <c r="A362" s="23" t="s">
        <v>284</v>
      </c>
      <c r="B362" s="174">
        <f t="shared" si="30"/>
        <v>0</v>
      </c>
      <c r="C362" s="23">
        <f t="shared" si="30"/>
        <v>0</v>
      </c>
      <c r="D362" s="23">
        <f t="shared" si="30"/>
        <v>0</v>
      </c>
      <c r="E362" s="23">
        <f t="shared" si="30"/>
        <v>0</v>
      </c>
      <c r="F362" s="23">
        <f t="shared" si="30"/>
        <v>0</v>
      </c>
      <c r="G362" s="153"/>
      <c r="H362" s="153"/>
      <c r="J362" s="62"/>
      <c r="M362" s="64" t="s">
        <v>686</v>
      </c>
      <c r="N362" s="61">
        <f>INDEX(Data!$9:$9,1,MATCH(M362,detail_table[#Headers],0))</f>
        <v>0</v>
      </c>
    </row>
    <row r="363" spans="1:18" ht="26.5" thickBot="1" x14ac:dyDescent="0.4">
      <c r="A363" s="23" t="s">
        <v>285</v>
      </c>
      <c r="B363" s="174">
        <f t="shared" si="30"/>
        <v>0</v>
      </c>
      <c r="C363" s="23">
        <f t="shared" si="30"/>
        <v>0</v>
      </c>
      <c r="D363" s="23">
        <f t="shared" si="30"/>
        <v>0</v>
      </c>
      <c r="E363" s="23">
        <f t="shared" si="30"/>
        <v>0</v>
      </c>
      <c r="F363" s="23">
        <f t="shared" si="30"/>
        <v>0</v>
      </c>
      <c r="G363" s="153"/>
      <c r="H363" s="153"/>
      <c r="M363" s="64" t="s">
        <v>687</v>
      </c>
      <c r="N363" s="61">
        <f>INDEX(Data!$9:$9,1,MATCH(M363,detail_table[#Headers],0))</f>
        <v>0</v>
      </c>
      <c r="R363" s="62"/>
    </row>
    <row r="364" spans="1:18" ht="26.5" thickBot="1" x14ac:dyDescent="0.4">
      <c r="A364" s="23" t="s">
        <v>286</v>
      </c>
      <c r="B364" s="174">
        <f t="shared" si="30"/>
        <v>0</v>
      </c>
      <c r="C364" s="23">
        <f t="shared" si="30"/>
        <v>0</v>
      </c>
      <c r="D364" s="23">
        <f t="shared" si="30"/>
        <v>0</v>
      </c>
      <c r="E364" s="23">
        <f t="shared" si="30"/>
        <v>0</v>
      </c>
      <c r="F364" s="23">
        <f t="shared" si="30"/>
        <v>0</v>
      </c>
      <c r="G364" s="153"/>
      <c r="H364" s="153"/>
      <c r="M364" s="64" t="s">
        <v>688</v>
      </c>
      <c r="N364" s="61">
        <f>INDEX(Data!$9:$9,1,MATCH(M364,detail_table[#Headers],0))</f>
        <v>0</v>
      </c>
      <c r="R364" s="62"/>
    </row>
    <row r="365" spans="1:18" ht="26.5" thickBot="1" x14ac:dyDescent="0.4">
      <c r="A365" s="23" t="s">
        <v>287</v>
      </c>
      <c r="B365" s="174">
        <f t="shared" si="30"/>
        <v>0</v>
      </c>
      <c r="C365" s="23">
        <f t="shared" si="30"/>
        <v>0</v>
      </c>
      <c r="D365" s="23">
        <f t="shared" si="30"/>
        <v>0</v>
      </c>
      <c r="E365" s="23">
        <f t="shared" si="30"/>
        <v>0</v>
      </c>
      <c r="F365" s="23">
        <f t="shared" si="30"/>
        <v>0</v>
      </c>
      <c r="G365" s="153"/>
      <c r="H365" s="153"/>
      <c r="M365" s="64" t="s">
        <v>689</v>
      </c>
      <c r="N365" s="61">
        <f>INDEX(Data!$9:$9,1,MATCH(M365,detail_table[#Headers],0))</f>
        <v>0</v>
      </c>
      <c r="R365" s="62"/>
    </row>
    <row r="366" spans="1:18" ht="39.5" thickBot="1" x14ac:dyDescent="0.4">
      <c r="A366" s="23" t="s">
        <v>288</v>
      </c>
      <c r="B366" s="174">
        <f t="shared" si="30"/>
        <v>0</v>
      </c>
      <c r="C366" s="23">
        <f t="shared" si="30"/>
        <v>0</v>
      </c>
      <c r="D366" s="23">
        <f t="shared" si="30"/>
        <v>0</v>
      </c>
      <c r="E366" s="23">
        <f t="shared" si="30"/>
        <v>0</v>
      </c>
      <c r="F366" s="23">
        <f t="shared" si="30"/>
        <v>0</v>
      </c>
      <c r="G366" s="153"/>
      <c r="H366" s="153"/>
      <c r="M366" s="64" t="s">
        <v>690</v>
      </c>
      <c r="N366" s="61">
        <f>INDEX(Data!$9:$9,1,MATCH(M366,detail_table[#Headers],0))</f>
        <v>0</v>
      </c>
    </row>
    <row r="367" spans="1:18" ht="26.5" thickBot="1" x14ac:dyDescent="0.4">
      <c r="A367" s="23" t="s">
        <v>289</v>
      </c>
      <c r="B367" s="174">
        <f t="shared" si="30"/>
        <v>0</v>
      </c>
      <c r="C367" s="23">
        <f t="shared" si="30"/>
        <v>0</v>
      </c>
      <c r="D367" s="23">
        <f t="shared" si="30"/>
        <v>0</v>
      </c>
      <c r="E367" s="23">
        <f t="shared" si="30"/>
        <v>0</v>
      </c>
      <c r="F367" s="23">
        <f t="shared" si="30"/>
        <v>0</v>
      </c>
      <c r="G367" s="153"/>
      <c r="H367" s="153"/>
      <c r="I367" s="62"/>
      <c r="M367" s="64" t="s">
        <v>691</v>
      </c>
      <c r="N367" s="61">
        <f>INDEX(Data!$9:$9,1,MATCH(M367,detail_table[#Headers],0))</f>
        <v>0</v>
      </c>
    </row>
    <row r="368" spans="1:18" s="62" customFormat="1" ht="39.5" thickBot="1" x14ac:dyDescent="0.4">
      <c r="A368" s="23" t="s">
        <v>290</v>
      </c>
      <c r="B368" s="174">
        <f t="shared" si="30"/>
        <v>0</v>
      </c>
      <c r="C368" s="23">
        <f t="shared" si="30"/>
        <v>0</v>
      </c>
      <c r="D368" s="23">
        <f t="shared" si="30"/>
        <v>0</v>
      </c>
      <c r="E368" s="23">
        <f t="shared" si="30"/>
        <v>0</v>
      </c>
      <c r="F368" s="23">
        <f t="shared" si="30"/>
        <v>0</v>
      </c>
      <c r="G368" s="153"/>
      <c r="H368" s="153"/>
      <c r="J368" s="61"/>
      <c r="K368" s="61"/>
      <c r="L368" s="61"/>
      <c r="M368" s="64" t="s">
        <v>692</v>
      </c>
      <c r="N368" s="61">
        <f>INDEX(Data!$9:$9,1,MATCH(M368,detail_table[#Headers],0))</f>
        <v>0</v>
      </c>
      <c r="O368" s="61"/>
      <c r="Q368" s="61"/>
      <c r="R368" s="61"/>
    </row>
    <row r="369" spans="1:18" s="62" customFormat="1" ht="39.5" thickBot="1" x14ac:dyDescent="0.4">
      <c r="A369" s="23" t="s">
        <v>291</v>
      </c>
      <c r="B369" s="174">
        <f t="shared" si="30"/>
        <v>0</v>
      </c>
      <c r="C369" s="23">
        <f t="shared" si="30"/>
        <v>0</v>
      </c>
      <c r="D369" s="23">
        <f t="shared" si="30"/>
        <v>0</v>
      </c>
      <c r="E369" s="23">
        <f t="shared" si="30"/>
        <v>0</v>
      </c>
      <c r="F369" s="23">
        <f t="shared" si="30"/>
        <v>0</v>
      </c>
      <c r="G369" s="153"/>
      <c r="H369" s="153"/>
      <c r="J369" s="61"/>
      <c r="K369" s="61"/>
      <c r="L369" s="61"/>
      <c r="M369" s="64" t="s">
        <v>693</v>
      </c>
      <c r="N369" s="61">
        <f>INDEX(Data!$9:$9,1,MATCH(M369,detail_table[#Headers],0))</f>
        <v>0</v>
      </c>
      <c r="O369" s="61"/>
      <c r="Q369" s="61"/>
      <c r="R369" s="61"/>
    </row>
    <row r="370" spans="1:18" s="62" customFormat="1" ht="39.5" thickBot="1" x14ac:dyDescent="0.4">
      <c r="A370" s="23" t="s">
        <v>292</v>
      </c>
      <c r="B370" s="174">
        <f t="shared" si="30"/>
        <v>0</v>
      </c>
      <c r="C370" s="23">
        <f t="shared" si="30"/>
        <v>0</v>
      </c>
      <c r="D370" s="23">
        <f t="shared" si="30"/>
        <v>0</v>
      </c>
      <c r="E370" s="23">
        <f t="shared" si="30"/>
        <v>0</v>
      </c>
      <c r="F370" s="23">
        <f t="shared" si="30"/>
        <v>0</v>
      </c>
      <c r="G370" s="153"/>
      <c r="H370" s="153"/>
      <c r="I370" s="61"/>
      <c r="J370" s="61"/>
      <c r="K370" s="61"/>
      <c r="L370" s="61"/>
      <c r="M370" s="64" t="s">
        <v>694</v>
      </c>
      <c r="N370" s="61">
        <f>INDEX(Data!$9:$9,1,MATCH(M370,detail_table[#Headers],0))</f>
        <v>0</v>
      </c>
      <c r="O370" s="61"/>
      <c r="Q370" s="61"/>
      <c r="R370" s="61"/>
    </row>
    <row r="371" spans="1:18" ht="15" thickBot="1" x14ac:dyDescent="0.4">
      <c r="A371" s="23" t="s">
        <v>231</v>
      </c>
      <c r="B371" s="174">
        <f t="shared" si="30"/>
        <v>0</v>
      </c>
      <c r="C371" s="23">
        <f t="shared" si="30"/>
        <v>0</v>
      </c>
      <c r="D371" s="23">
        <f t="shared" si="30"/>
        <v>0</v>
      </c>
      <c r="E371" s="23">
        <f t="shared" si="30"/>
        <v>0</v>
      </c>
      <c r="F371" s="23">
        <f t="shared" si="30"/>
        <v>0</v>
      </c>
      <c r="G371" s="153"/>
      <c r="H371" s="153"/>
      <c r="M371" s="64" t="s">
        <v>695</v>
      </c>
      <c r="N371" s="61">
        <f>INDEX(Data!$9:$9,1,MATCH(M371,detail_table[#Headers],0))</f>
        <v>0</v>
      </c>
    </row>
    <row r="372" spans="1:18" ht="26.5" thickBot="1" x14ac:dyDescent="0.4">
      <c r="A372" s="1" t="s">
        <v>293</v>
      </c>
      <c r="B372" s="174"/>
      <c r="C372" s="23"/>
      <c r="D372" s="23"/>
      <c r="E372" s="23"/>
      <c r="F372" s="23"/>
      <c r="G372" s="153"/>
      <c r="H372" s="153"/>
      <c r="M372" s="64" t="s">
        <v>696</v>
      </c>
      <c r="N372" s="61">
        <f>INDEX(Data!$9:$9,1,MATCH(M372,detail_table[#Headers],0))</f>
        <v>0</v>
      </c>
    </row>
    <row r="373" spans="1:18" ht="15" thickBot="1" x14ac:dyDescent="0.4">
      <c r="A373" s="23" t="s">
        <v>294</v>
      </c>
      <c r="B373" s="174">
        <f t="shared" ref="B373:F381" si="31">INDEX($N$2:$N$1687,MATCH($B$358&amp;" | "&amp;$A373&amp;" | "&amp;B$359,$M$2:$M$1687,0))</f>
        <v>0</v>
      </c>
      <c r="C373" s="23">
        <f t="shared" si="31"/>
        <v>0</v>
      </c>
      <c r="D373" s="23">
        <f t="shared" si="31"/>
        <v>0</v>
      </c>
      <c r="E373" s="23">
        <f t="shared" si="31"/>
        <v>0</v>
      </c>
      <c r="F373" s="23">
        <f t="shared" si="31"/>
        <v>0</v>
      </c>
      <c r="G373" s="153"/>
      <c r="H373" s="153"/>
      <c r="M373" s="64" t="s">
        <v>697</v>
      </c>
      <c r="N373" s="61">
        <f>INDEX(Data!$9:$9,1,MATCH(M373,detail_table[#Headers],0))</f>
        <v>0</v>
      </c>
    </row>
    <row r="374" spans="1:18" ht="39.5" thickBot="1" x14ac:dyDescent="0.4">
      <c r="A374" s="23" t="s">
        <v>295</v>
      </c>
      <c r="B374" s="174">
        <f t="shared" si="31"/>
        <v>0</v>
      </c>
      <c r="C374" s="23">
        <f t="shared" si="31"/>
        <v>0</v>
      </c>
      <c r="D374" s="23">
        <f t="shared" si="31"/>
        <v>0</v>
      </c>
      <c r="E374" s="23">
        <f t="shared" si="31"/>
        <v>0</v>
      </c>
      <c r="F374" s="23">
        <f t="shared" si="31"/>
        <v>0</v>
      </c>
      <c r="G374" s="153"/>
      <c r="H374" s="153"/>
      <c r="M374" s="64" t="s">
        <v>698</v>
      </c>
      <c r="N374" s="61">
        <f>INDEX(Data!$9:$9,1,MATCH(M374,detail_table[#Headers],0))</f>
        <v>0</v>
      </c>
    </row>
    <row r="375" spans="1:18" ht="39.5" thickBot="1" x14ac:dyDescent="0.4">
      <c r="A375" s="23" t="s">
        <v>296</v>
      </c>
      <c r="B375" s="174">
        <f t="shared" si="31"/>
        <v>0</v>
      </c>
      <c r="C375" s="23">
        <f t="shared" si="31"/>
        <v>0</v>
      </c>
      <c r="D375" s="23">
        <f t="shared" si="31"/>
        <v>0</v>
      </c>
      <c r="E375" s="23">
        <f t="shared" si="31"/>
        <v>0</v>
      </c>
      <c r="F375" s="23">
        <f t="shared" si="31"/>
        <v>0</v>
      </c>
      <c r="G375" s="153"/>
      <c r="H375" s="153"/>
      <c r="M375" s="64" t="s">
        <v>699</v>
      </c>
      <c r="N375" s="61">
        <f>INDEX(Data!$9:$9,1,MATCH(M375,detail_table[#Headers],0))</f>
        <v>0</v>
      </c>
    </row>
    <row r="376" spans="1:18" ht="26.5" thickBot="1" x14ac:dyDescent="0.4">
      <c r="A376" s="23" t="s">
        <v>1961</v>
      </c>
      <c r="B376" s="174">
        <f t="shared" si="31"/>
        <v>0</v>
      </c>
      <c r="C376" s="23">
        <f t="shared" si="31"/>
        <v>0</v>
      </c>
      <c r="D376" s="23">
        <f t="shared" si="31"/>
        <v>0</v>
      </c>
      <c r="E376" s="23">
        <f t="shared" si="31"/>
        <v>0</v>
      </c>
      <c r="F376" s="23">
        <f t="shared" si="31"/>
        <v>0</v>
      </c>
      <c r="G376" s="153"/>
      <c r="H376" s="153"/>
      <c r="M376" s="64" t="s">
        <v>700</v>
      </c>
      <c r="N376" s="61">
        <f>INDEX(Data!$9:$9,1,MATCH(M376,detail_table[#Headers],0))</f>
        <v>0</v>
      </c>
    </row>
    <row r="377" spans="1:18" ht="39.5" thickBot="1" x14ac:dyDescent="0.4">
      <c r="A377" s="23" t="s">
        <v>298</v>
      </c>
      <c r="B377" s="174">
        <f t="shared" si="31"/>
        <v>0</v>
      </c>
      <c r="C377" s="23">
        <f t="shared" si="31"/>
        <v>0</v>
      </c>
      <c r="D377" s="23">
        <f t="shared" si="31"/>
        <v>0</v>
      </c>
      <c r="E377" s="23">
        <f t="shared" si="31"/>
        <v>0</v>
      </c>
      <c r="F377" s="23">
        <f t="shared" si="31"/>
        <v>0</v>
      </c>
      <c r="G377" s="153"/>
      <c r="H377" s="153"/>
      <c r="M377" s="64" t="s">
        <v>701</v>
      </c>
      <c r="N377" s="61">
        <f>INDEX(Data!$9:$9,1,MATCH(M377,detail_table[#Headers],0))</f>
        <v>0</v>
      </c>
    </row>
    <row r="378" spans="1:18" ht="26.5" thickBot="1" x14ac:dyDescent="0.4">
      <c r="A378" s="23" t="s">
        <v>299</v>
      </c>
      <c r="B378" s="174">
        <f t="shared" si="31"/>
        <v>0</v>
      </c>
      <c r="C378" s="23">
        <f t="shared" si="31"/>
        <v>0</v>
      </c>
      <c r="D378" s="23">
        <f t="shared" si="31"/>
        <v>0</v>
      </c>
      <c r="E378" s="23">
        <f t="shared" si="31"/>
        <v>0</v>
      </c>
      <c r="F378" s="23">
        <f t="shared" si="31"/>
        <v>0</v>
      </c>
      <c r="G378" s="153"/>
      <c r="H378" s="153"/>
      <c r="M378" s="64" t="s">
        <v>702</v>
      </c>
      <c r="N378" s="61">
        <f>INDEX(Data!$9:$9,1,MATCH(M378,detail_table[#Headers],0))</f>
        <v>0</v>
      </c>
    </row>
    <row r="379" spans="1:18" ht="15" thickBot="1" x14ac:dyDescent="0.4">
      <c r="A379" s="23" t="s">
        <v>300</v>
      </c>
      <c r="B379" s="174">
        <f t="shared" si="31"/>
        <v>0</v>
      </c>
      <c r="C379" s="23">
        <f t="shared" si="31"/>
        <v>0</v>
      </c>
      <c r="D379" s="23">
        <f t="shared" si="31"/>
        <v>0</v>
      </c>
      <c r="E379" s="23">
        <f t="shared" si="31"/>
        <v>0</v>
      </c>
      <c r="F379" s="23">
        <f t="shared" si="31"/>
        <v>0</v>
      </c>
      <c r="G379" s="153"/>
      <c r="H379" s="153"/>
      <c r="M379" s="64" t="s">
        <v>703</v>
      </c>
      <c r="N379" s="61">
        <f>INDEX(Data!$9:$9,1,MATCH(M379,detail_table[#Headers],0))</f>
        <v>0</v>
      </c>
    </row>
    <row r="380" spans="1:18" ht="26.5" thickBot="1" x14ac:dyDescent="0.4">
      <c r="A380" s="23" t="s">
        <v>301</v>
      </c>
      <c r="B380" s="174">
        <f t="shared" si="31"/>
        <v>0</v>
      </c>
      <c r="C380" s="23">
        <f t="shared" si="31"/>
        <v>0</v>
      </c>
      <c r="D380" s="23">
        <f t="shared" si="31"/>
        <v>0</v>
      </c>
      <c r="E380" s="23">
        <f t="shared" si="31"/>
        <v>0</v>
      </c>
      <c r="F380" s="23">
        <f t="shared" si="31"/>
        <v>0</v>
      </c>
      <c r="G380" s="153"/>
      <c r="H380" s="153"/>
      <c r="M380" s="64" t="s">
        <v>704</v>
      </c>
      <c r="N380" s="61">
        <f>INDEX(Data!$9:$9,1,MATCH(M380,detail_table[#Headers],0))</f>
        <v>0</v>
      </c>
    </row>
    <row r="381" spans="1:18" ht="15" thickBot="1" x14ac:dyDescent="0.4">
      <c r="A381" s="23" t="s">
        <v>240</v>
      </c>
      <c r="B381" s="174">
        <f t="shared" si="31"/>
        <v>0</v>
      </c>
      <c r="C381" s="23">
        <f t="shared" si="31"/>
        <v>0</v>
      </c>
      <c r="D381" s="23">
        <f t="shared" si="31"/>
        <v>0</v>
      </c>
      <c r="E381" s="23">
        <f t="shared" si="31"/>
        <v>0</v>
      </c>
      <c r="F381" s="23">
        <f t="shared" si="31"/>
        <v>0</v>
      </c>
      <c r="G381" s="153"/>
      <c r="H381" s="153"/>
      <c r="M381" s="64" t="s">
        <v>705</v>
      </c>
      <c r="N381" s="61">
        <f>INDEX(Data!$9:$9,1,MATCH(M381,detail_table[#Headers],0))</f>
        <v>0</v>
      </c>
    </row>
    <row r="382" spans="1:18" ht="15" thickBot="1" x14ac:dyDescent="0.4">
      <c r="A382" s="1" t="s">
        <v>302</v>
      </c>
      <c r="B382" s="174"/>
      <c r="C382" s="23"/>
      <c r="D382" s="23"/>
      <c r="E382" s="23"/>
      <c r="F382" s="23"/>
      <c r="G382" s="153"/>
      <c r="H382" s="153"/>
      <c r="M382" s="64" t="s">
        <v>706</v>
      </c>
      <c r="N382" s="61">
        <f>INDEX(Data!$9:$9,1,MATCH(M382,detail_table[#Headers],0))</f>
        <v>0</v>
      </c>
    </row>
    <row r="383" spans="1:18" ht="39.5" thickBot="1" x14ac:dyDescent="0.4">
      <c r="A383" s="23" t="s">
        <v>303</v>
      </c>
      <c r="B383" s="174">
        <f t="shared" ref="B383:F389" si="32">INDEX($N$2:$N$1687,MATCH($B$358&amp;" | "&amp;$A383&amp;" | "&amp;B$359,$M$2:$M$1687,0))</f>
        <v>0</v>
      </c>
      <c r="C383" s="23">
        <f t="shared" si="32"/>
        <v>0</v>
      </c>
      <c r="D383" s="23">
        <f t="shared" si="32"/>
        <v>0</v>
      </c>
      <c r="E383" s="23">
        <f t="shared" si="32"/>
        <v>0</v>
      </c>
      <c r="F383" s="23">
        <f t="shared" si="32"/>
        <v>0</v>
      </c>
      <c r="G383" s="153"/>
      <c r="H383" s="153"/>
      <c r="M383" s="64" t="s">
        <v>707</v>
      </c>
      <c r="N383" s="61">
        <f>INDEX(Data!$9:$9,1,MATCH(M383,detail_table[#Headers],0))</f>
        <v>0</v>
      </c>
    </row>
    <row r="384" spans="1:18" ht="39.5" thickBot="1" x14ac:dyDescent="0.4">
      <c r="A384" s="23" t="s">
        <v>304</v>
      </c>
      <c r="B384" s="174">
        <f t="shared" si="32"/>
        <v>0</v>
      </c>
      <c r="C384" s="23">
        <f t="shared" si="32"/>
        <v>0</v>
      </c>
      <c r="D384" s="23">
        <f t="shared" si="32"/>
        <v>0</v>
      </c>
      <c r="E384" s="23">
        <f t="shared" si="32"/>
        <v>0</v>
      </c>
      <c r="F384" s="23">
        <f t="shared" si="32"/>
        <v>0</v>
      </c>
      <c r="G384" s="153"/>
      <c r="H384" s="153"/>
      <c r="K384" s="62"/>
      <c r="M384" s="64" t="s">
        <v>708</v>
      </c>
      <c r="N384" s="61">
        <f>INDEX(Data!$9:$9,1,MATCH(M384,detail_table[#Headers],0))</f>
        <v>0</v>
      </c>
    </row>
    <row r="385" spans="1:17" ht="39.5" thickBot="1" x14ac:dyDescent="0.4">
      <c r="A385" s="23" t="s">
        <v>305</v>
      </c>
      <c r="B385" s="174">
        <f t="shared" si="32"/>
        <v>0</v>
      </c>
      <c r="C385" s="23">
        <f t="shared" si="32"/>
        <v>0</v>
      </c>
      <c r="D385" s="23">
        <f t="shared" si="32"/>
        <v>0</v>
      </c>
      <c r="E385" s="23">
        <f t="shared" si="32"/>
        <v>0</v>
      </c>
      <c r="F385" s="23">
        <f t="shared" si="32"/>
        <v>0</v>
      </c>
      <c r="G385" s="153"/>
      <c r="H385" s="153"/>
      <c r="K385" s="62"/>
      <c r="M385" s="64" t="s">
        <v>709</v>
      </c>
      <c r="N385" s="61">
        <f>INDEX(Data!$9:$9,1,MATCH(M385,detail_table[#Headers],0))</f>
        <v>0</v>
      </c>
    </row>
    <row r="386" spans="1:17" ht="52.5" thickBot="1" x14ac:dyDescent="0.4">
      <c r="A386" s="23" t="s">
        <v>306</v>
      </c>
      <c r="B386" s="174">
        <f t="shared" si="32"/>
        <v>0</v>
      </c>
      <c r="C386" s="23">
        <f t="shared" si="32"/>
        <v>0</v>
      </c>
      <c r="D386" s="23">
        <f t="shared" si="32"/>
        <v>0</v>
      </c>
      <c r="E386" s="23">
        <f t="shared" si="32"/>
        <v>0</v>
      </c>
      <c r="F386" s="23">
        <f t="shared" si="32"/>
        <v>0</v>
      </c>
      <c r="G386" s="153"/>
      <c r="H386" s="153"/>
      <c r="M386" s="64" t="s">
        <v>710</v>
      </c>
      <c r="N386" s="61">
        <f>INDEX(Data!$9:$9,1,MATCH(M386,detail_table[#Headers],0))</f>
        <v>0</v>
      </c>
    </row>
    <row r="387" spans="1:17" ht="39.5" thickBot="1" x14ac:dyDescent="0.4">
      <c r="A387" s="23" t="s">
        <v>307</v>
      </c>
      <c r="B387" s="174">
        <f t="shared" si="32"/>
        <v>0</v>
      </c>
      <c r="C387" s="23">
        <f t="shared" si="32"/>
        <v>0</v>
      </c>
      <c r="D387" s="23">
        <f t="shared" si="32"/>
        <v>0</v>
      </c>
      <c r="E387" s="23">
        <f t="shared" si="32"/>
        <v>0</v>
      </c>
      <c r="F387" s="23">
        <f t="shared" si="32"/>
        <v>0</v>
      </c>
      <c r="G387" s="153"/>
      <c r="H387" s="153"/>
      <c r="M387" s="64" t="s">
        <v>711</v>
      </c>
      <c r="N387" s="61">
        <f>INDEX(Data!$9:$9,1,MATCH(M387,detail_table[#Headers],0))</f>
        <v>0</v>
      </c>
      <c r="Q387" s="62"/>
    </row>
    <row r="388" spans="1:17" ht="39.5" thickBot="1" x14ac:dyDescent="0.4">
      <c r="A388" s="23" t="s">
        <v>308</v>
      </c>
      <c r="B388" s="174">
        <f t="shared" si="32"/>
        <v>0</v>
      </c>
      <c r="C388" s="23">
        <f t="shared" si="32"/>
        <v>0</v>
      </c>
      <c r="D388" s="23">
        <f t="shared" si="32"/>
        <v>0</v>
      </c>
      <c r="E388" s="23">
        <f t="shared" si="32"/>
        <v>0</v>
      </c>
      <c r="F388" s="23">
        <f t="shared" si="32"/>
        <v>0</v>
      </c>
      <c r="G388" s="153"/>
      <c r="H388" s="153"/>
      <c r="M388" s="64" t="s">
        <v>712</v>
      </c>
      <c r="N388" s="61">
        <f>INDEX(Data!$9:$9,1,MATCH(M388,detail_table[#Headers],0))</f>
        <v>0</v>
      </c>
      <c r="Q388" s="62"/>
    </row>
    <row r="389" spans="1:17" ht="15" thickBot="1" x14ac:dyDescent="0.4">
      <c r="A389" s="23" t="s">
        <v>255</v>
      </c>
      <c r="B389" s="174">
        <f t="shared" si="32"/>
        <v>0</v>
      </c>
      <c r="C389" s="23">
        <f t="shared" si="32"/>
        <v>0</v>
      </c>
      <c r="D389" s="23">
        <f t="shared" si="32"/>
        <v>0</v>
      </c>
      <c r="E389" s="23">
        <f t="shared" si="32"/>
        <v>0</v>
      </c>
      <c r="F389" s="23">
        <f t="shared" si="32"/>
        <v>0</v>
      </c>
      <c r="G389" s="153"/>
      <c r="H389" s="153"/>
      <c r="M389" s="64" t="s">
        <v>713</v>
      </c>
      <c r="N389" s="61">
        <f>INDEX(Data!$9:$9,1,MATCH(M389,detail_table[#Headers],0))</f>
        <v>0</v>
      </c>
    </row>
    <row r="390" spans="1:17" ht="15" thickBot="1" x14ac:dyDescent="0.4">
      <c r="A390" s="1" t="s">
        <v>309</v>
      </c>
      <c r="B390" s="174"/>
      <c r="C390" s="23"/>
      <c r="D390" s="23"/>
      <c r="E390" s="23"/>
      <c r="F390" s="23"/>
      <c r="G390" s="153"/>
      <c r="H390" s="153"/>
      <c r="M390" s="64" t="s">
        <v>714</v>
      </c>
      <c r="N390" s="61">
        <f>INDEX(Data!$9:$9,1,MATCH(M390,detail_table[#Headers],0))</f>
        <v>0</v>
      </c>
    </row>
    <row r="391" spans="1:17" ht="39.5" thickBot="1" x14ac:dyDescent="0.4">
      <c r="A391" s="23" t="s">
        <v>310</v>
      </c>
      <c r="B391" s="174">
        <f t="shared" ref="B391:F397" si="33">INDEX($N$2:$N$1687,MATCH($B$358&amp;" | "&amp;$A391&amp;" | "&amp;B$359,$M$2:$M$1687,0))</f>
        <v>0</v>
      </c>
      <c r="C391" s="23">
        <f t="shared" si="33"/>
        <v>0</v>
      </c>
      <c r="D391" s="23">
        <f t="shared" si="33"/>
        <v>0</v>
      </c>
      <c r="E391" s="23">
        <f t="shared" si="33"/>
        <v>0</v>
      </c>
      <c r="F391" s="23">
        <f t="shared" si="33"/>
        <v>0</v>
      </c>
      <c r="G391" s="153"/>
      <c r="H391" s="153"/>
      <c r="M391" s="64" t="s">
        <v>715</v>
      </c>
      <c r="N391" s="61">
        <f>INDEX(Data!$9:$9,1,MATCH(M391,detail_table[#Headers],0))</f>
        <v>0</v>
      </c>
    </row>
    <row r="392" spans="1:17" ht="15" thickBot="1" x14ac:dyDescent="0.4">
      <c r="A392" s="23" t="s">
        <v>311</v>
      </c>
      <c r="B392" s="174">
        <f t="shared" si="33"/>
        <v>0</v>
      </c>
      <c r="C392" s="23">
        <f t="shared" si="33"/>
        <v>0</v>
      </c>
      <c r="D392" s="23">
        <f t="shared" si="33"/>
        <v>0</v>
      </c>
      <c r="E392" s="23">
        <f t="shared" si="33"/>
        <v>0</v>
      </c>
      <c r="F392" s="23">
        <f t="shared" si="33"/>
        <v>0</v>
      </c>
      <c r="G392" s="153"/>
      <c r="H392" s="153"/>
      <c r="M392" s="64" t="s">
        <v>716</v>
      </c>
      <c r="N392" s="61">
        <f>INDEX(Data!$9:$9,1,MATCH(M392,detail_table[#Headers],0))</f>
        <v>0</v>
      </c>
    </row>
    <row r="393" spans="1:17" ht="15" thickBot="1" x14ac:dyDescent="0.4">
      <c r="A393" s="23" t="s">
        <v>312</v>
      </c>
      <c r="B393" s="174">
        <f t="shared" si="33"/>
        <v>0</v>
      </c>
      <c r="C393" s="23">
        <f t="shared" si="33"/>
        <v>0</v>
      </c>
      <c r="D393" s="23">
        <f t="shared" si="33"/>
        <v>0</v>
      </c>
      <c r="E393" s="23">
        <f t="shared" si="33"/>
        <v>0</v>
      </c>
      <c r="F393" s="23">
        <f t="shared" si="33"/>
        <v>0</v>
      </c>
      <c r="G393" s="153"/>
      <c r="H393" s="153"/>
      <c r="M393" s="64" t="s">
        <v>717</v>
      </c>
      <c r="N393" s="61">
        <f>INDEX(Data!$9:$9,1,MATCH(M393,detail_table[#Headers],0))</f>
        <v>0</v>
      </c>
    </row>
    <row r="394" spans="1:17" ht="26.5" thickBot="1" x14ac:dyDescent="0.4">
      <c r="A394" s="23" t="s">
        <v>313</v>
      </c>
      <c r="B394" s="174">
        <f t="shared" si="33"/>
        <v>0</v>
      </c>
      <c r="C394" s="23">
        <f t="shared" si="33"/>
        <v>0</v>
      </c>
      <c r="D394" s="23">
        <f t="shared" si="33"/>
        <v>0</v>
      </c>
      <c r="E394" s="23">
        <f t="shared" si="33"/>
        <v>0</v>
      </c>
      <c r="F394" s="23">
        <f t="shared" si="33"/>
        <v>0</v>
      </c>
      <c r="G394" s="153"/>
      <c r="H394" s="153"/>
      <c r="M394" s="64" t="s">
        <v>718</v>
      </c>
      <c r="N394" s="61">
        <f>INDEX(Data!$9:$9,1,MATCH(M394,detail_table[#Headers],0))</f>
        <v>0</v>
      </c>
    </row>
    <row r="395" spans="1:17" ht="26.5" thickBot="1" x14ac:dyDescent="0.4">
      <c r="A395" s="23" t="s">
        <v>314</v>
      </c>
      <c r="B395" s="174">
        <f t="shared" si="33"/>
        <v>0</v>
      </c>
      <c r="C395" s="23">
        <f t="shared" si="33"/>
        <v>0</v>
      </c>
      <c r="D395" s="23">
        <f t="shared" si="33"/>
        <v>0</v>
      </c>
      <c r="E395" s="23">
        <f t="shared" si="33"/>
        <v>0</v>
      </c>
      <c r="F395" s="23">
        <f t="shared" si="33"/>
        <v>0</v>
      </c>
      <c r="G395" s="153"/>
      <c r="H395" s="153"/>
      <c r="M395" s="64" t="s">
        <v>719</v>
      </c>
      <c r="N395" s="61">
        <f>INDEX(Data!$9:$9,1,MATCH(M395,detail_table[#Headers],0))</f>
        <v>0</v>
      </c>
    </row>
    <row r="396" spans="1:17" ht="15" thickBot="1" x14ac:dyDescent="0.4">
      <c r="A396" s="23" t="s">
        <v>315</v>
      </c>
      <c r="B396" s="174">
        <f t="shared" si="33"/>
        <v>0</v>
      </c>
      <c r="C396" s="23">
        <f t="shared" si="33"/>
        <v>0</v>
      </c>
      <c r="D396" s="23">
        <f t="shared" si="33"/>
        <v>0</v>
      </c>
      <c r="E396" s="23">
        <f t="shared" si="33"/>
        <v>0</v>
      </c>
      <c r="F396" s="23">
        <f t="shared" si="33"/>
        <v>0</v>
      </c>
      <c r="G396" s="153"/>
      <c r="H396" s="153"/>
      <c r="M396" s="64" t="s">
        <v>720</v>
      </c>
      <c r="N396" s="61">
        <f>INDEX(Data!$9:$9,1,MATCH(M396,detail_table[#Headers],0))</f>
        <v>0</v>
      </c>
    </row>
    <row r="397" spans="1:17" ht="15" thickBot="1" x14ac:dyDescent="0.4">
      <c r="A397" s="109" t="s">
        <v>144</v>
      </c>
      <c r="B397" s="174">
        <f t="shared" si="33"/>
        <v>0</v>
      </c>
      <c r="C397" s="174">
        <f t="shared" si="33"/>
        <v>0</v>
      </c>
      <c r="D397" s="174">
        <f t="shared" si="33"/>
        <v>0</v>
      </c>
      <c r="E397" s="174">
        <f t="shared" si="33"/>
        <v>0</v>
      </c>
      <c r="F397" s="174">
        <f t="shared" si="33"/>
        <v>0</v>
      </c>
      <c r="G397" s="153"/>
      <c r="H397" s="153"/>
      <c r="M397" s="64" t="s">
        <v>721</v>
      </c>
      <c r="N397" s="61">
        <f>INDEX(Data!$9:$9,1,MATCH(M397,detail_table[#Headers],0))</f>
        <v>0</v>
      </c>
    </row>
    <row r="398" spans="1:17" x14ac:dyDescent="0.35">
      <c r="A398" s="60"/>
      <c r="B398" s="59"/>
      <c r="C398" s="59"/>
      <c r="D398" s="59"/>
      <c r="E398" s="59"/>
      <c r="F398" s="59"/>
      <c r="G398" s="153"/>
      <c r="H398" s="153"/>
      <c r="M398" s="64" t="s">
        <v>722</v>
      </c>
      <c r="N398" s="61">
        <f>INDEX(Data!$9:$9,1,MATCH(M398,detail_table[#Headers],0))</f>
        <v>0</v>
      </c>
    </row>
    <row r="399" spans="1:17" ht="39.5" thickBot="1" x14ac:dyDescent="0.4">
      <c r="A399" s="186" t="s">
        <v>129</v>
      </c>
      <c r="B399" s="153" t="s">
        <v>136</v>
      </c>
      <c r="C399" s="153"/>
      <c r="D399" s="153"/>
      <c r="E399" s="153"/>
      <c r="F399" s="153"/>
      <c r="G399" s="153"/>
      <c r="H399" s="153"/>
      <c r="M399" s="64" t="s">
        <v>723</v>
      </c>
      <c r="N399" s="61">
        <f>INDEX(Data!$9:$9,1,MATCH(M399,detail_table[#Headers],0))</f>
        <v>0</v>
      </c>
    </row>
    <row r="400" spans="1:17" ht="52.5" thickBot="1" x14ac:dyDescent="0.4">
      <c r="A400" s="30"/>
      <c r="B400" s="26" t="s">
        <v>8</v>
      </c>
      <c r="C400" s="26" t="s">
        <v>0</v>
      </c>
      <c r="D400" s="26" t="s">
        <v>1</v>
      </c>
      <c r="E400" s="26" t="s">
        <v>2</v>
      </c>
      <c r="F400" s="26" t="s">
        <v>3</v>
      </c>
      <c r="G400" s="194"/>
      <c r="H400" s="194"/>
      <c r="M400" s="64" t="s">
        <v>724</v>
      </c>
      <c r="N400" s="61">
        <f>INDEX(Data!$9:$9,1,MATCH(M400,detail_table[#Headers],0))</f>
        <v>0</v>
      </c>
    </row>
    <row r="401" spans="1:18" ht="52.5" thickBot="1" x14ac:dyDescent="0.4">
      <c r="A401" s="27" t="s">
        <v>316</v>
      </c>
      <c r="B401" s="31">
        <f t="shared" ref="B401:F415" si="34">INDEX($N$2:$N$1687,MATCH($B$399&amp;" | "&amp;$A401&amp;" | "&amp;B$400,$M$2:$M$1687,0))</f>
        <v>0</v>
      </c>
      <c r="C401" s="115">
        <f t="shared" si="34"/>
        <v>0</v>
      </c>
      <c r="D401" s="116">
        <f t="shared" si="34"/>
        <v>0</v>
      </c>
      <c r="E401" s="116">
        <f t="shared" si="34"/>
        <v>0</v>
      </c>
      <c r="F401" s="116">
        <f t="shared" si="34"/>
        <v>0</v>
      </c>
      <c r="G401" s="194"/>
      <c r="H401" s="194"/>
      <c r="M401" s="64" t="s">
        <v>725</v>
      </c>
      <c r="N401" s="61">
        <f>INDEX(Data!$9:$9,1,MATCH(M401,detail_table[#Headers],0))</f>
        <v>0</v>
      </c>
    </row>
    <row r="402" spans="1:18" ht="65.5" thickBot="1" x14ac:dyDescent="0.4">
      <c r="A402" s="27" t="s">
        <v>317</v>
      </c>
      <c r="B402" s="31">
        <f t="shared" si="34"/>
        <v>0</v>
      </c>
      <c r="C402" s="117">
        <f t="shared" si="34"/>
        <v>0</v>
      </c>
      <c r="D402" s="110">
        <f t="shared" si="34"/>
        <v>0</v>
      </c>
      <c r="E402" s="110">
        <f t="shared" si="34"/>
        <v>0</v>
      </c>
      <c r="F402" s="110">
        <f t="shared" si="34"/>
        <v>0</v>
      </c>
      <c r="G402" s="153"/>
      <c r="H402" s="153"/>
      <c r="M402" s="64" t="s">
        <v>726</v>
      </c>
      <c r="N402" s="61">
        <f>INDEX(Data!$9:$9,1,MATCH(M402,detail_table[#Headers],0))</f>
        <v>0</v>
      </c>
      <c r="R402" s="62"/>
    </row>
    <row r="403" spans="1:18" ht="78.5" thickBot="1" x14ac:dyDescent="0.4">
      <c r="A403" s="27" t="s">
        <v>318</v>
      </c>
      <c r="B403" s="31">
        <f t="shared" si="34"/>
        <v>0</v>
      </c>
      <c r="C403" s="117">
        <f t="shared" si="34"/>
        <v>0</v>
      </c>
      <c r="D403" s="110">
        <f t="shared" si="34"/>
        <v>0</v>
      </c>
      <c r="E403" s="110">
        <f t="shared" si="34"/>
        <v>0</v>
      </c>
      <c r="F403" s="110">
        <f t="shared" si="34"/>
        <v>0</v>
      </c>
      <c r="G403" s="153"/>
      <c r="H403" s="153"/>
      <c r="J403" s="62"/>
      <c r="M403" s="64" t="s">
        <v>727</v>
      </c>
      <c r="N403" s="61">
        <f>INDEX(Data!$9:$9,1,MATCH(M403,detail_table[#Headers],0))</f>
        <v>0</v>
      </c>
    </row>
    <row r="404" spans="1:18" ht="78.5" thickBot="1" x14ac:dyDescent="0.4">
      <c r="A404" s="27" t="s">
        <v>319</v>
      </c>
      <c r="B404" s="31">
        <f t="shared" si="34"/>
        <v>0</v>
      </c>
      <c r="C404" s="117">
        <f t="shared" si="34"/>
        <v>0</v>
      </c>
      <c r="D404" s="110">
        <f t="shared" si="34"/>
        <v>0</v>
      </c>
      <c r="E404" s="110">
        <f t="shared" si="34"/>
        <v>0</v>
      </c>
      <c r="F404" s="110">
        <f t="shared" si="34"/>
        <v>0</v>
      </c>
      <c r="G404" s="153"/>
      <c r="H404" s="153"/>
      <c r="J404" s="62"/>
      <c r="M404" s="64" t="s">
        <v>728</v>
      </c>
      <c r="N404" s="61">
        <f>INDEX(Data!$9:$9,1,MATCH(M404,detail_table[#Headers],0))</f>
        <v>0</v>
      </c>
    </row>
    <row r="405" spans="1:18" ht="39.5" thickBot="1" x14ac:dyDescent="0.4">
      <c r="A405" s="27" t="s">
        <v>320</v>
      </c>
      <c r="B405" s="31">
        <f t="shared" si="34"/>
        <v>0</v>
      </c>
      <c r="C405" s="117">
        <f t="shared" si="34"/>
        <v>0</v>
      </c>
      <c r="D405" s="110">
        <f t="shared" si="34"/>
        <v>0</v>
      </c>
      <c r="E405" s="110">
        <f t="shared" si="34"/>
        <v>0</v>
      </c>
      <c r="F405" s="110">
        <f t="shared" si="34"/>
        <v>0</v>
      </c>
      <c r="G405" s="153"/>
      <c r="H405" s="153"/>
      <c r="M405" s="64" t="s">
        <v>729</v>
      </c>
      <c r="N405" s="61">
        <f>INDEX(Data!$9:$9,1,MATCH(M405,detail_table[#Headers],0))</f>
        <v>0</v>
      </c>
    </row>
    <row r="406" spans="1:18" ht="39.5" thickBot="1" x14ac:dyDescent="0.4">
      <c r="A406" s="27" t="s">
        <v>321</v>
      </c>
      <c r="B406" s="31">
        <f t="shared" si="34"/>
        <v>0</v>
      </c>
      <c r="C406" s="117">
        <f t="shared" si="34"/>
        <v>0</v>
      </c>
      <c r="D406" s="110">
        <f t="shared" si="34"/>
        <v>0</v>
      </c>
      <c r="E406" s="110">
        <f t="shared" si="34"/>
        <v>0</v>
      </c>
      <c r="F406" s="110">
        <f t="shared" si="34"/>
        <v>0</v>
      </c>
      <c r="G406" s="153"/>
      <c r="H406" s="153"/>
      <c r="M406" s="64" t="s">
        <v>730</v>
      </c>
      <c r="N406" s="61">
        <f>INDEX(Data!$9:$9,1,MATCH(M406,detail_table[#Headers],0))</f>
        <v>0</v>
      </c>
    </row>
    <row r="407" spans="1:18" ht="39.5" thickBot="1" x14ac:dyDescent="0.4">
      <c r="A407" s="27" t="s">
        <v>322</v>
      </c>
      <c r="B407" s="31">
        <f t="shared" si="34"/>
        <v>0</v>
      </c>
      <c r="C407" s="117">
        <f t="shared" si="34"/>
        <v>0</v>
      </c>
      <c r="D407" s="110">
        <f t="shared" si="34"/>
        <v>0</v>
      </c>
      <c r="E407" s="110">
        <f t="shared" si="34"/>
        <v>0</v>
      </c>
      <c r="F407" s="110">
        <f t="shared" si="34"/>
        <v>0</v>
      </c>
      <c r="G407" s="153"/>
      <c r="H407" s="153"/>
      <c r="M407" s="64" t="s">
        <v>731</v>
      </c>
      <c r="N407" s="61">
        <f>INDEX(Data!$9:$9,1,MATCH(M407,detail_table[#Headers],0))</f>
        <v>0</v>
      </c>
    </row>
    <row r="408" spans="1:18" ht="39.5" thickBot="1" x14ac:dyDescent="0.4">
      <c r="A408" s="27" t="s">
        <v>323</v>
      </c>
      <c r="B408" s="31">
        <f t="shared" si="34"/>
        <v>0</v>
      </c>
      <c r="C408" s="117">
        <f t="shared" si="34"/>
        <v>0</v>
      </c>
      <c r="D408" s="110">
        <f t="shared" si="34"/>
        <v>0</v>
      </c>
      <c r="E408" s="110">
        <f t="shared" si="34"/>
        <v>0</v>
      </c>
      <c r="F408" s="110">
        <f t="shared" si="34"/>
        <v>0</v>
      </c>
      <c r="G408" s="153"/>
      <c r="H408" s="153"/>
      <c r="M408" s="64" t="s">
        <v>732</v>
      </c>
      <c r="N408" s="61">
        <f>INDEX(Data!$9:$9,1,MATCH(M408,detail_table[#Headers],0))</f>
        <v>0</v>
      </c>
    </row>
    <row r="409" spans="1:18" ht="52.5" thickBot="1" x14ac:dyDescent="0.4">
      <c r="A409" s="27" t="s">
        <v>324</v>
      </c>
      <c r="B409" s="31">
        <f t="shared" si="34"/>
        <v>0</v>
      </c>
      <c r="C409" s="117">
        <f t="shared" si="34"/>
        <v>0</v>
      </c>
      <c r="D409" s="110">
        <f t="shared" si="34"/>
        <v>0</v>
      </c>
      <c r="E409" s="110">
        <f t="shared" si="34"/>
        <v>0</v>
      </c>
      <c r="F409" s="110">
        <f t="shared" si="34"/>
        <v>0</v>
      </c>
      <c r="G409" s="153"/>
      <c r="H409" s="153"/>
      <c r="M409" s="64" t="s">
        <v>733</v>
      </c>
      <c r="N409" s="61">
        <f>INDEX(Data!$9:$9,1,MATCH(M409,detail_table[#Headers],0))</f>
        <v>0</v>
      </c>
    </row>
    <row r="410" spans="1:18" ht="65.5" thickBot="1" x14ac:dyDescent="0.4">
      <c r="A410" s="27" t="s">
        <v>2170</v>
      </c>
      <c r="B410" s="31">
        <f t="shared" si="34"/>
        <v>0</v>
      </c>
      <c r="C410" s="117">
        <f t="shared" si="34"/>
        <v>0</v>
      </c>
      <c r="D410" s="110">
        <f t="shared" si="34"/>
        <v>0</v>
      </c>
      <c r="E410" s="110">
        <f t="shared" si="34"/>
        <v>0</v>
      </c>
      <c r="F410" s="110">
        <f t="shared" si="34"/>
        <v>0</v>
      </c>
      <c r="G410" s="153"/>
      <c r="H410" s="153"/>
      <c r="I410" s="62"/>
      <c r="M410" s="64" t="s">
        <v>734</v>
      </c>
      <c r="N410" s="61">
        <f>INDEX(Data!$9:$9,1,MATCH(M410,detail_table[#Headers],0))</f>
        <v>0</v>
      </c>
    </row>
    <row r="411" spans="1:18" s="62" customFormat="1" ht="26.5" thickBot="1" x14ac:dyDescent="0.4">
      <c r="A411" s="27" t="s">
        <v>326</v>
      </c>
      <c r="B411" s="31">
        <f t="shared" si="34"/>
        <v>0</v>
      </c>
      <c r="C411" s="117">
        <f t="shared" si="34"/>
        <v>0</v>
      </c>
      <c r="D411" s="110">
        <f t="shared" si="34"/>
        <v>0</v>
      </c>
      <c r="E411" s="110">
        <f t="shared" si="34"/>
        <v>0</v>
      </c>
      <c r="F411" s="110">
        <f t="shared" si="34"/>
        <v>0</v>
      </c>
      <c r="G411" s="153"/>
      <c r="H411" s="153"/>
      <c r="J411" s="61"/>
      <c r="K411" s="61"/>
      <c r="L411" s="61"/>
      <c r="M411" s="64" t="s">
        <v>735</v>
      </c>
      <c r="N411" s="61">
        <f>INDEX(Data!$9:$9,1,MATCH(M411,detail_table[#Headers],0))</f>
        <v>0</v>
      </c>
      <c r="O411" s="61"/>
      <c r="Q411" s="61"/>
      <c r="R411" s="61"/>
    </row>
    <row r="412" spans="1:18" s="62" customFormat="1" ht="15" thickBot="1" x14ac:dyDescent="0.4">
      <c r="A412" s="27" t="s">
        <v>327</v>
      </c>
      <c r="B412" s="31">
        <f t="shared" si="34"/>
        <v>0</v>
      </c>
      <c r="C412" s="117">
        <f t="shared" si="34"/>
        <v>0</v>
      </c>
      <c r="D412" s="110">
        <f t="shared" si="34"/>
        <v>0</v>
      </c>
      <c r="E412" s="110">
        <f t="shared" si="34"/>
        <v>0</v>
      </c>
      <c r="F412" s="110">
        <f t="shared" si="34"/>
        <v>0</v>
      </c>
      <c r="G412" s="153"/>
      <c r="H412" s="153"/>
      <c r="I412" s="61"/>
      <c r="J412" s="61"/>
      <c r="K412" s="61"/>
      <c r="L412" s="61"/>
      <c r="M412" s="64" t="s">
        <v>736</v>
      </c>
      <c r="N412" s="61">
        <f>INDEX(Data!$9:$9,1,MATCH(M412,detail_table[#Headers],0))</f>
        <v>0</v>
      </c>
      <c r="O412" s="61"/>
      <c r="Q412" s="61"/>
      <c r="R412" s="61"/>
    </row>
    <row r="413" spans="1:18" ht="26.5" thickBot="1" x14ac:dyDescent="0.4">
      <c r="A413" s="27" t="s">
        <v>2099</v>
      </c>
      <c r="B413" s="31">
        <f t="shared" si="34"/>
        <v>0</v>
      </c>
      <c r="C413" s="117">
        <f t="shared" si="34"/>
        <v>0</v>
      </c>
      <c r="D413" s="110">
        <f t="shared" si="34"/>
        <v>0</v>
      </c>
      <c r="E413" s="110">
        <f t="shared" si="34"/>
        <v>0</v>
      </c>
      <c r="F413" s="110">
        <f t="shared" si="34"/>
        <v>0</v>
      </c>
      <c r="G413" s="153"/>
      <c r="H413" s="153"/>
      <c r="M413" s="64" t="s">
        <v>737</v>
      </c>
      <c r="N413" s="61">
        <f>INDEX(Data!$9:$9,1,MATCH(M413,detail_table[#Headers],0))</f>
        <v>0</v>
      </c>
    </row>
    <row r="414" spans="1:18" ht="39.5" thickBot="1" x14ac:dyDescent="0.4">
      <c r="A414" s="27" t="s">
        <v>328</v>
      </c>
      <c r="B414" s="31">
        <f t="shared" si="34"/>
        <v>0</v>
      </c>
      <c r="C414" s="117">
        <f t="shared" si="34"/>
        <v>0</v>
      </c>
      <c r="D414" s="110">
        <f t="shared" si="34"/>
        <v>0</v>
      </c>
      <c r="E414" s="110">
        <f t="shared" si="34"/>
        <v>0</v>
      </c>
      <c r="F414" s="110">
        <f t="shared" si="34"/>
        <v>0</v>
      </c>
      <c r="G414" s="153"/>
      <c r="H414" s="153"/>
      <c r="M414" s="64" t="s">
        <v>738</v>
      </c>
      <c r="N414" s="61">
        <f>INDEX(Data!$9:$9,1,MATCH(M414,detail_table[#Headers],0))</f>
        <v>0</v>
      </c>
    </row>
    <row r="415" spans="1:18" ht="15" thickBot="1" x14ac:dyDescent="0.4">
      <c r="A415" s="32" t="s">
        <v>281</v>
      </c>
      <c r="B415" s="31">
        <f t="shared" si="34"/>
        <v>0</v>
      </c>
      <c r="C415" s="31">
        <f t="shared" si="34"/>
        <v>0</v>
      </c>
      <c r="D415" s="31">
        <f t="shared" si="34"/>
        <v>0</v>
      </c>
      <c r="E415" s="31">
        <f t="shared" si="34"/>
        <v>0</v>
      </c>
      <c r="F415" s="31">
        <f t="shared" si="34"/>
        <v>0</v>
      </c>
      <c r="G415" s="153"/>
      <c r="H415" s="153"/>
      <c r="M415" s="64" t="s">
        <v>739</v>
      </c>
      <c r="N415" s="61">
        <f>INDEX(Data!$9:$9,1,MATCH(M415,detail_table[#Headers],0))</f>
        <v>0</v>
      </c>
    </row>
    <row r="416" spans="1:18" x14ac:dyDescent="0.35">
      <c r="A416" s="69"/>
      <c r="B416" s="70"/>
      <c r="C416" s="70"/>
      <c r="D416" s="70"/>
      <c r="E416" s="70"/>
      <c r="F416" s="70"/>
      <c r="G416" s="153"/>
      <c r="H416" s="153"/>
      <c r="M416" s="64" t="s">
        <v>740</v>
      </c>
      <c r="N416" s="61">
        <f>INDEX(Data!$9:$9,1,MATCH(M416,detail_table[#Headers],0))</f>
        <v>0</v>
      </c>
    </row>
    <row r="417" spans="1:14" ht="26.5" thickBot="1" x14ac:dyDescent="0.4">
      <c r="A417" s="189" t="s">
        <v>130</v>
      </c>
      <c r="B417" s="153" t="s">
        <v>93</v>
      </c>
      <c r="C417" s="153"/>
      <c r="D417" s="153"/>
      <c r="E417" s="153"/>
      <c r="F417" s="153"/>
      <c r="G417" s="153"/>
      <c r="H417" s="153"/>
      <c r="M417" s="64" t="s">
        <v>741</v>
      </c>
      <c r="N417" s="61">
        <f>INDEX(Data!$9:$9,1,MATCH(M417,detail_table[#Headers],0))</f>
        <v>0</v>
      </c>
    </row>
    <row r="418" spans="1:14" ht="52.5" thickBot="1" x14ac:dyDescent="0.4">
      <c r="A418" s="1"/>
      <c r="B418" s="3" t="s">
        <v>8</v>
      </c>
      <c r="C418" s="3" t="s">
        <v>0</v>
      </c>
      <c r="D418" s="3" t="s">
        <v>1</v>
      </c>
      <c r="E418" s="3" t="s">
        <v>2</v>
      </c>
      <c r="F418" s="3" t="s">
        <v>3</v>
      </c>
      <c r="G418" s="153"/>
      <c r="H418" s="153"/>
      <c r="M418" s="64" t="s">
        <v>742</v>
      </c>
      <c r="N418" s="61">
        <f>INDEX(Data!$9:$9,1,MATCH(M418,detail_table[#Headers],0))</f>
        <v>0</v>
      </c>
    </row>
    <row r="419" spans="1:14" ht="26.5" thickBot="1" x14ac:dyDescent="0.4">
      <c r="A419" s="1" t="s">
        <v>282</v>
      </c>
      <c r="B419" s="105"/>
      <c r="C419" s="23"/>
      <c r="D419" s="23"/>
      <c r="E419" s="23"/>
      <c r="F419" s="23"/>
      <c r="G419" s="153"/>
      <c r="H419" s="153"/>
      <c r="M419" s="64" t="s">
        <v>743</v>
      </c>
      <c r="N419" s="61">
        <f>INDEX(Data!$9:$9,1,MATCH(M419,detail_table[#Headers],0))</f>
        <v>0</v>
      </c>
    </row>
    <row r="420" spans="1:14" ht="39.5" thickBot="1" x14ac:dyDescent="0.4">
      <c r="A420" s="23" t="s">
        <v>283</v>
      </c>
      <c r="B420" s="105">
        <f t="shared" ref="B420:F430" si="35">INDEX($N$2:$N$1687,MATCH($B$417&amp;" | "&amp;$A420&amp;" | "&amp;B$418,$M$2:$M$1687,0))</f>
        <v>0</v>
      </c>
      <c r="C420" s="23">
        <f t="shared" si="35"/>
        <v>0</v>
      </c>
      <c r="D420" s="23">
        <f t="shared" si="35"/>
        <v>0</v>
      </c>
      <c r="E420" s="23">
        <f t="shared" si="35"/>
        <v>0</v>
      </c>
      <c r="F420" s="23">
        <f t="shared" si="35"/>
        <v>0</v>
      </c>
      <c r="G420" s="153"/>
      <c r="H420" s="153"/>
      <c r="M420" s="64" t="s">
        <v>744</v>
      </c>
      <c r="N420" s="61">
        <f>INDEX(Data!$9:$9,1,MATCH(M420,detail_table[#Headers],0))</f>
        <v>0</v>
      </c>
    </row>
    <row r="421" spans="1:14" ht="26.5" thickBot="1" x14ac:dyDescent="0.4">
      <c r="A421" s="23" t="s">
        <v>284</v>
      </c>
      <c r="B421" s="105">
        <f t="shared" si="35"/>
        <v>0</v>
      </c>
      <c r="C421" s="23">
        <f t="shared" si="35"/>
        <v>0</v>
      </c>
      <c r="D421" s="23">
        <f t="shared" si="35"/>
        <v>0</v>
      </c>
      <c r="E421" s="23">
        <f t="shared" si="35"/>
        <v>0</v>
      </c>
      <c r="F421" s="23">
        <f t="shared" si="35"/>
        <v>0</v>
      </c>
      <c r="G421" s="153"/>
      <c r="H421" s="153"/>
      <c r="M421" s="64" t="s">
        <v>745</v>
      </c>
      <c r="N421" s="61">
        <f>INDEX(Data!$9:$9,1,MATCH(M421,detail_table[#Headers],0))</f>
        <v>0</v>
      </c>
    </row>
    <row r="422" spans="1:14" ht="26.5" thickBot="1" x14ac:dyDescent="0.4">
      <c r="A422" s="23" t="s">
        <v>285</v>
      </c>
      <c r="B422" s="105">
        <f t="shared" si="35"/>
        <v>0</v>
      </c>
      <c r="C422" s="23">
        <f t="shared" si="35"/>
        <v>0</v>
      </c>
      <c r="D422" s="23">
        <f t="shared" si="35"/>
        <v>0</v>
      </c>
      <c r="E422" s="23">
        <f t="shared" si="35"/>
        <v>0</v>
      </c>
      <c r="F422" s="23">
        <f t="shared" si="35"/>
        <v>0</v>
      </c>
      <c r="G422" s="153"/>
      <c r="H422" s="153"/>
      <c r="M422" s="64" t="s">
        <v>746</v>
      </c>
      <c r="N422" s="61">
        <f>INDEX(Data!$9:$9,1,MATCH(M422,detail_table[#Headers],0))</f>
        <v>0</v>
      </c>
    </row>
    <row r="423" spans="1:14" ht="26.5" thickBot="1" x14ac:dyDescent="0.4">
      <c r="A423" s="23" t="s">
        <v>286</v>
      </c>
      <c r="B423" s="105">
        <f t="shared" si="35"/>
        <v>0</v>
      </c>
      <c r="C423" s="23">
        <f t="shared" si="35"/>
        <v>0</v>
      </c>
      <c r="D423" s="23">
        <f t="shared" si="35"/>
        <v>0</v>
      </c>
      <c r="E423" s="23">
        <f t="shared" si="35"/>
        <v>0</v>
      </c>
      <c r="F423" s="23">
        <f t="shared" si="35"/>
        <v>0</v>
      </c>
      <c r="G423" s="153"/>
      <c r="H423" s="153"/>
      <c r="M423" s="64" t="s">
        <v>747</v>
      </c>
      <c r="N423" s="61">
        <f>INDEX(Data!$9:$9,1,MATCH(M423,detail_table[#Headers],0))</f>
        <v>0</v>
      </c>
    </row>
    <row r="424" spans="1:14" ht="26.5" thickBot="1" x14ac:dyDescent="0.4">
      <c r="A424" s="23" t="s">
        <v>287</v>
      </c>
      <c r="B424" s="105">
        <f t="shared" si="35"/>
        <v>0</v>
      </c>
      <c r="C424" s="23">
        <f t="shared" si="35"/>
        <v>0</v>
      </c>
      <c r="D424" s="23">
        <f t="shared" si="35"/>
        <v>0</v>
      </c>
      <c r="E424" s="23">
        <f t="shared" si="35"/>
        <v>0</v>
      </c>
      <c r="F424" s="23">
        <f t="shared" si="35"/>
        <v>0</v>
      </c>
      <c r="G424" s="153"/>
      <c r="H424" s="153"/>
      <c r="M424" s="64" t="s">
        <v>748</v>
      </c>
      <c r="N424" s="61">
        <f>INDEX(Data!$9:$9,1,MATCH(M424,detail_table[#Headers],0))</f>
        <v>0</v>
      </c>
    </row>
    <row r="425" spans="1:14" ht="39.5" thickBot="1" x14ac:dyDescent="0.4">
      <c r="A425" s="23" t="s">
        <v>288</v>
      </c>
      <c r="B425" s="105">
        <f t="shared" si="35"/>
        <v>0</v>
      </c>
      <c r="C425" s="23">
        <f t="shared" si="35"/>
        <v>0</v>
      </c>
      <c r="D425" s="23">
        <f t="shared" si="35"/>
        <v>0</v>
      </c>
      <c r="E425" s="23">
        <f t="shared" si="35"/>
        <v>0</v>
      </c>
      <c r="F425" s="23">
        <f t="shared" si="35"/>
        <v>0</v>
      </c>
      <c r="G425" s="153"/>
      <c r="H425" s="153"/>
      <c r="M425" s="64" t="s">
        <v>749</v>
      </c>
      <c r="N425" s="61">
        <f>INDEX(Data!$9:$9,1,MATCH(M425,detail_table[#Headers],0))</f>
        <v>0</v>
      </c>
    </row>
    <row r="426" spans="1:14" ht="26.5" thickBot="1" x14ac:dyDescent="0.4">
      <c r="A426" s="23" t="s">
        <v>289</v>
      </c>
      <c r="B426" s="105">
        <f t="shared" si="35"/>
        <v>0</v>
      </c>
      <c r="C426" s="23">
        <f t="shared" si="35"/>
        <v>0</v>
      </c>
      <c r="D426" s="23">
        <f t="shared" si="35"/>
        <v>0</v>
      </c>
      <c r="E426" s="23">
        <f t="shared" si="35"/>
        <v>0</v>
      </c>
      <c r="F426" s="23">
        <f t="shared" si="35"/>
        <v>0</v>
      </c>
      <c r="G426" s="153"/>
      <c r="H426" s="153"/>
      <c r="M426" s="64" t="s">
        <v>750</v>
      </c>
      <c r="N426" s="61">
        <f>INDEX(Data!$9:$9,1,MATCH(M426,detail_table[#Headers],0))</f>
        <v>0</v>
      </c>
    </row>
    <row r="427" spans="1:14" ht="39.5" thickBot="1" x14ac:dyDescent="0.4">
      <c r="A427" s="23" t="s">
        <v>290</v>
      </c>
      <c r="B427" s="105">
        <f t="shared" si="35"/>
        <v>0</v>
      </c>
      <c r="C427" s="23">
        <f t="shared" si="35"/>
        <v>0</v>
      </c>
      <c r="D427" s="23">
        <f t="shared" si="35"/>
        <v>0</v>
      </c>
      <c r="E427" s="23">
        <f t="shared" si="35"/>
        <v>0</v>
      </c>
      <c r="F427" s="23">
        <f t="shared" si="35"/>
        <v>0</v>
      </c>
      <c r="G427" s="153"/>
      <c r="H427" s="153"/>
      <c r="M427" s="64" t="s">
        <v>751</v>
      </c>
      <c r="N427" s="61">
        <f>INDEX(Data!$9:$9,1,MATCH(M427,detail_table[#Headers],0))</f>
        <v>0</v>
      </c>
    </row>
    <row r="428" spans="1:14" ht="39.5" thickBot="1" x14ac:dyDescent="0.4">
      <c r="A428" s="23" t="s">
        <v>291</v>
      </c>
      <c r="B428" s="105">
        <f t="shared" si="35"/>
        <v>0</v>
      </c>
      <c r="C428" s="23">
        <f t="shared" si="35"/>
        <v>0</v>
      </c>
      <c r="D428" s="23">
        <f t="shared" si="35"/>
        <v>0</v>
      </c>
      <c r="E428" s="23">
        <f t="shared" si="35"/>
        <v>0</v>
      </c>
      <c r="F428" s="23">
        <f t="shared" si="35"/>
        <v>0</v>
      </c>
      <c r="G428" s="153"/>
      <c r="H428" s="153"/>
      <c r="M428" s="64" t="s">
        <v>752</v>
      </c>
      <c r="N428" s="61">
        <f>INDEX(Data!$9:$9,1,MATCH(M428,detail_table[#Headers],0))</f>
        <v>0</v>
      </c>
    </row>
    <row r="429" spans="1:14" ht="39.5" thickBot="1" x14ac:dyDescent="0.4">
      <c r="A429" s="23" t="s">
        <v>292</v>
      </c>
      <c r="B429" s="105">
        <f t="shared" si="35"/>
        <v>0</v>
      </c>
      <c r="C429" s="23">
        <f t="shared" si="35"/>
        <v>0</v>
      </c>
      <c r="D429" s="23">
        <f t="shared" si="35"/>
        <v>0</v>
      </c>
      <c r="E429" s="23">
        <f t="shared" si="35"/>
        <v>0</v>
      </c>
      <c r="F429" s="23">
        <f t="shared" si="35"/>
        <v>0</v>
      </c>
      <c r="G429" s="153"/>
      <c r="H429" s="153"/>
      <c r="M429" s="64" t="s">
        <v>753</v>
      </c>
      <c r="N429" s="61">
        <f>INDEX(Data!$9:$9,1,MATCH(M429,detail_table[#Headers],0))</f>
        <v>0</v>
      </c>
    </row>
    <row r="430" spans="1:14" ht="15" thickBot="1" x14ac:dyDescent="0.4">
      <c r="A430" s="23" t="s">
        <v>231</v>
      </c>
      <c r="B430" s="105">
        <f t="shared" si="35"/>
        <v>0</v>
      </c>
      <c r="C430" s="23">
        <f t="shared" si="35"/>
        <v>0</v>
      </c>
      <c r="D430" s="23">
        <f t="shared" si="35"/>
        <v>0</v>
      </c>
      <c r="E430" s="23">
        <f t="shared" si="35"/>
        <v>0</v>
      </c>
      <c r="F430" s="23">
        <f t="shared" si="35"/>
        <v>0</v>
      </c>
      <c r="G430" s="153"/>
      <c r="H430" s="153"/>
      <c r="M430" s="64" t="s">
        <v>754</v>
      </c>
      <c r="N430" s="61">
        <f>INDEX(Data!$9:$9,1,MATCH(M430,detail_table[#Headers],0))</f>
        <v>0</v>
      </c>
    </row>
    <row r="431" spans="1:14" ht="26.5" thickBot="1" x14ac:dyDescent="0.4">
      <c r="A431" s="1" t="s">
        <v>293</v>
      </c>
      <c r="B431" s="105"/>
      <c r="C431" s="23"/>
      <c r="D431" s="23"/>
      <c r="E431" s="23"/>
      <c r="F431" s="23"/>
      <c r="G431" s="153"/>
      <c r="H431" s="153"/>
      <c r="M431" s="64" t="s">
        <v>755</v>
      </c>
      <c r="N431" s="61">
        <f>INDEX(Data!$9:$9,1,MATCH(M431,detail_table[#Headers],0))</f>
        <v>0</v>
      </c>
    </row>
    <row r="432" spans="1:14" ht="15" thickBot="1" x14ac:dyDescent="0.4">
      <c r="A432" s="23" t="s">
        <v>294</v>
      </c>
      <c r="B432" s="105">
        <f t="shared" ref="B432:F440" si="36">INDEX($N$2:$N$1687,MATCH($B$417&amp;" | "&amp;$A432&amp;" | "&amp;B$418,$M$2:$M$1687,0))</f>
        <v>0</v>
      </c>
      <c r="C432" s="23">
        <f t="shared" si="36"/>
        <v>0</v>
      </c>
      <c r="D432" s="23">
        <f t="shared" si="36"/>
        <v>0</v>
      </c>
      <c r="E432" s="23">
        <f t="shared" si="36"/>
        <v>0</v>
      </c>
      <c r="F432" s="23">
        <f t="shared" si="36"/>
        <v>0</v>
      </c>
      <c r="G432" s="153"/>
      <c r="H432" s="153"/>
      <c r="M432" s="64" t="s">
        <v>756</v>
      </c>
      <c r="N432" s="61">
        <f>INDEX(Data!$9:$9,1,MATCH(M432,detail_table[#Headers],0))</f>
        <v>0</v>
      </c>
    </row>
    <row r="433" spans="1:14" ht="39.5" thickBot="1" x14ac:dyDescent="0.4">
      <c r="A433" s="23" t="s">
        <v>295</v>
      </c>
      <c r="B433" s="105">
        <f t="shared" si="36"/>
        <v>0</v>
      </c>
      <c r="C433" s="23">
        <f t="shared" si="36"/>
        <v>0</v>
      </c>
      <c r="D433" s="23">
        <f t="shared" si="36"/>
        <v>0</v>
      </c>
      <c r="E433" s="23">
        <f t="shared" si="36"/>
        <v>0</v>
      </c>
      <c r="F433" s="23">
        <f t="shared" si="36"/>
        <v>0</v>
      </c>
      <c r="G433" s="153"/>
      <c r="H433" s="153"/>
      <c r="M433" s="64" t="s">
        <v>757</v>
      </c>
      <c r="N433" s="61">
        <f>INDEX(Data!$9:$9,1,MATCH(M433,detail_table[#Headers],0))</f>
        <v>0</v>
      </c>
    </row>
    <row r="434" spans="1:14" ht="39.5" thickBot="1" x14ac:dyDescent="0.4">
      <c r="A434" s="23" t="s">
        <v>296</v>
      </c>
      <c r="B434" s="105">
        <f t="shared" si="36"/>
        <v>0</v>
      </c>
      <c r="C434" s="23">
        <f t="shared" si="36"/>
        <v>0</v>
      </c>
      <c r="D434" s="23">
        <f t="shared" si="36"/>
        <v>0</v>
      </c>
      <c r="E434" s="23">
        <f t="shared" si="36"/>
        <v>0</v>
      </c>
      <c r="F434" s="23">
        <f t="shared" si="36"/>
        <v>0</v>
      </c>
      <c r="G434" s="153"/>
      <c r="H434" s="153"/>
      <c r="M434" s="64" t="s">
        <v>758</v>
      </c>
      <c r="N434" s="61">
        <f>INDEX(Data!$9:$9,1,MATCH(M434,detail_table[#Headers],0))</f>
        <v>0</v>
      </c>
    </row>
    <row r="435" spans="1:14" ht="26.5" thickBot="1" x14ac:dyDescent="0.4">
      <c r="A435" s="23" t="s">
        <v>1961</v>
      </c>
      <c r="B435" s="105">
        <f t="shared" si="36"/>
        <v>0</v>
      </c>
      <c r="C435" s="23">
        <f t="shared" si="36"/>
        <v>0</v>
      </c>
      <c r="D435" s="23">
        <f t="shared" si="36"/>
        <v>0</v>
      </c>
      <c r="E435" s="23">
        <f t="shared" si="36"/>
        <v>0</v>
      </c>
      <c r="F435" s="23">
        <f t="shared" si="36"/>
        <v>0</v>
      </c>
      <c r="G435" s="153"/>
      <c r="H435" s="153"/>
      <c r="M435" s="64" t="s">
        <v>759</v>
      </c>
      <c r="N435" s="61">
        <f>INDEX(Data!$9:$9,1,MATCH(M435,detail_table[#Headers],0))</f>
        <v>0</v>
      </c>
    </row>
    <row r="436" spans="1:14" ht="39.5" thickBot="1" x14ac:dyDescent="0.4">
      <c r="A436" s="23" t="s">
        <v>298</v>
      </c>
      <c r="B436" s="105">
        <f t="shared" si="36"/>
        <v>0</v>
      </c>
      <c r="C436" s="23">
        <f t="shared" si="36"/>
        <v>0</v>
      </c>
      <c r="D436" s="23">
        <f t="shared" si="36"/>
        <v>0</v>
      </c>
      <c r="E436" s="23">
        <f t="shared" si="36"/>
        <v>0</v>
      </c>
      <c r="F436" s="23">
        <f t="shared" si="36"/>
        <v>0</v>
      </c>
      <c r="G436" s="153"/>
      <c r="H436" s="153"/>
      <c r="M436" s="64" t="s">
        <v>760</v>
      </c>
      <c r="N436" s="61">
        <f>INDEX(Data!$9:$9,1,MATCH(M436,detail_table[#Headers],0))</f>
        <v>0</v>
      </c>
    </row>
    <row r="437" spans="1:14" ht="26.5" thickBot="1" x14ac:dyDescent="0.4">
      <c r="A437" s="23" t="s">
        <v>299</v>
      </c>
      <c r="B437" s="105">
        <f t="shared" si="36"/>
        <v>0</v>
      </c>
      <c r="C437" s="23">
        <f t="shared" si="36"/>
        <v>0</v>
      </c>
      <c r="D437" s="23">
        <f t="shared" si="36"/>
        <v>0</v>
      </c>
      <c r="E437" s="23">
        <f t="shared" si="36"/>
        <v>0</v>
      </c>
      <c r="F437" s="23">
        <f t="shared" si="36"/>
        <v>0</v>
      </c>
      <c r="G437" s="153"/>
      <c r="H437" s="153"/>
      <c r="M437" s="64" t="s">
        <v>761</v>
      </c>
      <c r="N437" s="61">
        <f>INDEX(Data!$9:$9,1,MATCH(M437,detail_table[#Headers],0))</f>
        <v>0</v>
      </c>
    </row>
    <row r="438" spans="1:14" ht="15" thickBot="1" x14ac:dyDescent="0.4">
      <c r="A438" s="23" t="s">
        <v>300</v>
      </c>
      <c r="B438" s="105">
        <f t="shared" si="36"/>
        <v>0</v>
      </c>
      <c r="C438" s="23">
        <f t="shared" si="36"/>
        <v>0</v>
      </c>
      <c r="D438" s="23">
        <f t="shared" si="36"/>
        <v>0</v>
      </c>
      <c r="E438" s="23">
        <f t="shared" si="36"/>
        <v>0</v>
      </c>
      <c r="F438" s="23">
        <f t="shared" si="36"/>
        <v>0</v>
      </c>
      <c r="G438" s="153"/>
      <c r="H438" s="153"/>
      <c r="M438" s="64" t="s">
        <v>762</v>
      </c>
      <c r="N438" s="61">
        <f>INDEX(Data!$9:$9,1,MATCH(M438,detail_table[#Headers],0))</f>
        <v>0</v>
      </c>
    </row>
    <row r="439" spans="1:14" ht="26.5" thickBot="1" x14ac:dyDescent="0.4">
      <c r="A439" s="23" t="s">
        <v>301</v>
      </c>
      <c r="B439" s="105">
        <f t="shared" si="36"/>
        <v>0</v>
      </c>
      <c r="C439" s="23">
        <f t="shared" si="36"/>
        <v>0</v>
      </c>
      <c r="D439" s="23">
        <f t="shared" si="36"/>
        <v>0</v>
      </c>
      <c r="E439" s="23">
        <f t="shared" si="36"/>
        <v>0</v>
      </c>
      <c r="F439" s="23">
        <f t="shared" si="36"/>
        <v>0</v>
      </c>
      <c r="G439" s="153"/>
      <c r="H439" s="153"/>
      <c r="M439" s="64" t="s">
        <v>763</v>
      </c>
      <c r="N439" s="61">
        <f>INDEX(Data!$9:$9,1,MATCH(M439,detail_table[#Headers],0))</f>
        <v>0</v>
      </c>
    </row>
    <row r="440" spans="1:14" ht="15" thickBot="1" x14ac:dyDescent="0.4">
      <c r="A440" s="23" t="s">
        <v>240</v>
      </c>
      <c r="B440" s="105">
        <f t="shared" si="36"/>
        <v>0</v>
      </c>
      <c r="C440" s="23">
        <f t="shared" si="36"/>
        <v>0</v>
      </c>
      <c r="D440" s="23">
        <f t="shared" si="36"/>
        <v>0</v>
      </c>
      <c r="E440" s="23">
        <f t="shared" si="36"/>
        <v>0</v>
      </c>
      <c r="F440" s="23">
        <f t="shared" si="36"/>
        <v>0</v>
      </c>
      <c r="G440" s="153"/>
      <c r="H440" s="153"/>
      <c r="M440" s="64" t="s">
        <v>764</v>
      </c>
      <c r="N440" s="61">
        <f>INDEX(Data!$9:$9,1,MATCH(M440,detail_table[#Headers],0))</f>
        <v>0</v>
      </c>
    </row>
    <row r="441" spans="1:14" ht="15" thickBot="1" x14ac:dyDescent="0.4">
      <c r="A441" s="1" t="s">
        <v>302</v>
      </c>
      <c r="B441" s="105"/>
      <c r="C441" s="23"/>
      <c r="D441" s="23"/>
      <c r="E441" s="23"/>
      <c r="F441" s="23"/>
      <c r="G441" s="153"/>
      <c r="H441" s="153"/>
      <c r="M441" s="64" t="s">
        <v>765</v>
      </c>
      <c r="N441" s="61">
        <f>INDEX(Data!$9:$9,1,MATCH(M441,detail_table[#Headers],0))</f>
        <v>0</v>
      </c>
    </row>
    <row r="442" spans="1:14" ht="39.5" thickBot="1" x14ac:dyDescent="0.4">
      <c r="A442" s="23" t="s">
        <v>303</v>
      </c>
      <c r="B442" s="105">
        <f t="shared" ref="B442:F448" si="37">INDEX($N$2:$N$1687,MATCH($B$417&amp;" | "&amp;$A442&amp;" | "&amp;B$418,$M$2:$M$1687,0))</f>
        <v>0</v>
      </c>
      <c r="C442" s="23">
        <f t="shared" si="37"/>
        <v>0</v>
      </c>
      <c r="D442" s="23">
        <f t="shared" si="37"/>
        <v>0</v>
      </c>
      <c r="E442" s="23">
        <f t="shared" si="37"/>
        <v>0</v>
      </c>
      <c r="F442" s="23">
        <f t="shared" si="37"/>
        <v>0</v>
      </c>
      <c r="G442" s="153"/>
      <c r="H442" s="153"/>
      <c r="M442" s="64" t="s">
        <v>766</v>
      </c>
      <c r="N442" s="61">
        <f>INDEX(Data!$9:$9,1,MATCH(M442,detail_table[#Headers],0))</f>
        <v>0</v>
      </c>
    </row>
    <row r="443" spans="1:14" ht="39.5" thickBot="1" x14ac:dyDescent="0.4">
      <c r="A443" s="23" t="s">
        <v>304</v>
      </c>
      <c r="B443" s="105">
        <f t="shared" si="37"/>
        <v>0</v>
      </c>
      <c r="C443" s="23">
        <f t="shared" si="37"/>
        <v>0</v>
      </c>
      <c r="D443" s="23">
        <f t="shared" si="37"/>
        <v>0</v>
      </c>
      <c r="E443" s="23">
        <f t="shared" si="37"/>
        <v>0</v>
      </c>
      <c r="F443" s="23">
        <f t="shared" si="37"/>
        <v>0</v>
      </c>
      <c r="G443" s="153"/>
      <c r="H443" s="153"/>
      <c r="M443" s="64" t="s">
        <v>767</v>
      </c>
      <c r="N443" s="61">
        <f>INDEX(Data!$9:$9,1,MATCH(M443,detail_table[#Headers],0))</f>
        <v>0</v>
      </c>
    </row>
    <row r="444" spans="1:14" ht="39.5" thickBot="1" x14ac:dyDescent="0.4">
      <c r="A444" s="23" t="s">
        <v>305</v>
      </c>
      <c r="B444" s="105">
        <f t="shared" si="37"/>
        <v>0</v>
      </c>
      <c r="C444" s="23">
        <f t="shared" si="37"/>
        <v>0</v>
      </c>
      <c r="D444" s="23">
        <f t="shared" si="37"/>
        <v>0</v>
      </c>
      <c r="E444" s="23">
        <f t="shared" si="37"/>
        <v>0</v>
      </c>
      <c r="F444" s="23">
        <f t="shared" si="37"/>
        <v>0</v>
      </c>
      <c r="G444" s="153"/>
      <c r="H444" s="153"/>
      <c r="M444" s="64" t="s">
        <v>768</v>
      </c>
      <c r="N444" s="61">
        <f>INDEX(Data!$9:$9,1,MATCH(M444,detail_table[#Headers],0))</f>
        <v>0</v>
      </c>
    </row>
    <row r="445" spans="1:14" ht="52.5" thickBot="1" x14ac:dyDescent="0.4">
      <c r="A445" s="23" t="s">
        <v>306</v>
      </c>
      <c r="B445" s="105">
        <f t="shared" si="37"/>
        <v>0</v>
      </c>
      <c r="C445" s="23">
        <f t="shared" si="37"/>
        <v>0</v>
      </c>
      <c r="D445" s="23">
        <f t="shared" si="37"/>
        <v>0</v>
      </c>
      <c r="E445" s="23">
        <f t="shared" si="37"/>
        <v>0</v>
      </c>
      <c r="F445" s="23">
        <f t="shared" si="37"/>
        <v>0</v>
      </c>
      <c r="G445" s="153"/>
      <c r="H445" s="153"/>
      <c r="M445" s="64" t="s">
        <v>769</v>
      </c>
      <c r="N445" s="61">
        <f>INDEX(Data!$9:$9,1,MATCH(M445,detail_table[#Headers],0))</f>
        <v>0</v>
      </c>
    </row>
    <row r="446" spans="1:14" ht="39.5" thickBot="1" x14ac:dyDescent="0.4">
      <c r="A446" s="23" t="s">
        <v>307</v>
      </c>
      <c r="B446" s="105">
        <f t="shared" si="37"/>
        <v>0</v>
      </c>
      <c r="C446" s="23">
        <f t="shared" si="37"/>
        <v>0</v>
      </c>
      <c r="D446" s="23">
        <f t="shared" si="37"/>
        <v>0</v>
      </c>
      <c r="E446" s="23">
        <f t="shared" si="37"/>
        <v>0</v>
      </c>
      <c r="F446" s="23">
        <f t="shared" si="37"/>
        <v>0</v>
      </c>
      <c r="G446" s="153"/>
      <c r="H446" s="153"/>
      <c r="M446" s="64" t="s">
        <v>770</v>
      </c>
      <c r="N446" s="61">
        <f>INDEX(Data!$9:$9,1,MATCH(M446,detail_table[#Headers],0))</f>
        <v>0</v>
      </c>
    </row>
    <row r="447" spans="1:14" ht="39.5" thickBot="1" x14ac:dyDescent="0.4">
      <c r="A447" s="23" t="s">
        <v>308</v>
      </c>
      <c r="B447" s="105">
        <f t="shared" si="37"/>
        <v>0</v>
      </c>
      <c r="C447" s="23">
        <f t="shared" si="37"/>
        <v>0</v>
      </c>
      <c r="D447" s="23">
        <f t="shared" si="37"/>
        <v>0</v>
      </c>
      <c r="E447" s="23">
        <f t="shared" si="37"/>
        <v>0</v>
      </c>
      <c r="F447" s="23">
        <f t="shared" si="37"/>
        <v>0</v>
      </c>
      <c r="G447" s="153"/>
      <c r="H447" s="153"/>
      <c r="M447" s="64" t="s">
        <v>771</v>
      </c>
      <c r="N447" s="61">
        <f>INDEX(Data!$9:$9,1,MATCH(M447,detail_table[#Headers],0))</f>
        <v>0</v>
      </c>
    </row>
    <row r="448" spans="1:14" ht="15" thickBot="1" x14ac:dyDescent="0.4">
      <c r="A448" s="23" t="s">
        <v>255</v>
      </c>
      <c r="B448" s="105">
        <f t="shared" si="37"/>
        <v>0</v>
      </c>
      <c r="C448" s="23">
        <f t="shared" si="37"/>
        <v>0</v>
      </c>
      <c r="D448" s="23">
        <f t="shared" si="37"/>
        <v>0</v>
      </c>
      <c r="E448" s="23">
        <f t="shared" si="37"/>
        <v>0</v>
      </c>
      <c r="F448" s="23">
        <f t="shared" si="37"/>
        <v>0</v>
      </c>
      <c r="G448" s="153"/>
      <c r="H448" s="153"/>
      <c r="M448" s="64" t="s">
        <v>772</v>
      </c>
      <c r="N448" s="61">
        <f>INDEX(Data!$9:$9,1,MATCH(M448,detail_table[#Headers],0))</f>
        <v>0</v>
      </c>
    </row>
    <row r="449" spans="1:17" ht="15" thickBot="1" x14ac:dyDescent="0.4">
      <c r="A449" s="1" t="s">
        <v>309</v>
      </c>
      <c r="B449" s="105"/>
      <c r="C449" s="23"/>
      <c r="D449" s="23"/>
      <c r="E449" s="23"/>
      <c r="F449" s="23"/>
      <c r="G449" s="153"/>
      <c r="H449" s="153"/>
      <c r="M449" s="64" t="s">
        <v>773</v>
      </c>
      <c r="N449" s="61">
        <f>INDEX(Data!$9:$9,1,MATCH(M449,detail_table[#Headers],0))</f>
        <v>0</v>
      </c>
    </row>
    <row r="450" spans="1:17" ht="39.5" thickBot="1" x14ac:dyDescent="0.4">
      <c r="A450" s="23" t="s">
        <v>310</v>
      </c>
      <c r="B450" s="105">
        <f t="shared" ref="B450:F456" si="38">INDEX($N$2:$N$1687,MATCH($B$417&amp;" | "&amp;$A450&amp;" | "&amp;B$418,$M$2:$M$1687,0))</f>
        <v>0</v>
      </c>
      <c r="C450" s="23">
        <f t="shared" si="38"/>
        <v>0</v>
      </c>
      <c r="D450" s="23">
        <f t="shared" si="38"/>
        <v>0</v>
      </c>
      <c r="E450" s="23">
        <f t="shared" si="38"/>
        <v>0</v>
      </c>
      <c r="F450" s="23">
        <f t="shared" si="38"/>
        <v>0</v>
      </c>
      <c r="G450" s="153"/>
      <c r="H450" s="153"/>
      <c r="M450" s="64" t="s">
        <v>774</v>
      </c>
      <c r="N450" s="61">
        <f>INDEX(Data!$9:$9,1,MATCH(M450,detail_table[#Headers],0))</f>
        <v>0</v>
      </c>
    </row>
    <row r="451" spans="1:17" ht="15" thickBot="1" x14ac:dyDescent="0.4">
      <c r="A451" s="23" t="s">
        <v>311</v>
      </c>
      <c r="B451" s="105">
        <f t="shared" si="38"/>
        <v>0</v>
      </c>
      <c r="C451" s="23">
        <f t="shared" si="38"/>
        <v>0</v>
      </c>
      <c r="D451" s="23">
        <f t="shared" si="38"/>
        <v>0</v>
      </c>
      <c r="E451" s="23">
        <f t="shared" si="38"/>
        <v>0</v>
      </c>
      <c r="F451" s="23">
        <f t="shared" si="38"/>
        <v>0</v>
      </c>
      <c r="G451" s="153"/>
      <c r="H451" s="153"/>
      <c r="K451" s="62"/>
      <c r="M451" s="64" t="s">
        <v>775</v>
      </c>
      <c r="N451" s="61">
        <f>INDEX(Data!$9:$9,1,MATCH(M451,detail_table[#Headers],0))</f>
        <v>0</v>
      </c>
    </row>
    <row r="452" spans="1:17" ht="15" thickBot="1" x14ac:dyDescent="0.4">
      <c r="A452" s="23" t="s">
        <v>312</v>
      </c>
      <c r="B452" s="105">
        <f t="shared" si="38"/>
        <v>0</v>
      </c>
      <c r="C452" s="23">
        <f t="shared" si="38"/>
        <v>0</v>
      </c>
      <c r="D452" s="23">
        <f t="shared" si="38"/>
        <v>0</v>
      </c>
      <c r="E452" s="23">
        <f t="shared" si="38"/>
        <v>0</v>
      </c>
      <c r="F452" s="23">
        <f t="shared" si="38"/>
        <v>0</v>
      </c>
      <c r="G452" s="153"/>
      <c r="H452" s="153"/>
      <c r="M452" s="64" t="s">
        <v>776</v>
      </c>
      <c r="N452" s="61">
        <f>INDEX(Data!$9:$9,1,MATCH(M452,detail_table[#Headers],0))</f>
        <v>0</v>
      </c>
    </row>
    <row r="453" spans="1:17" ht="26.5" thickBot="1" x14ac:dyDescent="0.4">
      <c r="A453" s="23" t="s">
        <v>313</v>
      </c>
      <c r="B453" s="105">
        <f t="shared" si="38"/>
        <v>0</v>
      </c>
      <c r="C453" s="23">
        <f t="shared" si="38"/>
        <v>0</v>
      </c>
      <c r="D453" s="23">
        <f t="shared" si="38"/>
        <v>0</v>
      </c>
      <c r="E453" s="23">
        <f t="shared" si="38"/>
        <v>0</v>
      </c>
      <c r="F453" s="23">
        <f t="shared" si="38"/>
        <v>0</v>
      </c>
      <c r="G453" s="153"/>
      <c r="H453" s="153"/>
      <c r="M453" s="64" t="s">
        <v>777</v>
      </c>
      <c r="N453" s="61">
        <f>INDEX(Data!$9:$9,1,MATCH(M453,detail_table[#Headers],0))</f>
        <v>0</v>
      </c>
    </row>
    <row r="454" spans="1:17" ht="26.5" thickBot="1" x14ac:dyDescent="0.4">
      <c r="A454" s="23" t="s">
        <v>314</v>
      </c>
      <c r="B454" s="105">
        <f t="shared" si="38"/>
        <v>0</v>
      </c>
      <c r="C454" s="23">
        <f t="shared" si="38"/>
        <v>0</v>
      </c>
      <c r="D454" s="23">
        <f t="shared" si="38"/>
        <v>0</v>
      </c>
      <c r="E454" s="23">
        <f t="shared" si="38"/>
        <v>0</v>
      </c>
      <c r="F454" s="23">
        <f t="shared" si="38"/>
        <v>0</v>
      </c>
      <c r="G454" s="153"/>
      <c r="H454" s="153"/>
      <c r="M454" s="64" t="s">
        <v>778</v>
      </c>
      <c r="N454" s="61">
        <f>INDEX(Data!$9:$9,1,MATCH(M454,detail_table[#Headers],0))</f>
        <v>0</v>
      </c>
      <c r="Q454" s="62"/>
    </row>
    <row r="455" spans="1:17" ht="15" thickBot="1" x14ac:dyDescent="0.4">
      <c r="A455" s="23" t="s">
        <v>315</v>
      </c>
      <c r="B455" s="105">
        <f t="shared" si="38"/>
        <v>0</v>
      </c>
      <c r="C455" s="23">
        <f t="shared" si="38"/>
        <v>0</v>
      </c>
      <c r="D455" s="23">
        <f t="shared" si="38"/>
        <v>0</v>
      </c>
      <c r="E455" s="23">
        <f t="shared" si="38"/>
        <v>0</v>
      </c>
      <c r="F455" s="23">
        <f t="shared" si="38"/>
        <v>0</v>
      </c>
      <c r="G455" s="153"/>
      <c r="H455" s="153"/>
      <c r="M455" s="64" t="s">
        <v>779</v>
      </c>
      <c r="N455" s="61">
        <f>INDEX(Data!$9:$9,1,MATCH(M455,detail_table[#Headers],0))</f>
        <v>0</v>
      </c>
    </row>
    <row r="456" spans="1:17" ht="15" thickBot="1" x14ac:dyDescent="0.4">
      <c r="A456" s="1" t="s">
        <v>144</v>
      </c>
      <c r="B456" s="105">
        <f t="shared" si="38"/>
        <v>0</v>
      </c>
      <c r="C456" s="105">
        <f t="shared" si="38"/>
        <v>0</v>
      </c>
      <c r="D456" s="105">
        <f t="shared" si="38"/>
        <v>0</v>
      </c>
      <c r="E456" s="105">
        <f t="shared" si="38"/>
        <v>0</v>
      </c>
      <c r="F456" s="105">
        <f t="shared" si="38"/>
        <v>0</v>
      </c>
      <c r="G456" s="153"/>
      <c r="H456" s="153"/>
      <c r="M456" s="64" t="s">
        <v>780</v>
      </c>
      <c r="N456" s="61">
        <f>INDEX(Data!$9:$9,1,MATCH(M456,detail_table[#Headers],0))</f>
        <v>0</v>
      </c>
    </row>
    <row r="457" spans="1:17" x14ac:dyDescent="0.35">
      <c r="A457" s="38"/>
      <c r="B457" s="59"/>
      <c r="C457" s="59"/>
      <c r="D457" s="59"/>
      <c r="E457" s="59"/>
      <c r="F457" s="59"/>
      <c r="G457" s="153"/>
      <c r="H457" s="153"/>
      <c r="M457" s="64" t="s">
        <v>781</v>
      </c>
      <c r="N457" s="61">
        <f>INDEX(Data!$9:$9,1,MATCH(M457,detail_table[#Headers],0))</f>
        <v>0</v>
      </c>
    </row>
    <row r="458" spans="1:17" ht="26.5" thickBot="1" x14ac:dyDescent="0.4">
      <c r="A458" s="186" t="s">
        <v>131</v>
      </c>
      <c r="B458" s="153" t="s">
        <v>94</v>
      </c>
      <c r="C458" s="153"/>
      <c r="D458" s="153"/>
      <c r="E458" s="153"/>
      <c r="F458" s="153"/>
      <c r="G458" s="153"/>
      <c r="H458" s="153"/>
      <c r="M458" s="64" t="s">
        <v>782</v>
      </c>
      <c r="N458" s="61">
        <f>INDEX(Data!$9:$9,1,MATCH(M458,detail_table[#Headers],0))</f>
        <v>0</v>
      </c>
    </row>
    <row r="459" spans="1:17" ht="39.5" thickBot="1" x14ac:dyDescent="0.4">
      <c r="A459" s="51"/>
      <c r="B459" s="53" t="s">
        <v>8</v>
      </c>
      <c r="C459" s="18" t="s">
        <v>0</v>
      </c>
      <c r="D459" s="18" t="s">
        <v>1</v>
      </c>
      <c r="E459" s="18" t="s">
        <v>137</v>
      </c>
      <c r="F459" s="153"/>
      <c r="G459" s="153"/>
      <c r="H459" s="153"/>
      <c r="M459" s="64" t="s">
        <v>783</v>
      </c>
      <c r="N459" s="61">
        <f>INDEX(Data!$9:$9,1,MATCH(M459,detail_table[#Headers],0))</f>
        <v>0</v>
      </c>
    </row>
    <row r="460" spans="1:17" ht="26.5" thickBot="1" x14ac:dyDescent="0.4">
      <c r="A460" s="23" t="s">
        <v>329</v>
      </c>
      <c r="B460" s="108">
        <f t="shared" ref="B460:E465" si="39">INDEX($N$2:$N$1687,MATCH($B$458&amp;" | "&amp;$A460&amp;" | "&amp;B$459,$M$2:$M$1687,0))</f>
        <v>0</v>
      </c>
      <c r="C460" s="106">
        <f t="shared" si="39"/>
        <v>0</v>
      </c>
      <c r="D460" s="106">
        <f t="shared" si="39"/>
        <v>0</v>
      </c>
      <c r="E460" s="106">
        <f t="shared" si="39"/>
        <v>0</v>
      </c>
      <c r="F460" s="153"/>
      <c r="G460" s="153"/>
      <c r="H460" s="153"/>
      <c r="M460" s="64" t="s">
        <v>784</v>
      </c>
      <c r="N460" s="61">
        <f>INDEX(Data!$9:$9,1,MATCH(M460,detail_table[#Headers],0))</f>
        <v>0</v>
      </c>
    </row>
    <row r="461" spans="1:17" ht="26.5" thickBot="1" x14ac:dyDescent="0.4">
      <c r="A461" s="52" t="s">
        <v>330</v>
      </c>
      <c r="B461" s="107">
        <f t="shared" si="39"/>
        <v>0</v>
      </c>
      <c r="C461" s="71">
        <f t="shared" si="39"/>
        <v>0</v>
      </c>
      <c r="D461" s="71">
        <f t="shared" si="39"/>
        <v>0</v>
      </c>
      <c r="E461" s="71">
        <f t="shared" si="39"/>
        <v>0</v>
      </c>
      <c r="F461" s="153"/>
      <c r="G461" s="153"/>
      <c r="H461" s="153"/>
      <c r="M461" s="64" t="s">
        <v>785</v>
      </c>
      <c r="N461" s="61">
        <f>INDEX(Data!$9:$9,1,MATCH(M461,detail_table[#Headers],0))</f>
        <v>0</v>
      </c>
    </row>
    <row r="462" spans="1:17" ht="15" thickBot="1" x14ac:dyDescent="0.4">
      <c r="A462" s="52" t="s">
        <v>331</v>
      </c>
      <c r="B462" s="107">
        <f t="shared" si="39"/>
        <v>0</v>
      </c>
      <c r="C462" s="71">
        <f t="shared" si="39"/>
        <v>0</v>
      </c>
      <c r="D462" s="71">
        <f t="shared" si="39"/>
        <v>0</v>
      </c>
      <c r="E462" s="71">
        <f t="shared" si="39"/>
        <v>0</v>
      </c>
      <c r="F462" s="153"/>
      <c r="G462" s="153"/>
      <c r="H462" s="153"/>
      <c r="M462" s="64" t="s">
        <v>786</v>
      </c>
      <c r="N462" s="61">
        <f>INDEX(Data!$9:$9,1,MATCH(M462,detail_table[#Headers],0))</f>
        <v>0</v>
      </c>
    </row>
    <row r="463" spans="1:17" ht="26.5" thickBot="1" x14ac:dyDescent="0.4">
      <c r="A463" s="52" t="s">
        <v>343</v>
      </c>
      <c r="B463" s="107">
        <f t="shared" si="39"/>
        <v>0</v>
      </c>
      <c r="C463" s="71">
        <f t="shared" si="39"/>
        <v>0</v>
      </c>
      <c r="D463" s="71">
        <f t="shared" si="39"/>
        <v>0</v>
      </c>
      <c r="E463" s="71">
        <f t="shared" si="39"/>
        <v>0</v>
      </c>
      <c r="F463" s="153"/>
      <c r="G463" s="153"/>
      <c r="H463" s="153"/>
      <c r="M463" s="64" t="s">
        <v>787</v>
      </c>
      <c r="N463" s="61">
        <f>INDEX(Data!$9:$9,1,MATCH(M463,detail_table[#Headers],0))</f>
        <v>0</v>
      </c>
    </row>
    <row r="464" spans="1:17" ht="15" thickBot="1" x14ac:dyDescent="0.4">
      <c r="A464" s="52" t="s">
        <v>332</v>
      </c>
      <c r="B464" s="107">
        <f t="shared" si="39"/>
        <v>0</v>
      </c>
      <c r="C464" s="71">
        <f t="shared" si="39"/>
        <v>0</v>
      </c>
      <c r="D464" s="71">
        <f t="shared" si="39"/>
        <v>0</v>
      </c>
      <c r="E464" s="71">
        <f t="shared" si="39"/>
        <v>0</v>
      </c>
      <c r="F464" s="153"/>
      <c r="G464" s="153"/>
      <c r="H464" s="153"/>
      <c r="M464" s="64" t="s">
        <v>788</v>
      </c>
      <c r="N464" s="61">
        <f>INDEX(Data!$9:$9,1,MATCH(M464,detail_table[#Headers],0))</f>
        <v>0</v>
      </c>
    </row>
    <row r="465" spans="1:18" ht="15" thickBot="1" x14ac:dyDescent="0.4">
      <c r="A465" s="2" t="s">
        <v>333</v>
      </c>
      <c r="B465" s="107">
        <f t="shared" si="39"/>
        <v>0</v>
      </c>
      <c r="C465" s="107">
        <f t="shared" si="39"/>
        <v>0</v>
      </c>
      <c r="D465" s="107">
        <f t="shared" si="39"/>
        <v>0</v>
      </c>
      <c r="E465" s="107">
        <f t="shared" si="39"/>
        <v>0</v>
      </c>
      <c r="F465" s="153"/>
      <c r="G465" s="153"/>
      <c r="H465" s="153"/>
      <c r="M465" s="64" t="s">
        <v>789</v>
      </c>
      <c r="N465" s="61">
        <f>INDEX(Data!$9:$9,1,MATCH(M465,detail_table[#Headers],0))</f>
        <v>0</v>
      </c>
    </row>
    <row r="466" spans="1:18" x14ac:dyDescent="0.35">
      <c r="A466" s="60"/>
      <c r="B466" s="59"/>
      <c r="C466" s="59"/>
      <c r="D466" s="59"/>
      <c r="E466" s="59"/>
      <c r="F466" s="194"/>
      <c r="G466" s="153"/>
      <c r="H466" s="153"/>
      <c r="M466" s="64" t="s">
        <v>790</v>
      </c>
      <c r="N466" s="61">
        <f>INDEX(Data!$9:$9,1,MATCH(M466,detail_table[#Headers],0))</f>
        <v>0</v>
      </c>
    </row>
    <row r="467" spans="1:18" ht="39.5" thickBot="1" x14ac:dyDescent="0.4">
      <c r="A467" s="186" t="s">
        <v>132</v>
      </c>
      <c r="B467" s="153" t="s">
        <v>345</v>
      </c>
      <c r="C467" s="153"/>
      <c r="D467" s="153"/>
      <c r="E467" s="153"/>
      <c r="F467" s="153"/>
      <c r="G467" s="153"/>
      <c r="H467" s="153"/>
      <c r="M467" s="64" t="s">
        <v>791</v>
      </c>
      <c r="N467" s="61">
        <f>INDEX(Data!$9:$9,1,MATCH(M467,detail_table[#Headers],0))</f>
        <v>0</v>
      </c>
    </row>
    <row r="468" spans="1:18" ht="52.5" thickBot="1" x14ac:dyDescent="0.4">
      <c r="A468" s="23"/>
      <c r="B468" s="3" t="s">
        <v>8</v>
      </c>
      <c r="C468" s="3" t="s">
        <v>0</v>
      </c>
      <c r="D468" s="3" t="s">
        <v>1</v>
      </c>
      <c r="E468" s="3" t="s">
        <v>2</v>
      </c>
      <c r="F468" s="3" t="s">
        <v>3</v>
      </c>
      <c r="G468" s="153"/>
      <c r="H468" s="153"/>
      <c r="M468" s="64" t="s">
        <v>792</v>
      </c>
      <c r="N468" s="61">
        <f>INDEX(Data!$9:$9,1,MATCH(M468,detail_table[#Headers],0))</f>
        <v>0</v>
      </c>
    </row>
    <row r="469" spans="1:18" ht="26.5" thickBot="1" x14ac:dyDescent="0.4">
      <c r="A469" s="23" t="s">
        <v>334</v>
      </c>
      <c r="B469" s="108">
        <f t="shared" ref="B469:F473" si="40">INDEX($N$2:$N$1687,MATCH($B$467&amp;" | "&amp;$A469&amp;" | "&amp;B$468,$M$2:$M$1687,0))</f>
        <v>0</v>
      </c>
      <c r="C469" s="106">
        <f t="shared" si="40"/>
        <v>0</v>
      </c>
      <c r="D469" s="106">
        <f t="shared" si="40"/>
        <v>0</v>
      </c>
      <c r="E469" s="106">
        <f t="shared" si="40"/>
        <v>0</v>
      </c>
      <c r="F469" s="106">
        <f t="shared" si="40"/>
        <v>0</v>
      </c>
      <c r="G469" s="153"/>
      <c r="H469" s="153"/>
      <c r="M469" s="64" t="s">
        <v>793</v>
      </c>
      <c r="N469" s="61">
        <f>INDEX(Data!$9:$9,1,MATCH(M469,detail_table[#Headers],0))</f>
        <v>0</v>
      </c>
    </row>
    <row r="470" spans="1:18" ht="26.5" thickBot="1" x14ac:dyDescent="0.4">
      <c r="A470" s="23" t="s">
        <v>335</v>
      </c>
      <c r="B470" s="108">
        <f t="shared" si="40"/>
        <v>0</v>
      </c>
      <c r="C470" s="106">
        <f t="shared" si="40"/>
        <v>0</v>
      </c>
      <c r="D470" s="106">
        <f t="shared" si="40"/>
        <v>0</v>
      </c>
      <c r="E470" s="106">
        <f t="shared" si="40"/>
        <v>0</v>
      </c>
      <c r="F470" s="106">
        <f t="shared" si="40"/>
        <v>0</v>
      </c>
      <c r="G470" s="194"/>
      <c r="H470" s="194"/>
      <c r="M470" s="64" t="s">
        <v>794</v>
      </c>
      <c r="N470" s="61">
        <f>INDEX(Data!$9:$9,1,MATCH(M470,detail_table[#Headers],0))</f>
        <v>0</v>
      </c>
    </row>
    <row r="471" spans="1:18" ht="26.5" thickBot="1" x14ac:dyDescent="0.4">
      <c r="A471" s="23" t="s">
        <v>2100</v>
      </c>
      <c r="B471" s="108">
        <f t="shared" si="40"/>
        <v>0</v>
      </c>
      <c r="C471" s="106">
        <f t="shared" si="40"/>
        <v>0</v>
      </c>
      <c r="D471" s="106">
        <f t="shared" si="40"/>
        <v>0</v>
      </c>
      <c r="E471" s="106">
        <f t="shared" si="40"/>
        <v>0</v>
      </c>
      <c r="F471" s="106">
        <f t="shared" si="40"/>
        <v>0</v>
      </c>
      <c r="G471" s="153"/>
      <c r="H471" s="153"/>
      <c r="M471" s="64" t="s">
        <v>795</v>
      </c>
      <c r="N471" s="61">
        <f>INDEX(Data!$9:$9,1,MATCH(M471,detail_table[#Headers],0))</f>
        <v>0</v>
      </c>
    </row>
    <row r="472" spans="1:18" ht="15" thickBot="1" x14ac:dyDescent="0.4">
      <c r="A472" s="23" t="s">
        <v>373</v>
      </c>
      <c r="B472" s="108">
        <f t="shared" si="40"/>
        <v>0</v>
      </c>
      <c r="C472" s="106">
        <f t="shared" si="40"/>
        <v>0</v>
      </c>
      <c r="D472" s="106">
        <f t="shared" si="40"/>
        <v>0</v>
      </c>
      <c r="E472" s="106">
        <f t="shared" si="40"/>
        <v>0</v>
      </c>
      <c r="F472" s="106">
        <f t="shared" si="40"/>
        <v>0</v>
      </c>
      <c r="G472" s="153"/>
      <c r="H472" s="153"/>
      <c r="M472" s="64" t="s">
        <v>796</v>
      </c>
      <c r="N472" s="61">
        <f>INDEX(Data!$9:$9,1,MATCH(M472,detail_table[#Headers],0))</f>
        <v>0</v>
      </c>
    </row>
    <row r="473" spans="1:18" ht="15" thickBot="1" x14ac:dyDescent="0.4">
      <c r="A473" s="2" t="s">
        <v>144</v>
      </c>
      <c r="B473" s="107">
        <f t="shared" si="40"/>
        <v>0</v>
      </c>
      <c r="C473" s="107">
        <f t="shared" si="40"/>
        <v>0</v>
      </c>
      <c r="D473" s="107">
        <f t="shared" si="40"/>
        <v>0</v>
      </c>
      <c r="E473" s="107">
        <f t="shared" si="40"/>
        <v>0</v>
      </c>
      <c r="F473" s="107">
        <f t="shared" si="40"/>
        <v>0</v>
      </c>
      <c r="G473" s="153"/>
      <c r="H473" s="153"/>
      <c r="M473" s="64" t="s">
        <v>797</v>
      </c>
      <c r="N473" s="61">
        <f>INDEX(Data!$9:$9,1,MATCH(M473,detail_table[#Headers],0))</f>
        <v>0</v>
      </c>
    </row>
    <row r="474" spans="1:18" x14ac:dyDescent="0.35">
      <c r="G474" s="151"/>
      <c r="H474" s="151"/>
      <c r="M474" s="64" t="s">
        <v>798</v>
      </c>
      <c r="N474" s="61">
        <f>INDEX(Data!$9:$9,1,MATCH(M474,detail_table[#Headers],0))</f>
        <v>0</v>
      </c>
    </row>
    <row r="475" spans="1:18" x14ac:dyDescent="0.35">
      <c r="M475" s="64" t="s">
        <v>799</v>
      </c>
      <c r="N475" s="61">
        <f>INDEX(Data!$9:$9,1,MATCH(M475,detail_table[#Headers],0))</f>
        <v>0</v>
      </c>
      <c r="R475" s="62"/>
    </row>
    <row r="476" spans="1:18" x14ac:dyDescent="0.35">
      <c r="M476" s="64" t="s">
        <v>800</v>
      </c>
      <c r="N476" s="61">
        <f>INDEX(Data!$9:$9,1,MATCH(M476,detail_table[#Headers],0))</f>
        <v>0</v>
      </c>
    </row>
    <row r="477" spans="1:18" x14ac:dyDescent="0.35">
      <c r="J477" s="62"/>
      <c r="M477" s="64" t="s">
        <v>801</v>
      </c>
      <c r="N477" s="61">
        <f>INDEX(Data!$9:$9,1,MATCH(M477,detail_table[#Headers],0))</f>
        <v>0</v>
      </c>
    </row>
    <row r="478" spans="1:18" x14ac:dyDescent="0.35">
      <c r="M478" s="64" t="s">
        <v>802</v>
      </c>
      <c r="N478" s="61">
        <f>INDEX(Data!$9:$9,1,MATCH(M478,detail_table[#Headers],0))</f>
        <v>0</v>
      </c>
    </row>
    <row r="479" spans="1:18" x14ac:dyDescent="0.35">
      <c r="M479" s="64" t="s">
        <v>803</v>
      </c>
      <c r="N479" s="61">
        <f>INDEX(Data!$9:$9,1,MATCH(M479,detail_table[#Headers],0))</f>
        <v>0</v>
      </c>
    </row>
    <row r="480" spans="1:18" x14ac:dyDescent="0.35">
      <c r="M480" s="64" t="s">
        <v>804</v>
      </c>
      <c r="N480" s="61">
        <f>INDEX(Data!$9:$9,1,MATCH(M480,detail_table[#Headers],0))</f>
        <v>0</v>
      </c>
    </row>
    <row r="481" spans="1:18" x14ac:dyDescent="0.35">
      <c r="M481" s="64" t="s">
        <v>805</v>
      </c>
      <c r="N481" s="61">
        <f>INDEX(Data!$9:$9,1,MATCH(M481,detail_table[#Headers],0))</f>
        <v>0</v>
      </c>
    </row>
    <row r="482" spans="1:18" x14ac:dyDescent="0.35">
      <c r="M482" s="64" t="s">
        <v>806</v>
      </c>
      <c r="N482" s="61">
        <f>INDEX(Data!$9:$9,1,MATCH(M482,detail_table[#Headers],0))</f>
        <v>0</v>
      </c>
    </row>
    <row r="483" spans="1:18" x14ac:dyDescent="0.35">
      <c r="M483" s="64" t="s">
        <v>807</v>
      </c>
      <c r="N483" s="61">
        <f>INDEX(Data!$9:$9,1,MATCH(M483,detail_table[#Headers],0))</f>
        <v>0</v>
      </c>
    </row>
    <row r="484" spans="1:18" x14ac:dyDescent="0.35">
      <c r="I484" s="62"/>
      <c r="M484" s="64" t="s">
        <v>808</v>
      </c>
      <c r="N484" s="61">
        <f>INDEX(Data!$9:$9,1,MATCH(M484,detail_table[#Headers],0))</f>
        <v>0</v>
      </c>
    </row>
    <row r="485" spans="1:18" s="62" customFormat="1" x14ac:dyDescent="0.35">
      <c r="A485" s="61"/>
      <c r="B485" s="61"/>
      <c r="C485" s="61"/>
      <c r="D485" s="61"/>
      <c r="E485" s="61"/>
      <c r="F485" s="61"/>
      <c r="G485" s="61"/>
      <c r="H485" s="61"/>
      <c r="I485" s="61"/>
      <c r="J485" s="61"/>
      <c r="K485" s="61"/>
      <c r="L485" s="61"/>
      <c r="M485" s="64" t="s">
        <v>809</v>
      </c>
      <c r="N485" s="61">
        <f>INDEX(Data!$9:$9,1,MATCH(M485,detail_table[#Headers],0))</f>
        <v>0</v>
      </c>
      <c r="O485" s="61"/>
      <c r="Q485" s="61"/>
      <c r="R485" s="61"/>
    </row>
    <row r="486" spans="1:18" x14ac:dyDescent="0.35">
      <c r="M486" s="64" t="s">
        <v>810</v>
      </c>
      <c r="N486" s="61">
        <f>INDEX(Data!$9:$9,1,MATCH(M486,detail_table[#Headers],0))</f>
        <v>0</v>
      </c>
    </row>
    <row r="487" spans="1:18" x14ac:dyDescent="0.35">
      <c r="M487" s="64" t="s">
        <v>811</v>
      </c>
      <c r="N487" s="61">
        <f>INDEX(Data!$9:$9,1,MATCH(M487,detail_table[#Headers],0))</f>
        <v>0</v>
      </c>
    </row>
    <row r="488" spans="1:18" x14ac:dyDescent="0.35">
      <c r="M488" s="64" t="s">
        <v>812</v>
      </c>
      <c r="N488" s="61">
        <f>INDEX(Data!$9:$9,1,MATCH(M488,detail_table[#Headers],0))</f>
        <v>0</v>
      </c>
    </row>
    <row r="489" spans="1:18" x14ac:dyDescent="0.35">
      <c r="M489" s="64" t="s">
        <v>813</v>
      </c>
      <c r="N489" s="61">
        <f>INDEX(Data!$9:$9,1,MATCH(M489,detail_table[#Headers],0))</f>
        <v>0</v>
      </c>
    </row>
    <row r="490" spans="1:18" x14ac:dyDescent="0.35">
      <c r="M490" s="64" t="s">
        <v>814</v>
      </c>
      <c r="N490" s="61">
        <f>INDEX(Data!$9:$9,1,MATCH(M490,detail_table[#Headers],0))</f>
        <v>0</v>
      </c>
    </row>
    <row r="491" spans="1:18" x14ac:dyDescent="0.35">
      <c r="M491" s="64" t="s">
        <v>815</v>
      </c>
      <c r="N491" s="61">
        <f>INDEX(Data!$9:$9,1,MATCH(M491,detail_table[#Headers],0))</f>
        <v>0</v>
      </c>
    </row>
    <row r="492" spans="1:18" x14ac:dyDescent="0.35">
      <c r="M492" s="64" t="s">
        <v>816</v>
      </c>
      <c r="N492" s="61">
        <f>INDEX(Data!$9:$9,1,MATCH(M492,detail_table[#Headers],0))</f>
        <v>0</v>
      </c>
    </row>
    <row r="493" spans="1:18" x14ac:dyDescent="0.35">
      <c r="M493" s="64" t="s">
        <v>817</v>
      </c>
      <c r="N493" s="61">
        <f>INDEX(Data!$9:$9,1,MATCH(M493,detail_table[#Headers],0))</f>
        <v>0</v>
      </c>
    </row>
    <row r="494" spans="1:18" x14ac:dyDescent="0.35">
      <c r="M494" s="64" t="s">
        <v>818</v>
      </c>
      <c r="N494" s="61">
        <f>INDEX(Data!$9:$9,1,MATCH(M494,detail_table[#Headers],0))</f>
        <v>0</v>
      </c>
    </row>
    <row r="495" spans="1:18" x14ac:dyDescent="0.35">
      <c r="M495" s="64" t="s">
        <v>819</v>
      </c>
      <c r="N495" s="61">
        <f>INDEX(Data!$9:$9,1,MATCH(M495,detail_table[#Headers],0))</f>
        <v>0</v>
      </c>
    </row>
    <row r="496" spans="1:18" x14ac:dyDescent="0.35">
      <c r="M496" s="64" t="s">
        <v>820</v>
      </c>
      <c r="N496" s="61">
        <f>INDEX(Data!$9:$9,1,MATCH(M496,detail_table[#Headers],0))</f>
        <v>0</v>
      </c>
    </row>
    <row r="497" spans="13:14" x14ac:dyDescent="0.35">
      <c r="M497" s="64" t="s">
        <v>821</v>
      </c>
      <c r="N497" s="61">
        <f>INDEX(Data!$9:$9,1,MATCH(M497,detail_table[#Headers],0))</f>
        <v>0</v>
      </c>
    </row>
    <row r="498" spans="13:14" x14ac:dyDescent="0.35">
      <c r="M498" s="64" t="s">
        <v>822</v>
      </c>
      <c r="N498" s="61">
        <f>INDEX(Data!$9:$9,1,MATCH(M498,detail_table[#Headers],0))</f>
        <v>0</v>
      </c>
    </row>
    <row r="499" spans="13:14" x14ac:dyDescent="0.35">
      <c r="M499" s="64" t="s">
        <v>823</v>
      </c>
      <c r="N499" s="61">
        <f>INDEX(Data!$9:$9,1,MATCH(M499,detail_table[#Headers],0))</f>
        <v>0</v>
      </c>
    </row>
    <row r="500" spans="13:14" x14ac:dyDescent="0.35">
      <c r="M500" s="64" t="s">
        <v>824</v>
      </c>
      <c r="N500" s="61">
        <f>INDEX(Data!$9:$9,1,MATCH(M500,detail_table[#Headers],0))</f>
        <v>0</v>
      </c>
    </row>
    <row r="501" spans="13:14" x14ac:dyDescent="0.35">
      <c r="M501" s="64" t="s">
        <v>825</v>
      </c>
      <c r="N501" s="61">
        <f>INDEX(Data!$9:$9,1,MATCH(M501,detail_table[#Headers],0))</f>
        <v>0</v>
      </c>
    </row>
    <row r="502" spans="13:14" x14ac:dyDescent="0.35">
      <c r="M502" s="64" t="s">
        <v>826</v>
      </c>
      <c r="N502" s="61">
        <f>INDEX(Data!$9:$9,1,MATCH(M502,detail_table[#Headers],0))</f>
        <v>0</v>
      </c>
    </row>
    <row r="503" spans="13:14" x14ac:dyDescent="0.35">
      <c r="M503" s="64" t="s">
        <v>827</v>
      </c>
      <c r="N503" s="61">
        <f>INDEX(Data!$9:$9,1,MATCH(M503,detail_table[#Headers],0))</f>
        <v>0</v>
      </c>
    </row>
    <row r="504" spans="13:14" x14ac:dyDescent="0.35">
      <c r="M504" s="64" t="s">
        <v>828</v>
      </c>
      <c r="N504" s="61">
        <f>INDEX(Data!$9:$9,1,MATCH(M504,detail_table[#Headers],0))</f>
        <v>0</v>
      </c>
    </row>
    <row r="505" spans="13:14" x14ac:dyDescent="0.35">
      <c r="M505" s="64" t="s">
        <v>829</v>
      </c>
      <c r="N505" s="61">
        <f>INDEX(Data!$9:$9,1,MATCH(M505,detail_table[#Headers],0))</f>
        <v>0</v>
      </c>
    </row>
    <row r="506" spans="13:14" x14ac:dyDescent="0.35">
      <c r="M506" s="64" t="s">
        <v>830</v>
      </c>
      <c r="N506" s="61">
        <f>INDEX(Data!$9:$9,1,MATCH(M506,detail_table[#Headers],0))</f>
        <v>0</v>
      </c>
    </row>
    <row r="507" spans="13:14" x14ac:dyDescent="0.35">
      <c r="M507" s="64" t="s">
        <v>831</v>
      </c>
      <c r="N507" s="61">
        <f>INDEX(Data!$9:$9,1,MATCH(M507,detail_table[#Headers],0))</f>
        <v>0</v>
      </c>
    </row>
    <row r="508" spans="13:14" x14ac:dyDescent="0.35">
      <c r="M508" s="64" t="s">
        <v>832</v>
      </c>
      <c r="N508" s="61">
        <f>INDEX(Data!$9:$9,1,MATCH(M508,detail_table[#Headers],0))</f>
        <v>0</v>
      </c>
    </row>
    <row r="509" spans="13:14" x14ac:dyDescent="0.35">
      <c r="M509" s="64" t="s">
        <v>833</v>
      </c>
      <c r="N509" s="61">
        <f>INDEX(Data!$9:$9,1,MATCH(M509,detail_table[#Headers],0))</f>
        <v>0</v>
      </c>
    </row>
    <row r="510" spans="13:14" x14ac:dyDescent="0.35">
      <c r="M510" s="64" t="s">
        <v>834</v>
      </c>
      <c r="N510" s="61">
        <f>INDEX(Data!$9:$9,1,MATCH(M510,detail_table[#Headers],0))</f>
        <v>0</v>
      </c>
    </row>
    <row r="511" spans="13:14" x14ac:dyDescent="0.35">
      <c r="M511" s="64" t="s">
        <v>835</v>
      </c>
      <c r="N511" s="61">
        <f>INDEX(Data!$9:$9,1,MATCH(M511,detail_table[#Headers],0))</f>
        <v>0</v>
      </c>
    </row>
    <row r="512" spans="13:14" x14ac:dyDescent="0.35">
      <c r="M512" s="64" t="s">
        <v>836</v>
      </c>
      <c r="N512" s="61">
        <f>INDEX(Data!$9:$9,1,MATCH(M512,detail_table[#Headers],0))</f>
        <v>0</v>
      </c>
    </row>
    <row r="513" spans="13:14" x14ac:dyDescent="0.35">
      <c r="M513" s="64" t="s">
        <v>837</v>
      </c>
      <c r="N513" s="61">
        <f>INDEX(Data!$9:$9,1,MATCH(M513,detail_table[#Headers],0))</f>
        <v>0</v>
      </c>
    </row>
    <row r="514" spans="13:14" x14ac:dyDescent="0.35">
      <c r="M514" s="64" t="s">
        <v>838</v>
      </c>
      <c r="N514" s="61">
        <f>INDEX(Data!$9:$9,1,MATCH(M514,detail_table[#Headers],0))</f>
        <v>0</v>
      </c>
    </row>
    <row r="515" spans="13:14" x14ac:dyDescent="0.35">
      <c r="M515" s="64" t="s">
        <v>839</v>
      </c>
      <c r="N515" s="61">
        <f>INDEX(Data!$9:$9,1,MATCH(M515,detail_table[#Headers],0))</f>
        <v>0</v>
      </c>
    </row>
    <row r="516" spans="13:14" x14ac:dyDescent="0.35">
      <c r="M516" s="64" t="s">
        <v>840</v>
      </c>
      <c r="N516" s="61">
        <f>INDEX(Data!$9:$9,1,MATCH(M516,detail_table[#Headers],0))</f>
        <v>0</v>
      </c>
    </row>
    <row r="517" spans="13:14" x14ac:dyDescent="0.35">
      <c r="M517" s="64" t="s">
        <v>841</v>
      </c>
      <c r="N517" s="61">
        <f>INDEX(Data!$9:$9,1,MATCH(M517,detail_table[#Headers],0))</f>
        <v>0</v>
      </c>
    </row>
    <row r="518" spans="13:14" x14ac:dyDescent="0.35">
      <c r="M518" s="64" t="s">
        <v>842</v>
      </c>
      <c r="N518" s="61">
        <f>INDEX(Data!$9:$9,1,MATCH(M518,detail_table[#Headers],0))</f>
        <v>0</v>
      </c>
    </row>
    <row r="519" spans="13:14" x14ac:dyDescent="0.35">
      <c r="M519" s="64" t="s">
        <v>843</v>
      </c>
      <c r="N519" s="61">
        <f>INDEX(Data!$9:$9,1,MATCH(M519,detail_table[#Headers],0))</f>
        <v>0</v>
      </c>
    </row>
    <row r="520" spans="13:14" x14ac:dyDescent="0.35">
      <c r="M520" s="64" t="s">
        <v>844</v>
      </c>
      <c r="N520" s="61">
        <f>INDEX(Data!$9:$9,1,MATCH(M520,detail_table[#Headers],0))</f>
        <v>0</v>
      </c>
    </row>
    <row r="521" spans="13:14" x14ac:dyDescent="0.35">
      <c r="M521" s="64" t="s">
        <v>845</v>
      </c>
      <c r="N521" s="61">
        <f>INDEX(Data!$9:$9,1,MATCH(M521,detail_table[#Headers],0))</f>
        <v>0</v>
      </c>
    </row>
    <row r="522" spans="13:14" x14ac:dyDescent="0.35">
      <c r="M522" s="64" t="s">
        <v>846</v>
      </c>
      <c r="N522" s="61">
        <f>INDEX(Data!$9:$9,1,MATCH(M522,detail_table[#Headers],0))</f>
        <v>0</v>
      </c>
    </row>
    <row r="523" spans="13:14" x14ac:dyDescent="0.35">
      <c r="M523" s="64" t="s">
        <v>847</v>
      </c>
      <c r="N523" s="61">
        <f>INDEX(Data!$9:$9,1,MATCH(M523,detail_table[#Headers],0))</f>
        <v>0</v>
      </c>
    </row>
    <row r="524" spans="13:14" x14ac:dyDescent="0.35">
      <c r="M524" s="64" t="s">
        <v>848</v>
      </c>
      <c r="N524" s="61">
        <f>INDEX(Data!$9:$9,1,MATCH(M524,detail_table[#Headers],0))</f>
        <v>0</v>
      </c>
    </row>
    <row r="525" spans="13:14" x14ac:dyDescent="0.35">
      <c r="M525" s="64" t="s">
        <v>849</v>
      </c>
      <c r="N525" s="61">
        <f>INDEX(Data!$9:$9,1,MATCH(M525,detail_table[#Headers],0))</f>
        <v>0</v>
      </c>
    </row>
    <row r="526" spans="13:14" x14ac:dyDescent="0.35">
      <c r="M526" s="64" t="s">
        <v>850</v>
      </c>
      <c r="N526" s="61">
        <f>INDEX(Data!$9:$9,1,MATCH(M526,detail_table[#Headers],0))</f>
        <v>0</v>
      </c>
    </row>
    <row r="527" spans="13:14" x14ac:dyDescent="0.35">
      <c r="M527" s="64" t="s">
        <v>851</v>
      </c>
      <c r="N527" s="61">
        <f>INDEX(Data!$9:$9,1,MATCH(M527,detail_table[#Headers],0))</f>
        <v>0</v>
      </c>
    </row>
    <row r="528" spans="13:14" x14ac:dyDescent="0.35">
      <c r="M528" s="64" t="s">
        <v>852</v>
      </c>
      <c r="N528" s="61">
        <f>INDEX(Data!$9:$9,1,MATCH(M528,detail_table[#Headers],0))</f>
        <v>0</v>
      </c>
    </row>
    <row r="529" spans="13:14" x14ac:dyDescent="0.35">
      <c r="M529" s="64" t="s">
        <v>853</v>
      </c>
      <c r="N529" s="61">
        <f>INDEX(Data!$9:$9,1,MATCH(M529,detail_table[#Headers],0))</f>
        <v>0</v>
      </c>
    </row>
    <row r="530" spans="13:14" x14ac:dyDescent="0.35">
      <c r="M530" s="64" t="s">
        <v>854</v>
      </c>
      <c r="N530" s="61">
        <f>INDEX(Data!$9:$9,1,MATCH(M530,detail_table[#Headers],0))</f>
        <v>0</v>
      </c>
    </row>
    <row r="531" spans="13:14" x14ac:dyDescent="0.35">
      <c r="M531" s="64" t="s">
        <v>855</v>
      </c>
      <c r="N531" s="61">
        <f>INDEX(Data!$9:$9,1,MATCH(M531,detail_table[#Headers],0))</f>
        <v>0</v>
      </c>
    </row>
    <row r="532" spans="13:14" x14ac:dyDescent="0.35">
      <c r="M532" s="64" t="s">
        <v>856</v>
      </c>
      <c r="N532" s="61">
        <f>INDEX(Data!$9:$9,1,MATCH(M532,detail_table[#Headers],0))</f>
        <v>0</v>
      </c>
    </row>
    <row r="533" spans="13:14" x14ac:dyDescent="0.35">
      <c r="M533" s="64" t="s">
        <v>857</v>
      </c>
      <c r="N533" s="61">
        <f>INDEX(Data!$9:$9,1,MATCH(M533,detail_table[#Headers],0))</f>
        <v>0</v>
      </c>
    </row>
    <row r="534" spans="13:14" x14ac:dyDescent="0.35">
      <c r="M534" s="64" t="s">
        <v>858</v>
      </c>
      <c r="N534" s="61">
        <f>INDEX(Data!$9:$9,1,MATCH(M534,detail_table[#Headers],0))</f>
        <v>0</v>
      </c>
    </row>
    <row r="535" spans="13:14" x14ac:dyDescent="0.35">
      <c r="M535" s="64" t="s">
        <v>859</v>
      </c>
      <c r="N535" s="61">
        <f>INDEX(Data!$9:$9,1,MATCH(M535,detail_table[#Headers],0))</f>
        <v>0</v>
      </c>
    </row>
    <row r="536" spans="13:14" x14ac:dyDescent="0.35">
      <c r="M536" s="64" t="s">
        <v>860</v>
      </c>
      <c r="N536" s="61">
        <f>INDEX(Data!$9:$9,1,MATCH(M536,detail_table[#Headers],0))</f>
        <v>0</v>
      </c>
    </row>
    <row r="537" spans="13:14" x14ac:dyDescent="0.35">
      <c r="M537" s="64" t="s">
        <v>861</v>
      </c>
      <c r="N537" s="61">
        <f>INDEX(Data!$9:$9,1,MATCH(M537,detail_table[#Headers],0))</f>
        <v>0</v>
      </c>
    </row>
    <row r="538" spans="13:14" x14ac:dyDescent="0.35">
      <c r="M538" s="64" t="s">
        <v>862</v>
      </c>
      <c r="N538" s="61">
        <f>INDEX(Data!$9:$9,1,MATCH(M538,detail_table[#Headers],0))</f>
        <v>0</v>
      </c>
    </row>
    <row r="539" spans="13:14" x14ac:dyDescent="0.35">
      <c r="M539" s="64" t="s">
        <v>863</v>
      </c>
      <c r="N539" s="61">
        <f>INDEX(Data!$9:$9,1,MATCH(M539,detail_table[#Headers],0))</f>
        <v>0</v>
      </c>
    </row>
    <row r="540" spans="13:14" x14ac:dyDescent="0.35">
      <c r="M540" s="64" t="s">
        <v>864</v>
      </c>
      <c r="N540" s="61">
        <f>INDEX(Data!$9:$9,1,MATCH(M540,detail_table[#Headers],0))</f>
        <v>0</v>
      </c>
    </row>
    <row r="541" spans="13:14" x14ac:dyDescent="0.35">
      <c r="M541" s="64" t="s">
        <v>865</v>
      </c>
      <c r="N541" s="61">
        <f>INDEX(Data!$9:$9,1,MATCH(M541,detail_table[#Headers],0))</f>
        <v>0</v>
      </c>
    </row>
    <row r="542" spans="13:14" x14ac:dyDescent="0.35">
      <c r="M542" s="64" t="s">
        <v>866</v>
      </c>
      <c r="N542" s="61">
        <f>INDEX(Data!$9:$9,1,MATCH(M542,detail_table[#Headers],0))</f>
        <v>0</v>
      </c>
    </row>
    <row r="543" spans="13:14" x14ac:dyDescent="0.35">
      <c r="M543" s="64" t="s">
        <v>867</v>
      </c>
      <c r="N543" s="61">
        <f>INDEX(Data!$9:$9,1,MATCH(M543,detail_table[#Headers],0))</f>
        <v>0</v>
      </c>
    </row>
    <row r="544" spans="13:14" x14ac:dyDescent="0.35">
      <c r="M544" s="64" t="s">
        <v>868</v>
      </c>
      <c r="N544" s="61">
        <f>INDEX(Data!$9:$9,1,MATCH(M544,detail_table[#Headers],0))</f>
        <v>0</v>
      </c>
    </row>
    <row r="545" spans="13:14" x14ac:dyDescent="0.35">
      <c r="M545" s="64" t="s">
        <v>869</v>
      </c>
      <c r="N545" s="61">
        <f>INDEX(Data!$9:$9,1,MATCH(M545,detail_table[#Headers],0))</f>
        <v>0</v>
      </c>
    </row>
    <row r="546" spans="13:14" x14ac:dyDescent="0.35">
      <c r="M546" s="64" t="s">
        <v>870</v>
      </c>
      <c r="N546" s="61">
        <f>INDEX(Data!$9:$9,1,MATCH(M546,detail_table[#Headers],0))</f>
        <v>0</v>
      </c>
    </row>
    <row r="547" spans="13:14" x14ac:dyDescent="0.35">
      <c r="M547" s="64" t="s">
        <v>871</v>
      </c>
      <c r="N547" s="61">
        <f>INDEX(Data!$9:$9,1,MATCH(M547,detail_table[#Headers],0))</f>
        <v>0</v>
      </c>
    </row>
    <row r="548" spans="13:14" x14ac:dyDescent="0.35">
      <c r="M548" s="64" t="s">
        <v>872</v>
      </c>
      <c r="N548" s="61">
        <f>INDEX(Data!$9:$9,1,MATCH(M548,detail_table[#Headers],0))</f>
        <v>0</v>
      </c>
    </row>
    <row r="549" spans="13:14" x14ac:dyDescent="0.35">
      <c r="M549" s="64" t="s">
        <v>873</v>
      </c>
      <c r="N549" s="61">
        <f>INDEX(Data!$9:$9,1,MATCH(M549,detail_table[#Headers],0))</f>
        <v>0</v>
      </c>
    </row>
    <row r="550" spans="13:14" x14ac:dyDescent="0.35">
      <c r="M550" s="64" t="s">
        <v>874</v>
      </c>
      <c r="N550" s="61">
        <f>INDEX(Data!$9:$9,1,MATCH(M550,detail_table[#Headers],0))</f>
        <v>0</v>
      </c>
    </row>
    <row r="551" spans="13:14" x14ac:dyDescent="0.35">
      <c r="M551" s="64" t="s">
        <v>875</v>
      </c>
      <c r="N551" s="61">
        <f>INDEX(Data!$9:$9,1,MATCH(M551,detail_table[#Headers],0))</f>
        <v>0</v>
      </c>
    </row>
    <row r="552" spans="13:14" x14ac:dyDescent="0.35">
      <c r="M552" s="64" t="s">
        <v>876</v>
      </c>
      <c r="N552" s="61">
        <f>INDEX(Data!$9:$9,1,MATCH(M552,detail_table[#Headers],0))</f>
        <v>0</v>
      </c>
    </row>
    <row r="553" spans="13:14" x14ac:dyDescent="0.35">
      <c r="M553" s="64" t="s">
        <v>877</v>
      </c>
      <c r="N553" s="61">
        <f>INDEX(Data!$9:$9,1,MATCH(M553,detail_table[#Headers],0))</f>
        <v>0</v>
      </c>
    </row>
    <row r="554" spans="13:14" x14ac:dyDescent="0.35">
      <c r="M554" s="64" t="s">
        <v>878</v>
      </c>
      <c r="N554" s="61">
        <f>INDEX(Data!$9:$9,1,MATCH(M554,detail_table[#Headers],0))</f>
        <v>0</v>
      </c>
    </row>
    <row r="555" spans="13:14" x14ac:dyDescent="0.35">
      <c r="M555" s="64" t="s">
        <v>879</v>
      </c>
      <c r="N555" s="61">
        <f>INDEX(Data!$9:$9,1,MATCH(M555,detail_table[#Headers],0))</f>
        <v>0</v>
      </c>
    </row>
    <row r="556" spans="13:14" x14ac:dyDescent="0.35">
      <c r="M556" s="64" t="s">
        <v>880</v>
      </c>
      <c r="N556" s="61">
        <f>INDEX(Data!$9:$9,1,MATCH(M556,detail_table[#Headers],0))</f>
        <v>0</v>
      </c>
    </row>
    <row r="557" spans="13:14" x14ac:dyDescent="0.35">
      <c r="M557" s="64" t="s">
        <v>881</v>
      </c>
      <c r="N557" s="61">
        <f>INDEX(Data!$9:$9,1,MATCH(M557,detail_table[#Headers],0))</f>
        <v>0</v>
      </c>
    </row>
    <row r="558" spans="13:14" x14ac:dyDescent="0.35">
      <c r="M558" s="64" t="s">
        <v>882</v>
      </c>
      <c r="N558" s="61">
        <f>INDEX(Data!$9:$9,1,MATCH(M558,detail_table[#Headers],0))</f>
        <v>0</v>
      </c>
    </row>
    <row r="559" spans="13:14" x14ac:dyDescent="0.35">
      <c r="M559" s="64" t="s">
        <v>883</v>
      </c>
      <c r="N559" s="61">
        <f>INDEX(Data!$9:$9,1,MATCH(M559,detail_table[#Headers],0))</f>
        <v>0</v>
      </c>
    </row>
    <row r="560" spans="13:14" x14ac:dyDescent="0.35">
      <c r="M560" s="64" t="s">
        <v>884</v>
      </c>
      <c r="N560" s="61">
        <f>INDEX(Data!$9:$9,1,MATCH(M560,detail_table[#Headers],0))</f>
        <v>0</v>
      </c>
    </row>
    <row r="561" spans="13:14" x14ac:dyDescent="0.35">
      <c r="M561" s="64" t="s">
        <v>885</v>
      </c>
      <c r="N561" s="61">
        <f>INDEX(Data!$9:$9,1,MATCH(M561,detail_table[#Headers],0))</f>
        <v>0</v>
      </c>
    </row>
    <row r="562" spans="13:14" x14ac:dyDescent="0.35">
      <c r="M562" s="64" t="s">
        <v>886</v>
      </c>
      <c r="N562" s="61">
        <f>INDEX(Data!$9:$9,1,MATCH(M562,detail_table[#Headers],0))</f>
        <v>0</v>
      </c>
    </row>
    <row r="563" spans="13:14" x14ac:dyDescent="0.35">
      <c r="M563" s="64" t="s">
        <v>887</v>
      </c>
      <c r="N563" s="61">
        <f>INDEX(Data!$9:$9,1,MATCH(M563,detail_table[#Headers],0))</f>
        <v>0</v>
      </c>
    </row>
    <row r="564" spans="13:14" x14ac:dyDescent="0.35">
      <c r="M564" s="64" t="s">
        <v>888</v>
      </c>
      <c r="N564" s="61">
        <f>INDEX(Data!$9:$9,1,MATCH(M564,detail_table[#Headers],0))</f>
        <v>0</v>
      </c>
    </row>
    <row r="565" spans="13:14" x14ac:dyDescent="0.35">
      <c r="M565" s="64" t="s">
        <v>889</v>
      </c>
      <c r="N565" s="61">
        <f>INDEX(Data!$9:$9,1,MATCH(M565,detail_table[#Headers],0))</f>
        <v>0</v>
      </c>
    </row>
    <row r="566" spans="13:14" x14ac:dyDescent="0.35">
      <c r="M566" s="64" t="s">
        <v>890</v>
      </c>
      <c r="N566" s="61">
        <f>INDEX(Data!$9:$9,1,MATCH(M566,detail_table[#Headers],0))</f>
        <v>0</v>
      </c>
    </row>
    <row r="567" spans="13:14" x14ac:dyDescent="0.35">
      <c r="M567" s="64" t="s">
        <v>891</v>
      </c>
      <c r="N567" s="61">
        <f>INDEX(Data!$9:$9,1,MATCH(M567,detail_table[#Headers],0))</f>
        <v>0</v>
      </c>
    </row>
    <row r="568" spans="13:14" x14ac:dyDescent="0.35">
      <c r="M568" s="64" t="s">
        <v>892</v>
      </c>
      <c r="N568" s="61">
        <f>INDEX(Data!$9:$9,1,MATCH(M568,detail_table[#Headers],0))</f>
        <v>0</v>
      </c>
    </row>
    <row r="569" spans="13:14" x14ac:dyDescent="0.35">
      <c r="M569" s="64" t="s">
        <v>893</v>
      </c>
      <c r="N569" s="61">
        <f>INDEX(Data!$9:$9,1,MATCH(M569,detail_table[#Headers],0))</f>
        <v>0</v>
      </c>
    </row>
    <row r="570" spans="13:14" x14ac:dyDescent="0.35">
      <c r="M570" s="64" t="s">
        <v>894</v>
      </c>
      <c r="N570" s="61">
        <f>INDEX(Data!$9:$9,1,MATCH(M570,detail_table[#Headers],0))</f>
        <v>0</v>
      </c>
    </row>
    <row r="571" spans="13:14" x14ac:dyDescent="0.35">
      <c r="M571" s="64" t="s">
        <v>895</v>
      </c>
      <c r="N571" s="61">
        <f>INDEX(Data!$9:$9,1,MATCH(M571,detail_table[#Headers],0))</f>
        <v>0</v>
      </c>
    </row>
    <row r="572" spans="13:14" x14ac:dyDescent="0.35">
      <c r="M572" s="64" t="s">
        <v>896</v>
      </c>
      <c r="N572" s="61">
        <f>INDEX(Data!$9:$9,1,MATCH(M572,detail_table[#Headers],0))</f>
        <v>0</v>
      </c>
    </row>
    <row r="573" spans="13:14" x14ac:dyDescent="0.35">
      <c r="M573" s="64" t="s">
        <v>897</v>
      </c>
      <c r="N573" s="61">
        <f>INDEX(Data!$9:$9,1,MATCH(M573,detail_table[#Headers],0))</f>
        <v>0</v>
      </c>
    </row>
    <row r="574" spans="13:14" x14ac:dyDescent="0.35">
      <c r="M574" s="64" t="s">
        <v>898</v>
      </c>
      <c r="N574" s="61">
        <f>INDEX(Data!$9:$9,1,MATCH(M574,detail_table[#Headers],0))</f>
        <v>0</v>
      </c>
    </row>
    <row r="575" spans="13:14" x14ac:dyDescent="0.35">
      <c r="M575" s="64" t="s">
        <v>899</v>
      </c>
      <c r="N575" s="61">
        <f>INDEX(Data!$9:$9,1,MATCH(M575,detail_table[#Headers],0))</f>
        <v>0</v>
      </c>
    </row>
    <row r="576" spans="13:14" x14ac:dyDescent="0.35">
      <c r="M576" s="64" t="s">
        <v>900</v>
      </c>
      <c r="N576" s="61">
        <f>INDEX(Data!$9:$9,1,MATCH(M576,detail_table[#Headers],0))</f>
        <v>0</v>
      </c>
    </row>
    <row r="577" spans="13:14" x14ac:dyDescent="0.35">
      <c r="M577" s="64" t="s">
        <v>901</v>
      </c>
      <c r="N577" s="61">
        <f>INDEX(Data!$9:$9,1,MATCH(M577,detail_table[#Headers],0))</f>
        <v>0</v>
      </c>
    </row>
    <row r="578" spans="13:14" x14ac:dyDescent="0.35">
      <c r="M578" s="64" t="s">
        <v>902</v>
      </c>
      <c r="N578" s="61">
        <f>INDEX(Data!$9:$9,1,MATCH(M578,detail_table[#Headers],0))</f>
        <v>0</v>
      </c>
    </row>
    <row r="579" spans="13:14" x14ac:dyDescent="0.35">
      <c r="M579" s="64" t="s">
        <v>903</v>
      </c>
      <c r="N579" s="61">
        <f>INDEX(Data!$9:$9,1,MATCH(M579,detail_table[#Headers],0))</f>
        <v>0</v>
      </c>
    </row>
    <row r="580" spans="13:14" x14ac:dyDescent="0.35">
      <c r="M580" s="64" t="s">
        <v>904</v>
      </c>
      <c r="N580" s="61">
        <f>INDEX(Data!$9:$9,1,MATCH(M580,detail_table[#Headers],0))</f>
        <v>0</v>
      </c>
    </row>
    <row r="581" spans="13:14" x14ac:dyDescent="0.35">
      <c r="M581" s="64" t="s">
        <v>905</v>
      </c>
      <c r="N581" s="61">
        <f>INDEX(Data!$9:$9,1,MATCH(M581,detail_table[#Headers],0))</f>
        <v>0</v>
      </c>
    </row>
    <row r="582" spans="13:14" x14ac:dyDescent="0.35">
      <c r="M582" s="64" t="s">
        <v>906</v>
      </c>
      <c r="N582" s="61">
        <f>INDEX(Data!$9:$9,1,MATCH(M582,detail_table[#Headers],0))</f>
        <v>0</v>
      </c>
    </row>
    <row r="583" spans="13:14" x14ac:dyDescent="0.35">
      <c r="M583" s="64" t="s">
        <v>907</v>
      </c>
      <c r="N583" s="61">
        <f>INDEX(Data!$9:$9,1,MATCH(M583,detail_table[#Headers],0))</f>
        <v>0</v>
      </c>
    </row>
    <row r="584" spans="13:14" x14ac:dyDescent="0.35">
      <c r="M584" s="64" t="s">
        <v>908</v>
      </c>
      <c r="N584" s="61">
        <f>INDEX(Data!$9:$9,1,MATCH(M584,detail_table[#Headers],0))</f>
        <v>0</v>
      </c>
    </row>
    <row r="585" spans="13:14" x14ac:dyDescent="0.35">
      <c r="M585" s="64" t="s">
        <v>909</v>
      </c>
      <c r="N585" s="61">
        <f>INDEX(Data!$9:$9,1,MATCH(M585,detail_table[#Headers],0))</f>
        <v>0</v>
      </c>
    </row>
    <row r="586" spans="13:14" x14ac:dyDescent="0.35">
      <c r="M586" s="64" t="s">
        <v>910</v>
      </c>
      <c r="N586" s="61">
        <f>INDEX(Data!$9:$9,1,MATCH(M586,detail_table[#Headers],0))</f>
        <v>0</v>
      </c>
    </row>
    <row r="587" spans="13:14" x14ac:dyDescent="0.35">
      <c r="M587" s="64" t="s">
        <v>911</v>
      </c>
      <c r="N587" s="61">
        <f>INDEX(Data!$9:$9,1,MATCH(M587,detail_table[#Headers],0))</f>
        <v>0</v>
      </c>
    </row>
    <row r="588" spans="13:14" x14ac:dyDescent="0.35">
      <c r="M588" s="64" t="s">
        <v>912</v>
      </c>
      <c r="N588" s="61">
        <f>INDEX(Data!$9:$9,1,MATCH(M588,detail_table[#Headers],0))</f>
        <v>0</v>
      </c>
    </row>
    <row r="589" spans="13:14" x14ac:dyDescent="0.35">
      <c r="M589" s="64" t="s">
        <v>913</v>
      </c>
      <c r="N589" s="61">
        <f>INDEX(Data!$9:$9,1,MATCH(M589,detail_table[#Headers],0))</f>
        <v>0</v>
      </c>
    </row>
    <row r="590" spans="13:14" x14ac:dyDescent="0.35">
      <c r="M590" s="64" t="s">
        <v>914</v>
      </c>
      <c r="N590" s="61">
        <f>INDEX(Data!$9:$9,1,MATCH(M590,detail_table[#Headers],0))</f>
        <v>0</v>
      </c>
    </row>
    <row r="591" spans="13:14" x14ac:dyDescent="0.35">
      <c r="M591" s="64" t="s">
        <v>915</v>
      </c>
      <c r="N591" s="61">
        <f>INDEX(Data!$9:$9,1,MATCH(M591,detail_table[#Headers],0))</f>
        <v>0</v>
      </c>
    </row>
    <row r="592" spans="13:14" x14ac:dyDescent="0.35">
      <c r="M592" s="64" t="s">
        <v>916</v>
      </c>
      <c r="N592" s="61">
        <f>INDEX(Data!$9:$9,1,MATCH(M592,detail_table[#Headers],0))</f>
        <v>0</v>
      </c>
    </row>
    <row r="593" spans="13:14" x14ac:dyDescent="0.35">
      <c r="M593" s="64" t="s">
        <v>917</v>
      </c>
      <c r="N593" s="61">
        <f>INDEX(Data!$9:$9,1,MATCH(M593,detail_table[#Headers],0))</f>
        <v>0</v>
      </c>
    </row>
    <row r="594" spans="13:14" x14ac:dyDescent="0.35">
      <c r="M594" s="64" t="s">
        <v>918</v>
      </c>
      <c r="N594" s="61">
        <f>INDEX(Data!$9:$9,1,MATCH(M594,detail_table[#Headers],0))</f>
        <v>0</v>
      </c>
    </row>
    <row r="595" spans="13:14" x14ac:dyDescent="0.35">
      <c r="M595" s="64" t="s">
        <v>919</v>
      </c>
      <c r="N595" s="61">
        <f>INDEX(Data!$9:$9,1,MATCH(M595,detail_table[#Headers],0))</f>
        <v>0</v>
      </c>
    </row>
    <row r="596" spans="13:14" x14ac:dyDescent="0.35">
      <c r="M596" s="64" t="s">
        <v>920</v>
      </c>
      <c r="N596" s="61">
        <f>INDEX(Data!$9:$9,1,MATCH(M596,detail_table[#Headers],0))</f>
        <v>0</v>
      </c>
    </row>
    <row r="597" spans="13:14" x14ac:dyDescent="0.35">
      <c r="M597" s="64" t="s">
        <v>921</v>
      </c>
      <c r="N597" s="61">
        <f>INDEX(Data!$9:$9,1,MATCH(M597,detail_table[#Headers],0))</f>
        <v>0</v>
      </c>
    </row>
    <row r="598" spans="13:14" x14ac:dyDescent="0.35">
      <c r="M598" s="64" t="s">
        <v>922</v>
      </c>
      <c r="N598" s="61">
        <f>INDEX(Data!$9:$9,1,MATCH(M598,detail_table[#Headers],0))</f>
        <v>0</v>
      </c>
    </row>
    <row r="599" spans="13:14" x14ac:dyDescent="0.35">
      <c r="M599" s="64" t="s">
        <v>923</v>
      </c>
      <c r="N599" s="61">
        <f>INDEX(Data!$9:$9,1,MATCH(M599,detail_table[#Headers],0))</f>
        <v>0</v>
      </c>
    </row>
    <row r="600" spans="13:14" x14ac:dyDescent="0.35">
      <c r="M600" s="64" t="s">
        <v>924</v>
      </c>
      <c r="N600" s="61">
        <f>INDEX(Data!$9:$9,1,MATCH(M600,detail_table[#Headers],0))</f>
        <v>0</v>
      </c>
    </row>
    <row r="601" spans="13:14" x14ac:dyDescent="0.35">
      <c r="M601" s="64" t="s">
        <v>925</v>
      </c>
      <c r="N601" s="61">
        <f>INDEX(Data!$9:$9,1,MATCH(M601,detail_table[#Headers],0))</f>
        <v>0</v>
      </c>
    </row>
    <row r="602" spans="13:14" x14ac:dyDescent="0.35">
      <c r="M602" s="64" t="s">
        <v>926</v>
      </c>
      <c r="N602" s="61">
        <f>INDEX(Data!$9:$9,1,MATCH(M602,detail_table[#Headers],0))</f>
        <v>0</v>
      </c>
    </row>
    <row r="603" spans="13:14" x14ac:dyDescent="0.35">
      <c r="M603" s="64" t="s">
        <v>927</v>
      </c>
      <c r="N603" s="61">
        <f>INDEX(Data!$9:$9,1,MATCH(M603,detail_table[#Headers],0))</f>
        <v>0</v>
      </c>
    </row>
    <row r="604" spans="13:14" x14ac:dyDescent="0.35">
      <c r="M604" s="64" t="s">
        <v>928</v>
      </c>
      <c r="N604" s="61">
        <f>INDEX(Data!$9:$9,1,MATCH(M604,detail_table[#Headers],0))</f>
        <v>0</v>
      </c>
    </row>
    <row r="605" spans="13:14" x14ac:dyDescent="0.35">
      <c r="M605" s="64" t="s">
        <v>929</v>
      </c>
      <c r="N605" s="61">
        <f>INDEX(Data!$9:$9,1,MATCH(M605,detail_table[#Headers],0))</f>
        <v>0</v>
      </c>
    </row>
    <row r="606" spans="13:14" x14ac:dyDescent="0.35">
      <c r="M606" s="64" t="s">
        <v>930</v>
      </c>
      <c r="N606" s="61">
        <f>INDEX(Data!$9:$9,1,MATCH(M606,detail_table[#Headers],0))</f>
        <v>0</v>
      </c>
    </row>
    <row r="607" spans="13:14" x14ac:dyDescent="0.35">
      <c r="M607" s="64" t="s">
        <v>931</v>
      </c>
      <c r="N607" s="61">
        <f>INDEX(Data!$9:$9,1,MATCH(M607,detail_table[#Headers],0))</f>
        <v>0</v>
      </c>
    </row>
    <row r="608" spans="13:14" x14ac:dyDescent="0.35">
      <c r="M608" s="64" t="s">
        <v>932</v>
      </c>
      <c r="N608" s="61">
        <f>INDEX(Data!$9:$9,1,MATCH(M608,detail_table[#Headers],0))</f>
        <v>0</v>
      </c>
    </row>
    <row r="609" spans="13:14" x14ac:dyDescent="0.35">
      <c r="M609" s="64" t="s">
        <v>933</v>
      </c>
      <c r="N609" s="61">
        <f>INDEX(Data!$9:$9,1,MATCH(M609,detail_table[#Headers],0))</f>
        <v>0</v>
      </c>
    </row>
    <row r="610" spans="13:14" x14ac:dyDescent="0.35">
      <c r="M610" s="64" t="s">
        <v>934</v>
      </c>
      <c r="N610" s="61">
        <f>INDEX(Data!$9:$9,1,MATCH(M610,detail_table[#Headers],0))</f>
        <v>0</v>
      </c>
    </row>
    <row r="611" spans="13:14" x14ac:dyDescent="0.35">
      <c r="M611" s="64" t="s">
        <v>935</v>
      </c>
      <c r="N611" s="61">
        <f>INDEX(Data!$9:$9,1,MATCH(M611,detail_table[#Headers],0))</f>
        <v>0</v>
      </c>
    </row>
    <row r="612" spans="13:14" x14ac:dyDescent="0.35">
      <c r="M612" s="64" t="s">
        <v>936</v>
      </c>
      <c r="N612" s="61">
        <f>INDEX(Data!$9:$9,1,MATCH(M612,detail_table[#Headers],0))</f>
        <v>0</v>
      </c>
    </row>
    <row r="613" spans="13:14" x14ac:dyDescent="0.35">
      <c r="M613" s="64" t="s">
        <v>937</v>
      </c>
      <c r="N613" s="61">
        <f>INDEX(Data!$9:$9,1,MATCH(M613,detail_table[#Headers],0))</f>
        <v>0</v>
      </c>
    </row>
    <row r="614" spans="13:14" x14ac:dyDescent="0.35">
      <c r="M614" s="64" t="s">
        <v>938</v>
      </c>
      <c r="N614" s="61">
        <f>INDEX(Data!$9:$9,1,MATCH(M614,detail_table[#Headers],0))</f>
        <v>0</v>
      </c>
    </row>
    <row r="615" spans="13:14" x14ac:dyDescent="0.35">
      <c r="M615" s="64" t="s">
        <v>939</v>
      </c>
      <c r="N615" s="61">
        <f>INDEX(Data!$9:$9,1,MATCH(M615,detail_table[#Headers],0))</f>
        <v>0</v>
      </c>
    </row>
    <row r="616" spans="13:14" x14ac:dyDescent="0.35">
      <c r="M616" s="64" t="s">
        <v>940</v>
      </c>
      <c r="N616" s="61">
        <f>INDEX(Data!$9:$9,1,MATCH(M616,detail_table[#Headers],0))</f>
        <v>0</v>
      </c>
    </row>
    <row r="617" spans="13:14" x14ac:dyDescent="0.35">
      <c r="M617" s="64" t="s">
        <v>941</v>
      </c>
      <c r="N617" s="61">
        <f>INDEX(Data!$9:$9,1,MATCH(M617,detail_table[#Headers],0))</f>
        <v>0</v>
      </c>
    </row>
    <row r="618" spans="13:14" x14ac:dyDescent="0.35">
      <c r="M618" s="64" t="s">
        <v>942</v>
      </c>
      <c r="N618" s="61">
        <f>INDEX(Data!$9:$9,1,MATCH(M618,detail_table[#Headers],0))</f>
        <v>0</v>
      </c>
    </row>
    <row r="619" spans="13:14" x14ac:dyDescent="0.35">
      <c r="M619" s="64" t="s">
        <v>943</v>
      </c>
      <c r="N619" s="61">
        <f>INDEX(Data!$9:$9,1,MATCH(M619,detail_table[#Headers],0))</f>
        <v>0</v>
      </c>
    </row>
    <row r="620" spans="13:14" x14ac:dyDescent="0.35">
      <c r="M620" s="64" t="s">
        <v>944</v>
      </c>
      <c r="N620" s="61">
        <f>INDEX(Data!$9:$9,1,MATCH(M620,detail_table[#Headers],0))</f>
        <v>0</v>
      </c>
    </row>
    <row r="621" spans="13:14" x14ac:dyDescent="0.35">
      <c r="M621" s="64" t="s">
        <v>945</v>
      </c>
      <c r="N621" s="61">
        <f>INDEX(Data!$9:$9,1,MATCH(M621,detail_table[#Headers],0))</f>
        <v>0</v>
      </c>
    </row>
    <row r="622" spans="13:14" x14ac:dyDescent="0.35">
      <c r="M622" s="64" t="s">
        <v>946</v>
      </c>
      <c r="N622" s="61">
        <f>INDEX(Data!$9:$9,1,MATCH(M622,detail_table[#Headers],0))</f>
        <v>0</v>
      </c>
    </row>
    <row r="623" spans="13:14" x14ac:dyDescent="0.35">
      <c r="M623" s="64" t="s">
        <v>947</v>
      </c>
      <c r="N623" s="61">
        <f>INDEX(Data!$9:$9,1,MATCH(M623,detail_table[#Headers],0))</f>
        <v>0</v>
      </c>
    </row>
    <row r="624" spans="13:14" x14ac:dyDescent="0.35">
      <c r="M624" s="64" t="s">
        <v>948</v>
      </c>
      <c r="N624" s="61">
        <f>INDEX(Data!$9:$9,1,MATCH(M624,detail_table[#Headers],0))</f>
        <v>0</v>
      </c>
    </row>
    <row r="625" spans="13:14" x14ac:dyDescent="0.35">
      <c r="M625" s="64" t="s">
        <v>949</v>
      </c>
      <c r="N625" s="61">
        <f>INDEX(Data!$9:$9,1,MATCH(M625,detail_table[#Headers],0))</f>
        <v>0</v>
      </c>
    </row>
    <row r="626" spans="13:14" x14ac:dyDescent="0.35">
      <c r="M626" s="64" t="s">
        <v>950</v>
      </c>
      <c r="N626" s="61">
        <f>INDEX(Data!$9:$9,1,MATCH(M626,detail_table[#Headers],0))</f>
        <v>0</v>
      </c>
    </row>
    <row r="627" spans="13:14" x14ac:dyDescent="0.35">
      <c r="M627" s="64" t="s">
        <v>951</v>
      </c>
      <c r="N627" s="61">
        <f>INDEX(Data!$9:$9,1,MATCH(M627,detail_table[#Headers],0))</f>
        <v>0</v>
      </c>
    </row>
    <row r="628" spans="13:14" x14ac:dyDescent="0.35">
      <c r="M628" s="64" t="s">
        <v>952</v>
      </c>
      <c r="N628" s="61">
        <f>INDEX(Data!$9:$9,1,MATCH(M628,detail_table[#Headers],0))</f>
        <v>0</v>
      </c>
    </row>
    <row r="629" spans="13:14" x14ac:dyDescent="0.35">
      <c r="M629" s="64" t="s">
        <v>953</v>
      </c>
      <c r="N629" s="61">
        <f>INDEX(Data!$9:$9,1,MATCH(M629,detail_table[#Headers],0))</f>
        <v>0</v>
      </c>
    </row>
    <row r="630" spans="13:14" x14ac:dyDescent="0.35">
      <c r="M630" s="64" t="s">
        <v>954</v>
      </c>
      <c r="N630" s="61">
        <f>INDEX(Data!$9:$9,1,MATCH(M630,detail_table[#Headers],0))</f>
        <v>0</v>
      </c>
    </row>
    <row r="631" spans="13:14" x14ac:dyDescent="0.35">
      <c r="M631" s="64" t="s">
        <v>955</v>
      </c>
      <c r="N631" s="61">
        <f>INDEX(Data!$9:$9,1,MATCH(M631,detail_table[#Headers],0))</f>
        <v>0</v>
      </c>
    </row>
    <row r="632" spans="13:14" x14ac:dyDescent="0.35">
      <c r="M632" s="64" t="s">
        <v>956</v>
      </c>
      <c r="N632" s="61">
        <f>INDEX(Data!$9:$9,1,MATCH(M632,detail_table[#Headers],0))</f>
        <v>0</v>
      </c>
    </row>
    <row r="633" spans="13:14" x14ac:dyDescent="0.35">
      <c r="M633" s="64" t="s">
        <v>957</v>
      </c>
      <c r="N633" s="61">
        <f>INDEX(Data!$9:$9,1,MATCH(M633,detail_table[#Headers],0))</f>
        <v>0</v>
      </c>
    </row>
    <row r="634" spans="13:14" x14ac:dyDescent="0.35">
      <c r="M634" s="64" t="s">
        <v>958</v>
      </c>
      <c r="N634" s="61">
        <f>INDEX(Data!$9:$9,1,MATCH(M634,detail_table[#Headers],0))</f>
        <v>0</v>
      </c>
    </row>
    <row r="635" spans="13:14" x14ac:dyDescent="0.35">
      <c r="M635" s="64" t="s">
        <v>959</v>
      </c>
      <c r="N635" s="61">
        <f>INDEX(Data!$9:$9,1,MATCH(M635,detail_table[#Headers],0))</f>
        <v>0</v>
      </c>
    </row>
    <row r="636" spans="13:14" x14ac:dyDescent="0.35">
      <c r="M636" s="64" t="s">
        <v>960</v>
      </c>
      <c r="N636" s="61">
        <f>INDEX(Data!$9:$9,1,MATCH(M636,detail_table[#Headers],0))</f>
        <v>0</v>
      </c>
    </row>
    <row r="637" spans="13:14" x14ac:dyDescent="0.35">
      <c r="M637" s="64" t="s">
        <v>961</v>
      </c>
      <c r="N637" s="61">
        <f>INDEX(Data!$9:$9,1,MATCH(M637,detail_table[#Headers],0))</f>
        <v>0</v>
      </c>
    </row>
    <row r="638" spans="13:14" x14ac:dyDescent="0.35">
      <c r="M638" s="64" t="s">
        <v>962</v>
      </c>
      <c r="N638" s="61">
        <f>INDEX(Data!$9:$9,1,MATCH(M638,detail_table[#Headers],0))</f>
        <v>0</v>
      </c>
    </row>
    <row r="639" spans="13:14" x14ac:dyDescent="0.35">
      <c r="M639" s="64" t="s">
        <v>963</v>
      </c>
      <c r="N639" s="61">
        <f>INDEX(Data!$9:$9,1,MATCH(M639,detail_table[#Headers],0))</f>
        <v>0</v>
      </c>
    </row>
    <row r="640" spans="13:14" x14ac:dyDescent="0.35">
      <c r="M640" s="64" t="s">
        <v>964</v>
      </c>
      <c r="N640" s="61">
        <f>INDEX(Data!$9:$9,1,MATCH(M640,detail_table[#Headers],0))</f>
        <v>0</v>
      </c>
    </row>
    <row r="641" spans="13:14" x14ac:dyDescent="0.35">
      <c r="M641" s="64" t="s">
        <v>965</v>
      </c>
      <c r="N641" s="61">
        <f>INDEX(Data!$9:$9,1,MATCH(M641,detail_table[#Headers],0))</f>
        <v>0</v>
      </c>
    </row>
    <row r="642" spans="13:14" x14ac:dyDescent="0.35">
      <c r="M642" s="64" t="s">
        <v>966</v>
      </c>
      <c r="N642" s="61">
        <f>INDEX(Data!$9:$9,1,MATCH(M642,detail_table[#Headers],0))</f>
        <v>0</v>
      </c>
    </row>
    <row r="643" spans="13:14" x14ac:dyDescent="0.35">
      <c r="M643" s="64" t="s">
        <v>967</v>
      </c>
      <c r="N643" s="61">
        <f>INDEX(Data!$9:$9,1,MATCH(M643,detail_table[#Headers],0))</f>
        <v>0</v>
      </c>
    </row>
    <row r="644" spans="13:14" x14ac:dyDescent="0.35">
      <c r="M644" s="64" t="s">
        <v>968</v>
      </c>
      <c r="N644" s="61">
        <f>INDEX(Data!$9:$9,1,MATCH(M644,detail_table[#Headers],0))</f>
        <v>0</v>
      </c>
    </row>
    <row r="645" spans="13:14" x14ac:dyDescent="0.35">
      <c r="M645" s="64" t="s">
        <v>969</v>
      </c>
      <c r="N645" s="61">
        <f>INDEX(Data!$9:$9,1,MATCH(M645,detail_table[#Headers],0))</f>
        <v>0</v>
      </c>
    </row>
    <row r="646" spans="13:14" x14ac:dyDescent="0.35">
      <c r="M646" s="64" t="s">
        <v>970</v>
      </c>
      <c r="N646" s="61">
        <f>INDEX(Data!$9:$9,1,MATCH(M646,detail_table[#Headers],0))</f>
        <v>0</v>
      </c>
    </row>
    <row r="647" spans="13:14" x14ac:dyDescent="0.35">
      <c r="M647" s="64" t="s">
        <v>971</v>
      </c>
      <c r="N647" s="61">
        <f>INDEX(Data!$9:$9,1,MATCH(M647,detail_table[#Headers],0))</f>
        <v>0</v>
      </c>
    </row>
    <row r="648" spans="13:14" x14ac:dyDescent="0.35">
      <c r="M648" s="64" t="s">
        <v>972</v>
      </c>
      <c r="N648" s="61">
        <f>INDEX(Data!$9:$9,1,MATCH(M648,detail_table[#Headers],0))</f>
        <v>0</v>
      </c>
    </row>
    <row r="649" spans="13:14" x14ac:dyDescent="0.35">
      <c r="M649" s="64" t="s">
        <v>973</v>
      </c>
      <c r="N649" s="61">
        <f>INDEX(Data!$9:$9,1,MATCH(M649,detail_table[#Headers],0))</f>
        <v>0</v>
      </c>
    </row>
    <row r="650" spans="13:14" x14ac:dyDescent="0.35">
      <c r="M650" s="64" t="s">
        <v>974</v>
      </c>
      <c r="N650" s="61">
        <f>INDEX(Data!$9:$9,1,MATCH(M650,detail_table[#Headers],0))</f>
        <v>0</v>
      </c>
    </row>
    <row r="651" spans="13:14" x14ac:dyDescent="0.35">
      <c r="M651" s="64" t="s">
        <v>975</v>
      </c>
      <c r="N651" s="61">
        <f>INDEX(Data!$9:$9,1,MATCH(M651,detail_table[#Headers],0))</f>
        <v>0</v>
      </c>
    </row>
    <row r="652" spans="13:14" x14ac:dyDescent="0.35">
      <c r="M652" s="64" t="s">
        <v>976</v>
      </c>
      <c r="N652" s="61">
        <f>INDEX(Data!$9:$9,1,MATCH(M652,detail_table[#Headers],0))</f>
        <v>0</v>
      </c>
    </row>
    <row r="653" spans="13:14" x14ac:dyDescent="0.35">
      <c r="M653" s="64" t="s">
        <v>977</v>
      </c>
      <c r="N653" s="61">
        <f>INDEX(Data!$9:$9,1,MATCH(M653,detail_table[#Headers],0))</f>
        <v>0</v>
      </c>
    </row>
    <row r="654" spans="13:14" x14ac:dyDescent="0.35">
      <c r="M654" s="64" t="s">
        <v>978</v>
      </c>
      <c r="N654" s="61">
        <f>INDEX(Data!$9:$9,1,MATCH(M654,detail_table[#Headers],0))</f>
        <v>0</v>
      </c>
    </row>
    <row r="655" spans="13:14" x14ac:dyDescent="0.35">
      <c r="M655" s="64" t="s">
        <v>979</v>
      </c>
      <c r="N655" s="61">
        <f>INDEX(Data!$9:$9,1,MATCH(M655,detail_table[#Headers],0))</f>
        <v>0</v>
      </c>
    </row>
    <row r="656" spans="13:14" x14ac:dyDescent="0.35">
      <c r="M656" s="64" t="s">
        <v>980</v>
      </c>
      <c r="N656" s="61">
        <f>INDEX(Data!$9:$9,1,MATCH(M656,detail_table[#Headers],0))</f>
        <v>0</v>
      </c>
    </row>
    <row r="657" spans="13:14" x14ac:dyDescent="0.35">
      <c r="M657" s="64" t="s">
        <v>981</v>
      </c>
      <c r="N657" s="61">
        <f>INDEX(Data!$9:$9,1,MATCH(M657,detail_table[#Headers],0))</f>
        <v>0</v>
      </c>
    </row>
    <row r="658" spans="13:14" x14ac:dyDescent="0.35">
      <c r="M658" s="64" t="s">
        <v>982</v>
      </c>
      <c r="N658" s="61">
        <f>INDEX(Data!$9:$9,1,MATCH(M658,detail_table[#Headers],0))</f>
        <v>0</v>
      </c>
    </row>
    <row r="659" spans="13:14" x14ac:dyDescent="0.35">
      <c r="M659" s="64" t="s">
        <v>983</v>
      </c>
      <c r="N659" s="61">
        <f>INDEX(Data!$9:$9,1,MATCH(M659,detail_table[#Headers],0))</f>
        <v>0</v>
      </c>
    </row>
    <row r="660" spans="13:14" x14ac:dyDescent="0.35">
      <c r="M660" s="64" t="s">
        <v>984</v>
      </c>
      <c r="N660" s="61">
        <f>INDEX(Data!$9:$9,1,MATCH(M660,detail_table[#Headers],0))</f>
        <v>0</v>
      </c>
    </row>
    <row r="661" spans="13:14" x14ac:dyDescent="0.35">
      <c r="M661" s="64" t="s">
        <v>985</v>
      </c>
      <c r="N661" s="61">
        <f>INDEX(Data!$9:$9,1,MATCH(M661,detail_table[#Headers],0))</f>
        <v>0</v>
      </c>
    </row>
    <row r="662" spans="13:14" x14ac:dyDescent="0.35">
      <c r="M662" s="64" t="s">
        <v>986</v>
      </c>
      <c r="N662" s="61">
        <f>INDEX(Data!$9:$9,1,MATCH(M662,detail_table[#Headers],0))</f>
        <v>0</v>
      </c>
    </row>
    <row r="663" spans="13:14" x14ac:dyDescent="0.35">
      <c r="M663" s="64" t="s">
        <v>987</v>
      </c>
      <c r="N663" s="61">
        <f>INDEX(Data!$9:$9,1,MATCH(M663,detail_table[#Headers],0))</f>
        <v>0</v>
      </c>
    </row>
    <row r="664" spans="13:14" x14ac:dyDescent="0.35">
      <c r="M664" s="64" t="s">
        <v>988</v>
      </c>
      <c r="N664" s="61">
        <f>INDEX(Data!$9:$9,1,MATCH(M664,detail_table[#Headers],0))</f>
        <v>0</v>
      </c>
    </row>
    <row r="665" spans="13:14" x14ac:dyDescent="0.35">
      <c r="M665" s="64" t="s">
        <v>989</v>
      </c>
      <c r="N665" s="61">
        <f>INDEX(Data!$9:$9,1,MATCH(M665,detail_table[#Headers],0))</f>
        <v>0</v>
      </c>
    </row>
    <row r="666" spans="13:14" x14ac:dyDescent="0.35">
      <c r="M666" s="64" t="s">
        <v>990</v>
      </c>
      <c r="N666" s="61">
        <f>INDEX(Data!$9:$9,1,MATCH(M666,detail_table[#Headers],0))</f>
        <v>0</v>
      </c>
    </row>
    <row r="667" spans="13:14" x14ac:dyDescent="0.35">
      <c r="M667" s="64" t="s">
        <v>991</v>
      </c>
      <c r="N667" s="61">
        <f>INDEX(Data!$9:$9,1,MATCH(M667,detail_table[#Headers],0))</f>
        <v>0</v>
      </c>
    </row>
    <row r="668" spans="13:14" x14ac:dyDescent="0.35">
      <c r="M668" s="64" t="s">
        <v>992</v>
      </c>
      <c r="N668" s="61">
        <f>INDEX(Data!$9:$9,1,MATCH(M668,detail_table[#Headers],0))</f>
        <v>0</v>
      </c>
    </row>
    <row r="669" spans="13:14" x14ac:dyDescent="0.35">
      <c r="M669" s="64" t="s">
        <v>993</v>
      </c>
      <c r="N669" s="61">
        <f>INDEX(Data!$9:$9,1,MATCH(M669,detail_table[#Headers],0))</f>
        <v>0</v>
      </c>
    </row>
    <row r="670" spans="13:14" x14ac:dyDescent="0.35">
      <c r="M670" s="64" t="s">
        <v>994</v>
      </c>
      <c r="N670" s="61">
        <f>INDEX(Data!$9:$9,1,MATCH(M670,detail_table[#Headers],0))</f>
        <v>0</v>
      </c>
    </row>
    <row r="671" spans="13:14" x14ac:dyDescent="0.35">
      <c r="M671" s="64" t="s">
        <v>995</v>
      </c>
      <c r="N671" s="61">
        <f>INDEX(Data!$9:$9,1,MATCH(M671,detail_table[#Headers],0))</f>
        <v>0</v>
      </c>
    </row>
    <row r="672" spans="13:14" x14ac:dyDescent="0.35">
      <c r="M672" s="64" t="s">
        <v>996</v>
      </c>
      <c r="N672" s="61">
        <f>INDEX(Data!$9:$9,1,MATCH(M672,detail_table[#Headers],0))</f>
        <v>0</v>
      </c>
    </row>
    <row r="673" spans="13:14" x14ac:dyDescent="0.35">
      <c r="M673" s="64" t="s">
        <v>997</v>
      </c>
      <c r="N673" s="61">
        <f>INDEX(Data!$9:$9,1,MATCH(M673,detail_table[#Headers],0))</f>
        <v>0</v>
      </c>
    </row>
    <row r="674" spans="13:14" x14ac:dyDescent="0.35">
      <c r="M674" s="64" t="s">
        <v>998</v>
      </c>
      <c r="N674" s="61">
        <f>INDEX(Data!$9:$9,1,MATCH(M674,detail_table[#Headers],0))</f>
        <v>0</v>
      </c>
    </row>
    <row r="675" spans="13:14" x14ac:dyDescent="0.35">
      <c r="M675" s="64" t="s">
        <v>999</v>
      </c>
      <c r="N675" s="61">
        <f>INDEX(Data!$9:$9,1,MATCH(M675,detail_table[#Headers],0))</f>
        <v>0</v>
      </c>
    </row>
    <row r="676" spans="13:14" x14ac:dyDescent="0.35">
      <c r="M676" s="64" t="s">
        <v>1000</v>
      </c>
      <c r="N676" s="61">
        <f>INDEX(Data!$9:$9,1,MATCH(M676,detail_table[#Headers],0))</f>
        <v>0</v>
      </c>
    </row>
    <row r="677" spans="13:14" x14ac:dyDescent="0.35">
      <c r="M677" s="64" t="s">
        <v>1001</v>
      </c>
      <c r="N677" s="61">
        <f>INDEX(Data!$9:$9,1,MATCH(M677,detail_table[#Headers],0))</f>
        <v>0</v>
      </c>
    </row>
    <row r="678" spans="13:14" x14ac:dyDescent="0.35">
      <c r="M678" s="64" t="s">
        <v>1002</v>
      </c>
      <c r="N678" s="61">
        <f>INDEX(Data!$9:$9,1,MATCH(M678,detail_table[#Headers],0))</f>
        <v>0</v>
      </c>
    </row>
    <row r="679" spans="13:14" x14ac:dyDescent="0.35">
      <c r="M679" s="64" t="s">
        <v>1003</v>
      </c>
      <c r="N679" s="61">
        <f>INDEX(Data!$9:$9,1,MATCH(M679,detail_table[#Headers],0))</f>
        <v>0</v>
      </c>
    </row>
    <row r="680" spans="13:14" x14ac:dyDescent="0.35">
      <c r="M680" s="64" t="s">
        <v>1004</v>
      </c>
      <c r="N680" s="61">
        <f>INDEX(Data!$9:$9,1,MATCH(M680,detail_table[#Headers],0))</f>
        <v>0</v>
      </c>
    </row>
    <row r="681" spans="13:14" x14ac:dyDescent="0.35">
      <c r="M681" s="64" t="s">
        <v>1005</v>
      </c>
      <c r="N681" s="61">
        <f>INDEX(Data!$9:$9,1,MATCH(M681,detail_table[#Headers],0))</f>
        <v>0</v>
      </c>
    </row>
    <row r="682" spans="13:14" x14ac:dyDescent="0.35">
      <c r="M682" s="64" t="s">
        <v>1006</v>
      </c>
      <c r="N682" s="61">
        <f>INDEX(Data!$9:$9,1,MATCH(M682,detail_table[#Headers],0))</f>
        <v>0</v>
      </c>
    </row>
    <row r="683" spans="13:14" x14ac:dyDescent="0.35">
      <c r="M683" s="64" t="s">
        <v>1007</v>
      </c>
      <c r="N683" s="61">
        <f>INDEX(Data!$9:$9,1,MATCH(M683,detail_table[#Headers],0))</f>
        <v>0</v>
      </c>
    </row>
    <row r="684" spans="13:14" x14ac:dyDescent="0.35">
      <c r="M684" s="64" t="s">
        <v>1008</v>
      </c>
      <c r="N684" s="61">
        <f>INDEX(Data!$9:$9,1,MATCH(M684,detail_table[#Headers],0))</f>
        <v>0</v>
      </c>
    </row>
    <row r="685" spans="13:14" x14ac:dyDescent="0.35">
      <c r="M685" s="64" t="s">
        <v>1009</v>
      </c>
      <c r="N685" s="61">
        <f>INDEX(Data!$9:$9,1,MATCH(M685,detail_table[#Headers],0))</f>
        <v>0</v>
      </c>
    </row>
    <row r="686" spans="13:14" x14ac:dyDescent="0.35">
      <c r="M686" s="64" t="s">
        <v>1010</v>
      </c>
      <c r="N686" s="61">
        <f>INDEX(Data!$9:$9,1,MATCH(M686,detail_table[#Headers],0))</f>
        <v>0</v>
      </c>
    </row>
    <row r="687" spans="13:14" x14ac:dyDescent="0.35">
      <c r="M687" s="64" t="s">
        <v>1011</v>
      </c>
      <c r="N687" s="61">
        <f>INDEX(Data!$9:$9,1,MATCH(M687,detail_table[#Headers],0))</f>
        <v>0</v>
      </c>
    </row>
    <row r="688" spans="13:14" x14ac:dyDescent="0.35">
      <c r="M688" s="64" t="s">
        <v>1012</v>
      </c>
      <c r="N688" s="61">
        <f>INDEX(Data!$9:$9,1,MATCH(M688,detail_table[#Headers],0))</f>
        <v>0</v>
      </c>
    </row>
    <row r="689" spans="13:14" x14ac:dyDescent="0.35">
      <c r="M689" s="64" t="s">
        <v>2465</v>
      </c>
      <c r="N689" s="61">
        <f>INDEX(Data!$9:$9,1,MATCH(M689,detail_table[#Headers],0))</f>
        <v>0</v>
      </c>
    </row>
    <row r="690" spans="13:14" x14ac:dyDescent="0.35">
      <c r="M690" s="64" t="s">
        <v>2466</v>
      </c>
      <c r="N690" s="61">
        <f>INDEX(Data!$9:$9,1,MATCH(M690,detail_table[#Headers],0))</f>
        <v>0</v>
      </c>
    </row>
    <row r="691" spans="13:14" x14ac:dyDescent="0.35">
      <c r="M691" s="64" t="s">
        <v>2467</v>
      </c>
      <c r="N691" s="61">
        <f>INDEX(Data!$9:$9,1,MATCH(M691,detail_table[#Headers],0))</f>
        <v>0</v>
      </c>
    </row>
    <row r="692" spans="13:14" x14ac:dyDescent="0.35">
      <c r="M692" s="64" t="s">
        <v>2468</v>
      </c>
      <c r="N692" s="61">
        <f>INDEX(Data!$9:$9,1,MATCH(M692,detail_table[#Headers],0))</f>
        <v>0</v>
      </c>
    </row>
    <row r="693" spans="13:14" x14ac:dyDescent="0.35">
      <c r="M693" s="64" t="s">
        <v>2469</v>
      </c>
      <c r="N693" s="61">
        <f>INDEX(Data!$9:$9,1,MATCH(M693,detail_table[#Headers],0))</f>
        <v>0</v>
      </c>
    </row>
    <row r="694" spans="13:14" x14ac:dyDescent="0.35">
      <c r="M694" s="64" t="s">
        <v>1013</v>
      </c>
      <c r="N694" s="61">
        <f>INDEX(Data!$9:$9,1,MATCH(M694,detail_table[#Headers],0))</f>
        <v>0</v>
      </c>
    </row>
    <row r="695" spans="13:14" x14ac:dyDescent="0.35">
      <c r="M695" s="64" t="s">
        <v>1014</v>
      </c>
      <c r="N695" s="61">
        <f>INDEX(Data!$9:$9,1,MATCH(M695,detail_table[#Headers],0))</f>
        <v>0</v>
      </c>
    </row>
    <row r="696" spans="13:14" x14ac:dyDescent="0.35">
      <c r="M696" s="64" t="s">
        <v>1015</v>
      </c>
      <c r="N696" s="61">
        <f>INDEX(Data!$9:$9,1,MATCH(M696,detail_table[#Headers],0))</f>
        <v>0</v>
      </c>
    </row>
    <row r="697" spans="13:14" x14ac:dyDescent="0.35">
      <c r="M697" s="64" t="s">
        <v>1016</v>
      </c>
      <c r="N697" s="61">
        <f>INDEX(Data!$9:$9,1,MATCH(M697,detail_table[#Headers],0))</f>
        <v>0</v>
      </c>
    </row>
    <row r="698" spans="13:14" x14ac:dyDescent="0.35">
      <c r="M698" s="64" t="s">
        <v>1017</v>
      </c>
      <c r="N698" s="61">
        <f>INDEX(Data!$9:$9,1,MATCH(M698,detail_table[#Headers],0))</f>
        <v>0</v>
      </c>
    </row>
    <row r="699" spans="13:14" x14ac:dyDescent="0.35">
      <c r="M699" s="64" t="s">
        <v>1018</v>
      </c>
      <c r="N699" s="61">
        <f>INDEX(Data!$9:$9,1,MATCH(M699,detail_table[#Headers],0))</f>
        <v>0</v>
      </c>
    </row>
    <row r="700" spans="13:14" x14ac:dyDescent="0.35">
      <c r="M700" s="64" t="s">
        <v>1019</v>
      </c>
      <c r="N700" s="61">
        <f>INDEX(Data!$9:$9,1,MATCH(M700,detail_table[#Headers],0))</f>
        <v>0</v>
      </c>
    </row>
    <row r="701" spans="13:14" x14ac:dyDescent="0.35">
      <c r="M701" s="64" t="s">
        <v>1020</v>
      </c>
      <c r="N701" s="61">
        <f>INDEX(Data!$9:$9,1,MATCH(M701,detail_table[#Headers],0))</f>
        <v>0</v>
      </c>
    </row>
    <row r="702" spans="13:14" x14ac:dyDescent="0.35">
      <c r="M702" s="64" t="s">
        <v>1021</v>
      </c>
      <c r="N702" s="61">
        <f>INDEX(Data!$9:$9,1,MATCH(M702,detail_table[#Headers],0))</f>
        <v>0</v>
      </c>
    </row>
    <row r="703" spans="13:14" x14ac:dyDescent="0.35">
      <c r="M703" s="64" t="s">
        <v>1022</v>
      </c>
      <c r="N703" s="61">
        <f>INDEX(Data!$9:$9,1,MATCH(M703,detail_table[#Headers],0))</f>
        <v>0</v>
      </c>
    </row>
    <row r="704" spans="13:14" x14ac:dyDescent="0.35">
      <c r="M704" s="64" t="s">
        <v>1023</v>
      </c>
      <c r="N704" s="61">
        <f>INDEX(Data!$9:$9,1,MATCH(M704,detail_table[#Headers],0))</f>
        <v>0</v>
      </c>
    </row>
    <row r="705" spans="13:14" x14ac:dyDescent="0.35">
      <c r="M705" s="64" t="s">
        <v>1024</v>
      </c>
      <c r="N705" s="61">
        <f>INDEX(Data!$9:$9,1,MATCH(M705,detail_table[#Headers],0))</f>
        <v>0</v>
      </c>
    </row>
    <row r="706" spans="13:14" x14ac:dyDescent="0.35">
      <c r="M706" s="64" t="s">
        <v>1025</v>
      </c>
      <c r="N706" s="61">
        <f>INDEX(Data!$9:$9,1,MATCH(M706,detail_table[#Headers],0))</f>
        <v>0</v>
      </c>
    </row>
    <row r="707" spans="13:14" x14ac:dyDescent="0.35">
      <c r="M707" s="64" t="s">
        <v>1026</v>
      </c>
      <c r="N707" s="61">
        <f>INDEX(Data!$9:$9,1,MATCH(M707,detail_table[#Headers],0))</f>
        <v>0</v>
      </c>
    </row>
    <row r="708" spans="13:14" x14ac:dyDescent="0.35">
      <c r="M708" s="64" t="s">
        <v>1027</v>
      </c>
      <c r="N708" s="61">
        <f>INDEX(Data!$9:$9,1,MATCH(M708,detail_table[#Headers],0))</f>
        <v>0</v>
      </c>
    </row>
    <row r="709" spans="13:14" x14ac:dyDescent="0.35">
      <c r="M709" s="64" t="s">
        <v>1028</v>
      </c>
      <c r="N709" s="61">
        <f>INDEX(Data!$9:$9,1,MATCH(M709,detail_table[#Headers],0))</f>
        <v>0</v>
      </c>
    </row>
    <row r="710" spans="13:14" x14ac:dyDescent="0.35">
      <c r="M710" s="64" t="s">
        <v>1029</v>
      </c>
      <c r="N710" s="61">
        <f>INDEX(Data!$9:$9,1,MATCH(M710,detail_table[#Headers],0))</f>
        <v>0</v>
      </c>
    </row>
    <row r="711" spans="13:14" x14ac:dyDescent="0.35">
      <c r="M711" s="64" t="s">
        <v>1030</v>
      </c>
      <c r="N711" s="61">
        <f>INDEX(Data!$9:$9,1,MATCH(M711,detail_table[#Headers],0))</f>
        <v>0</v>
      </c>
    </row>
    <row r="712" spans="13:14" x14ac:dyDescent="0.35">
      <c r="M712" s="64" t="s">
        <v>1031</v>
      </c>
      <c r="N712" s="61">
        <f>INDEX(Data!$9:$9,1,MATCH(M712,detail_table[#Headers],0))</f>
        <v>0</v>
      </c>
    </row>
    <row r="713" spans="13:14" x14ac:dyDescent="0.35">
      <c r="M713" s="64" t="s">
        <v>1032</v>
      </c>
      <c r="N713" s="61">
        <f>INDEX(Data!$9:$9,1,MATCH(M713,detail_table[#Headers],0))</f>
        <v>0</v>
      </c>
    </row>
    <row r="714" spans="13:14" x14ac:dyDescent="0.35">
      <c r="M714" s="64" t="s">
        <v>1962</v>
      </c>
      <c r="N714" s="61">
        <f>INDEX(Data!$9:$9,1,MATCH(M714,detail_table[#Headers],0))</f>
        <v>0</v>
      </c>
    </row>
    <row r="715" spans="13:14" x14ac:dyDescent="0.35">
      <c r="M715" s="64" t="s">
        <v>1963</v>
      </c>
      <c r="N715" s="61">
        <f>INDEX(Data!$9:$9,1,MATCH(M715,detail_table[#Headers],0))</f>
        <v>0</v>
      </c>
    </row>
    <row r="716" spans="13:14" x14ac:dyDescent="0.35">
      <c r="M716" s="64" t="s">
        <v>1964</v>
      </c>
      <c r="N716" s="61">
        <f>INDEX(Data!$9:$9,1,MATCH(M716,detail_table[#Headers],0))</f>
        <v>0</v>
      </c>
    </row>
    <row r="717" spans="13:14" x14ac:dyDescent="0.35">
      <c r="M717" s="64" t="s">
        <v>1965</v>
      </c>
      <c r="N717" s="61">
        <f>INDEX(Data!$9:$9,1,MATCH(M717,detail_table[#Headers],0))</f>
        <v>0</v>
      </c>
    </row>
    <row r="718" spans="13:14" x14ac:dyDescent="0.35">
      <c r="M718" s="64" t="s">
        <v>1966</v>
      </c>
      <c r="N718" s="61">
        <f>INDEX(Data!$9:$9,1,MATCH(M718,detail_table[#Headers],0))</f>
        <v>0</v>
      </c>
    </row>
    <row r="719" spans="13:14" x14ac:dyDescent="0.35">
      <c r="M719" s="64" t="s">
        <v>1033</v>
      </c>
      <c r="N719" s="61">
        <f>INDEX(Data!$9:$9,1,MATCH(M719,detail_table[#Headers],0))</f>
        <v>0</v>
      </c>
    </row>
    <row r="720" spans="13:14" x14ac:dyDescent="0.35">
      <c r="M720" s="64" t="s">
        <v>1034</v>
      </c>
      <c r="N720" s="61">
        <f>INDEX(Data!$9:$9,1,MATCH(M720,detail_table[#Headers],0))</f>
        <v>0</v>
      </c>
    </row>
    <row r="721" spans="13:14" x14ac:dyDescent="0.35">
      <c r="M721" s="64" t="s">
        <v>1035</v>
      </c>
      <c r="N721" s="61">
        <f>INDEX(Data!$9:$9,1,MATCH(M721,detail_table[#Headers],0))</f>
        <v>0</v>
      </c>
    </row>
    <row r="722" spans="13:14" x14ac:dyDescent="0.35">
      <c r="M722" s="64" t="s">
        <v>1036</v>
      </c>
      <c r="N722" s="61">
        <f>INDEX(Data!$9:$9,1,MATCH(M722,detail_table[#Headers],0))</f>
        <v>0</v>
      </c>
    </row>
    <row r="723" spans="13:14" x14ac:dyDescent="0.35">
      <c r="M723" s="64" t="s">
        <v>1037</v>
      </c>
      <c r="N723" s="61">
        <f>INDEX(Data!$9:$9,1,MATCH(M723,detail_table[#Headers],0))</f>
        <v>0</v>
      </c>
    </row>
    <row r="724" spans="13:14" x14ac:dyDescent="0.35">
      <c r="M724" s="64" t="s">
        <v>1038</v>
      </c>
      <c r="N724" s="61">
        <f>INDEX(Data!$9:$9,1,MATCH(M724,detail_table[#Headers],0))</f>
        <v>0</v>
      </c>
    </row>
    <row r="725" spans="13:14" x14ac:dyDescent="0.35">
      <c r="M725" s="64" t="s">
        <v>1039</v>
      </c>
      <c r="N725" s="61">
        <f>INDEX(Data!$9:$9,1,MATCH(M725,detail_table[#Headers],0))</f>
        <v>0</v>
      </c>
    </row>
    <row r="726" spans="13:14" x14ac:dyDescent="0.35">
      <c r="M726" s="64" t="s">
        <v>1040</v>
      </c>
      <c r="N726" s="61">
        <f>INDEX(Data!$9:$9,1,MATCH(M726,detail_table[#Headers],0))</f>
        <v>0</v>
      </c>
    </row>
    <row r="727" spans="13:14" x14ac:dyDescent="0.35">
      <c r="M727" s="64" t="s">
        <v>1041</v>
      </c>
      <c r="N727" s="61">
        <f>INDEX(Data!$9:$9,1,MATCH(M727,detail_table[#Headers],0))</f>
        <v>0</v>
      </c>
    </row>
    <row r="728" spans="13:14" x14ac:dyDescent="0.35">
      <c r="M728" s="64" t="s">
        <v>1042</v>
      </c>
      <c r="N728" s="61">
        <f>INDEX(Data!$9:$9,1,MATCH(M728,detail_table[#Headers],0))</f>
        <v>0</v>
      </c>
    </row>
    <row r="729" spans="13:14" x14ac:dyDescent="0.35">
      <c r="M729" s="64" t="s">
        <v>1968</v>
      </c>
      <c r="N729" s="61">
        <f>INDEX(Data!$9:$9,1,MATCH(M729,detail_table[#Headers],0))</f>
        <v>0</v>
      </c>
    </row>
    <row r="730" spans="13:14" x14ac:dyDescent="0.35">
      <c r="M730" s="64" t="s">
        <v>1969</v>
      </c>
      <c r="N730" s="61">
        <f>INDEX(Data!$9:$9,1,MATCH(M730,detail_table[#Headers],0))</f>
        <v>0</v>
      </c>
    </row>
    <row r="731" spans="13:14" x14ac:dyDescent="0.35">
      <c r="M731" s="64" t="s">
        <v>1970</v>
      </c>
      <c r="N731" s="61">
        <f>INDEX(Data!$9:$9,1,MATCH(M731,detail_table[#Headers],0))</f>
        <v>0</v>
      </c>
    </row>
    <row r="732" spans="13:14" x14ac:dyDescent="0.35">
      <c r="M732" s="64" t="s">
        <v>1971</v>
      </c>
      <c r="N732" s="61">
        <f>INDEX(Data!$9:$9,1,MATCH(M732,detail_table[#Headers],0))</f>
        <v>0</v>
      </c>
    </row>
    <row r="733" spans="13:14" x14ac:dyDescent="0.35">
      <c r="M733" s="64" t="s">
        <v>1972</v>
      </c>
      <c r="N733" s="61">
        <f>INDEX(Data!$9:$9,1,MATCH(M733,detail_table[#Headers],0))</f>
        <v>0</v>
      </c>
    </row>
    <row r="734" spans="13:14" x14ac:dyDescent="0.35">
      <c r="M734" s="64" t="s">
        <v>1973</v>
      </c>
      <c r="N734" s="61">
        <f>INDEX(Data!$9:$9,1,MATCH(M734,detail_table[#Headers],0))</f>
        <v>0</v>
      </c>
    </row>
    <row r="735" spans="13:14" x14ac:dyDescent="0.35">
      <c r="M735" s="64" t="s">
        <v>1974</v>
      </c>
      <c r="N735" s="61">
        <f>INDEX(Data!$9:$9,1,MATCH(M735,detail_table[#Headers],0))</f>
        <v>0</v>
      </c>
    </row>
    <row r="736" spans="13:14" x14ac:dyDescent="0.35">
      <c r="M736" s="64" t="s">
        <v>1975</v>
      </c>
      <c r="N736" s="61">
        <f>INDEX(Data!$9:$9,1,MATCH(M736,detail_table[#Headers],0))</f>
        <v>0</v>
      </c>
    </row>
    <row r="737" spans="13:14" x14ac:dyDescent="0.35">
      <c r="M737" s="64" t="s">
        <v>1976</v>
      </c>
      <c r="N737" s="61">
        <f>INDEX(Data!$9:$9,1,MATCH(M737,detail_table[#Headers],0))</f>
        <v>0</v>
      </c>
    </row>
    <row r="738" spans="13:14" x14ac:dyDescent="0.35">
      <c r="M738" s="64" t="s">
        <v>1977</v>
      </c>
      <c r="N738" s="61">
        <f>INDEX(Data!$9:$9,1,MATCH(M738,detail_table[#Headers],0))</f>
        <v>0</v>
      </c>
    </row>
    <row r="739" spans="13:14" x14ac:dyDescent="0.35">
      <c r="M739" s="64" t="s">
        <v>1978</v>
      </c>
      <c r="N739" s="61">
        <f>INDEX(Data!$9:$9,1,MATCH(M739,detail_table[#Headers],0))</f>
        <v>0</v>
      </c>
    </row>
    <row r="740" spans="13:14" x14ac:dyDescent="0.35">
      <c r="M740" s="64" t="s">
        <v>1979</v>
      </c>
      <c r="N740" s="61">
        <f>INDEX(Data!$9:$9,1,MATCH(M740,detail_table[#Headers],0))</f>
        <v>0</v>
      </c>
    </row>
    <row r="741" spans="13:14" x14ac:dyDescent="0.35">
      <c r="M741" s="64" t="s">
        <v>1980</v>
      </c>
      <c r="N741" s="61">
        <f>INDEX(Data!$9:$9,1,MATCH(M741,detail_table[#Headers],0))</f>
        <v>0</v>
      </c>
    </row>
    <row r="742" spans="13:14" x14ac:dyDescent="0.35">
      <c r="M742" s="64" t="s">
        <v>1992</v>
      </c>
      <c r="N742" s="61">
        <f>INDEX(Data!$9:$9,1,MATCH(M742,detail_table[#Headers],0))</f>
        <v>0</v>
      </c>
    </row>
    <row r="743" spans="13:14" x14ac:dyDescent="0.35">
      <c r="M743" s="64" t="s">
        <v>1981</v>
      </c>
      <c r="N743" s="61">
        <f>INDEX(Data!$9:$9,1,MATCH(M743,detail_table[#Headers],0))</f>
        <v>0</v>
      </c>
    </row>
    <row r="744" spans="13:14" x14ac:dyDescent="0.35">
      <c r="M744" s="64" t="s">
        <v>1982</v>
      </c>
      <c r="N744" s="61">
        <f>INDEX(Data!$9:$9,1,MATCH(M744,detail_table[#Headers],0))</f>
        <v>0</v>
      </c>
    </row>
    <row r="745" spans="13:14" x14ac:dyDescent="0.35">
      <c r="M745" s="64" t="s">
        <v>1983</v>
      </c>
      <c r="N745" s="61">
        <f>INDEX(Data!$9:$9,1,MATCH(M745,detail_table[#Headers],0))</f>
        <v>0</v>
      </c>
    </row>
    <row r="746" spans="13:14" x14ac:dyDescent="0.35">
      <c r="M746" s="64" t="s">
        <v>1984</v>
      </c>
      <c r="N746" s="61">
        <f>INDEX(Data!$9:$9,1,MATCH(M746,detail_table[#Headers],0))</f>
        <v>0</v>
      </c>
    </row>
    <row r="747" spans="13:14" x14ac:dyDescent="0.35">
      <c r="M747" s="64" t="s">
        <v>1985</v>
      </c>
      <c r="N747" s="61">
        <f>INDEX(Data!$9:$9,1,MATCH(M747,detail_table[#Headers],0))</f>
        <v>0</v>
      </c>
    </row>
    <row r="748" spans="13:14" x14ac:dyDescent="0.35">
      <c r="M748" s="64" t="s">
        <v>1986</v>
      </c>
      <c r="N748" s="61">
        <f>INDEX(Data!$9:$9,1,MATCH(M748,detail_table[#Headers],0))</f>
        <v>0</v>
      </c>
    </row>
    <row r="749" spans="13:14" x14ac:dyDescent="0.35">
      <c r="M749" s="64" t="s">
        <v>1987</v>
      </c>
      <c r="N749" s="61">
        <f>INDEX(Data!$9:$9,1,MATCH(M749,detail_table[#Headers],0))</f>
        <v>0</v>
      </c>
    </row>
    <row r="750" spans="13:14" x14ac:dyDescent="0.35">
      <c r="M750" s="64" t="s">
        <v>1988</v>
      </c>
      <c r="N750" s="61">
        <f>INDEX(Data!$9:$9,1,MATCH(M750,detail_table[#Headers],0))</f>
        <v>0</v>
      </c>
    </row>
    <row r="751" spans="13:14" x14ac:dyDescent="0.35">
      <c r="M751" s="64" t="s">
        <v>1989</v>
      </c>
      <c r="N751" s="61">
        <f>INDEX(Data!$9:$9,1,MATCH(M751,detail_table[#Headers],0))</f>
        <v>0</v>
      </c>
    </row>
    <row r="752" spans="13:14" x14ac:dyDescent="0.35">
      <c r="M752" s="64" t="s">
        <v>1990</v>
      </c>
      <c r="N752" s="61">
        <f>INDEX(Data!$9:$9,1,MATCH(M752,detail_table[#Headers],0))</f>
        <v>0</v>
      </c>
    </row>
    <row r="753" spans="13:14" x14ac:dyDescent="0.35">
      <c r="M753" s="64" t="s">
        <v>1991</v>
      </c>
      <c r="N753" s="61">
        <f>INDEX(Data!$9:$9,1,MATCH(M753,detail_table[#Headers],0))</f>
        <v>0</v>
      </c>
    </row>
    <row r="754" spans="13:14" x14ac:dyDescent="0.35">
      <c r="M754" s="64" t="s">
        <v>1043</v>
      </c>
      <c r="N754" s="61">
        <f>INDEX(Data!$9:$9,1,MATCH(M754,detail_table[#Headers],0))</f>
        <v>0</v>
      </c>
    </row>
    <row r="755" spans="13:14" x14ac:dyDescent="0.35">
      <c r="M755" s="64" t="s">
        <v>1044</v>
      </c>
      <c r="N755" s="61">
        <f>INDEX(Data!$9:$9,1,MATCH(M755,detail_table[#Headers],0))</f>
        <v>0</v>
      </c>
    </row>
    <row r="756" spans="13:14" x14ac:dyDescent="0.35">
      <c r="M756" s="64" t="s">
        <v>1045</v>
      </c>
      <c r="N756" s="61">
        <f>INDEX(Data!$9:$9,1,MATCH(M756,detail_table[#Headers],0))</f>
        <v>0</v>
      </c>
    </row>
    <row r="757" spans="13:14" x14ac:dyDescent="0.35">
      <c r="M757" s="64" t="s">
        <v>1046</v>
      </c>
      <c r="N757" s="61">
        <f>INDEX(Data!$9:$9,1,MATCH(M757,detail_table[#Headers],0))</f>
        <v>0</v>
      </c>
    </row>
    <row r="758" spans="13:14" x14ac:dyDescent="0.35">
      <c r="M758" s="64" t="s">
        <v>1047</v>
      </c>
      <c r="N758" s="61">
        <f>INDEX(Data!$9:$9,1,MATCH(M758,detail_table[#Headers],0))</f>
        <v>0</v>
      </c>
    </row>
    <row r="759" spans="13:14" x14ac:dyDescent="0.35">
      <c r="M759" s="64" t="s">
        <v>1048</v>
      </c>
      <c r="N759" s="61">
        <f>INDEX(Data!$9:$9,1,MATCH(M759,detail_table[#Headers],0))</f>
        <v>0</v>
      </c>
    </row>
    <row r="760" spans="13:14" x14ac:dyDescent="0.35">
      <c r="M760" s="64" t="s">
        <v>1049</v>
      </c>
      <c r="N760" s="61">
        <f>INDEX(Data!$9:$9,1,MATCH(M760,detail_table[#Headers],0))</f>
        <v>0</v>
      </c>
    </row>
    <row r="761" spans="13:14" x14ac:dyDescent="0.35">
      <c r="M761" s="64" t="s">
        <v>1050</v>
      </c>
      <c r="N761" s="61">
        <f>INDEX(Data!$9:$9,1,MATCH(M761,detail_table[#Headers],0))</f>
        <v>0</v>
      </c>
    </row>
    <row r="762" spans="13:14" x14ac:dyDescent="0.35">
      <c r="M762" s="64" t="s">
        <v>1051</v>
      </c>
      <c r="N762" s="61">
        <f>INDEX(Data!$9:$9,1,MATCH(M762,detail_table[#Headers],0))</f>
        <v>0</v>
      </c>
    </row>
    <row r="763" spans="13:14" x14ac:dyDescent="0.35">
      <c r="M763" s="64" t="s">
        <v>1052</v>
      </c>
      <c r="N763" s="61">
        <f>INDEX(Data!$9:$9,1,MATCH(M763,detail_table[#Headers],0))</f>
        <v>0</v>
      </c>
    </row>
    <row r="764" spans="13:14" x14ac:dyDescent="0.35">
      <c r="M764" s="64" t="s">
        <v>1053</v>
      </c>
      <c r="N764" s="61">
        <f>INDEX(Data!$9:$9,1,MATCH(M764,detail_table[#Headers],0))</f>
        <v>0</v>
      </c>
    </row>
    <row r="765" spans="13:14" x14ac:dyDescent="0.35">
      <c r="M765" s="64" t="s">
        <v>1054</v>
      </c>
      <c r="N765" s="61">
        <f>INDEX(Data!$9:$9,1,MATCH(M765,detail_table[#Headers],0))</f>
        <v>0</v>
      </c>
    </row>
    <row r="766" spans="13:14" x14ac:dyDescent="0.35">
      <c r="M766" s="64" t="s">
        <v>1055</v>
      </c>
      <c r="N766" s="61">
        <f>INDEX(Data!$9:$9,1,MATCH(M766,detail_table[#Headers],0))</f>
        <v>0</v>
      </c>
    </row>
    <row r="767" spans="13:14" x14ac:dyDescent="0.35">
      <c r="M767" s="64" t="s">
        <v>1056</v>
      </c>
      <c r="N767" s="61">
        <f>INDEX(Data!$9:$9,1,MATCH(M767,detail_table[#Headers],0))</f>
        <v>0</v>
      </c>
    </row>
    <row r="768" spans="13:14" x14ac:dyDescent="0.35">
      <c r="M768" s="64" t="s">
        <v>1057</v>
      </c>
      <c r="N768" s="61">
        <f>INDEX(Data!$9:$9,1,MATCH(M768,detail_table[#Headers],0))</f>
        <v>0</v>
      </c>
    </row>
    <row r="769" spans="13:14" x14ac:dyDescent="0.35">
      <c r="M769" s="64" t="s">
        <v>1058</v>
      </c>
      <c r="N769" s="61">
        <f>INDEX(Data!$9:$9,1,MATCH(M769,detail_table[#Headers],0))</f>
        <v>0</v>
      </c>
    </row>
    <row r="770" spans="13:14" x14ac:dyDescent="0.35">
      <c r="M770" s="64" t="s">
        <v>1059</v>
      </c>
      <c r="N770" s="61">
        <f>INDEX(Data!$9:$9,1,MATCH(M770,detail_table[#Headers],0))</f>
        <v>0</v>
      </c>
    </row>
    <row r="771" spans="13:14" x14ac:dyDescent="0.35">
      <c r="M771" s="64" t="s">
        <v>1060</v>
      </c>
      <c r="N771" s="61">
        <f>INDEX(Data!$9:$9,1,MATCH(M771,detail_table[#Headers],0))</f>
        <v>0</v>
      </c>
    </row>
    <row r="772" spans="13:14" x14ac:dyDescent="0.35">
      <c r="M772" s="64" t="s">
        <v>1061</v>
      </c>
      <c r="N772" s="61">
        <f>INDEX(Data!$9:$9,1,MATCH(M772,detail_table[#Headers],0))</f>
        <v>0</v>
      </c>
    </row>
    <row r="773" spans="13:14" x14ac:dyDescent="0.35">
      <c r="M773" s="64" t="s">
        <v>1062</v>
      </c>
      <c r="N773" s="61">
        <f>INDEX(Data!$9:$9,1,MATCH(M773,detail_table[#Headers],0))</f>
        <v>0</v>
      </c>
    </row>
    <row r="774" spans="13:14" x14ac:dyDescent="0.35">
      <c r="M774" s="64" t="s">
        <v>1063</v>
      </c>
      <c r="N774" s="61">
        <f>INDEX(Data!$9:$9,1,MATCH(M774,detail_table[#Headers],0))</f>
        <v>0</v>
      </c>
    </row>
    <row r="775" spans="13:14" x14ac:dyDescent="0.35">
      <c r="M775" s="64" t="s">
        <v>1064</v>
      </c>
      <c r="N775" s="61">
        <f>INDEX(Data!$9:$9,1,MATCH(M775,detail_table[#Headers],0))</f>
        <v>0</v>
      </c>
    </row>
    <row r="776" spans="13:14" x14ac:dyDescent="0.35">
      <c r="M776" s="64" t="s">
        <v>1065</v>
      </c>
      <c r="N776" s="61">
        <f>INDEX(Data!$9:$9,1,MATCH(M776,detail_table[#Headers],0))</f>
        <v>0</v>
      </c>
    </row>
    <row r="777" spans="13:14" x14ac:dyDescent="0.35">
      <c r="M777" s="64" t="s">
        <v>1066</v>
      </c>
      <c r="N777" s="61">
        <f>INDEX(Data!$9:$9,1,MATCH(M777,detail_table[#Headers],0))</f>
        <v>0</v>
      </c>
    </row>
    <row r="778" spans="13:14" x14ac:dyDescent="0.35">
      <c r="M778" s="64" t="s">
        <v>1067</v>
      </c>
      <c r="N778" s="61">
        <f>INDEX(Data!$9:$9,1,MATCH(M778,detail_table[#Headers],0))</f>
        <v>0</v>
      </c>
    </row>
    <row r="779" spans="13:14" x14ac:dyDescent="0.35">
      <c r="M779" s="64" t="s">
        <v>1068</v>
      </c>
      <c r="N779" s="61">
        <f>INDEX(Data!$9:$9,1,MATCH(M779,detail_table[#Headers],0))</f>
        <v>0</v>
      </c>
    </row>
    <row r="780" spans="13:14" x14ac:dyDescent="0.35">
      <c r="M780" s="64" t="s">
        <v>1069</v>
      </c>
      <c r="N780" s="61">
        <f>INDEX(Data!$9:$9,1,MATCH(M780,detail_table[#Headers],0))</f>
        <v>0</v>
      </c>
    </row>
    <row r="781" spans="13:14" x14ac:dyDescent="0.35">
      <c r="M781" s="64" t="s">
        <v>1070</v>
      </c>
      <c r="N781" s="61">
        <f>INDEX(Data!$9:$9,1,MATCH(M781,detail_table[#Headers],0))</f>
        <v>0</v>
      </c>
    </row>
    <row r="782" spans="13:14" x14ac:dyDescent="0.35">
      <c r="M782" s="64" t="s">
        <v>1071</v>
      </c>
      <c r="N782" s="61">
        <f>INDEX(Data!$9:$9,1,MATCH(M782,detail_table[#Headers],0))</f>
        <v>0</v>
      </c>
    </row>
    <row r="783" spans="13:14" x14ac:dyDescent="0.35">
      <c r="M783" s="64" t="s">
        <v>1072</v>
      </c>
      <c r="N783" s="61">
        <f>INDEX(Data!$9:$9,1,MATCH(M783,detail_table[#Headers],0))</f>
        <v>0</v>
      </c>
    </row>
    <row r="784" spans="13:14" x14ac:dyDescent="0.35">
      <c r="M784" s="64" t="s">
        <v>1073</v>
      </c>
      <c r="N784" s="61">
        <f>INDEX(Data!$9:$9,1,MATCH(M784,detail_table[#Headers],0))</f>
        <v>0</v>
      </c>
    </row>
    <row r="785" spans="13:14" x14ac:dyDescent="0.35">
      <c r="M785" s="64" t="s">
        <v>1074</v>
      </c>
      <c r="N785" s="61">
        <f>INDEX(Data!$9:$9,1,MATCH(M785,detail_table[#Headers],0))</f>
        <v>0</v>
      </c>
    </row>
    <row r="786" spans="13:14" x14ac:dyDescent="0.35">
      <c r="M786" s="64" t="s">
        <v>1075</v>
      </c>
      <c r="N786" s="61">
        <f>INDEX(Data!$9:$9,1,MATCH(M786,detail_table[#Headers],0))</f>
        <v>0</v>
      </c>
    </row>
    <row r="787" spans="13:14" x14ac:dyDescent="0.35">
      <c r="M787" s="64" t="s">
        <v>1076</v>
      </c>
      <c r="N787" s="61">
        <f>INDEX(Data!$9:$9,1,MATCH(M787,detail_table[#Headers],0))</f>
        <v>0</v>
      </c>
    </row>
    <row r="788" spans="13:14" x14ac:dyDescent="0.35">
      <c r="M788" s="64" t="s">
        <v>1077</v>
      </c>
      <c r="N788" s="61">
        <f>INDEX(Data!$9:$9,1,MATCH(M788,detail_table[#Headers],0))</f>
        <v>0</v>
      </c>
    </row>
    <row r="789" spans="13:14" x14ac:dyDescent="0.35">
      <c r="M789" s="64" t="s">
        <v>1078</v>
      </c>
      <c r="N789" s="61">
        <f>INDEX(Data!$9:$9,1,MATCH(M789,detail_table[#Headers],0))</f>
        <v>0</v>
      </c>
    </row>
    <row r="790" spans="13:14" x14ac:dyDescent="0.35">
      <c r="M790" s="64" t="s">
        <v>1079</v>
      </c>
      <c r="N790" s="61">
        <f>INDEX(Data!$9:$9,1,MATCH(M790,detail_table[#Headers],0))</f>
        <v>0</v>
      </c>
    </row>
    <row r="791" spans="13:14" x14ac:dyDescent="0.35">
      <c r="M791" s="64" t="s">
        <v>1080</v>
      </c>
      <c r="N791" s="61">
        <f>INDEX(Data!$9:$9,1,MATCH(M791,detail_table[#Headers],0))</f>
        <v>0</v>
      </c>
    </row>
    <row r="792" spans="13:14" x14ac:dyDescent="0.35">
      <c r="M792" s="64" t="s">
        <v>1081</v>
      </c>
      <c r="N792" s="61">
        <f>INDEX(Data!$9:$9,1,MATCH(M792,detail_table[#Headers],0))</f>
        <v>0</v>
      </c>
    </row>
    <row r="793" spans="13:14" x14ac:dyDescent="0.35">
      <c r="M793" s="64" t="s">
        <v>1082</v>
      </c>
      <c r="N793" s="61">
        <f>INDEX(Data!$9:$9,1,MATCH(M793,detail_table[#Headers],0))</f>
        <v>0</v>
      </c>
    </row>
    <row r="794" spans="13:14" x14ac:dyDescent="0.35">
      <c r="M794" s="64" t="s">
        <v>1083</v>
      </c>
      <c r="N794" s="61">
        <f>INDEX(Data!$9:$9,1,MATCH(M794,detail_table[#Headers],0))</f>
        <v>0</v>
      </c>
    </row>
    <row r="795" spans="13:14" x14ac:dyDescent="0.35">
      <c r="M795" s="64" t="s">
        <v>1084</v>
      </c>
      <c r="N795" s="61">
        <f>INDEX(Data!$9:$9,1,MATCH(M795,detail_table[#Headers],0))</f>
        <v>0</v>
      </c>
    </row>
    <row r="796" spans="13:14" x14ac:dyDescent="0.35">
      <c r="M796" s="64" t="s">
        <v>1085</v>
      </c>
      <c r="N796" s="61">
        <f>INDEX(Data!$9:$9,1,MATCH(M796,detail_table[#Headers],0))</f>
        <v>0</v>
      </c>
    </row>
    <row r="797" spans="13:14" x14ac:dyDescent="0.35">
      <c r="M797" s="64" t="s">
        <v>1086</v>
      </c>
      <c r="N797" s="61">
        <f>INDEX(Data!$9:$9,1,MATCH(M797,detail_table[#Headers],0))</f>
        <v>0</v>
      </c>
    </row>
    <row r="798" spans="13:14" x14ac:dyDescent="0.35">
      <c r="M798" s="64" t="s">
        <v>1087</v>
      </c>
      <c r="N798" s="61">
        <f>INDEX(Data!$9:$9,1,MATCH(M798,detail_table[#Headers],0))</f>
        <v>0</v>
      </c>
    </row>
    <row r="799" spans="13:14" x14ac:dyDescent="0.35">
      <c r="M799" s="64" t="s">
        <v>1088</v>
      </c>
      <c r="N799" s="61">
        <f>INDEX(Data!$9:$9,1,MATCH(M799,detail_table[#Headers],0))</f>
        <v>0</v>
      </c>
    </row>
    <row r="800" spans="13:14" x14ac:dyDescent="0.35">
      <c r="M800" s="64" t="s">
        <v>1089</v>
      </c>
      <c r="N800" s="61">
        <f>INDEX(Data!$9:$9,1,MATCH(M800,detail_table[#Headers],0))</f>
        <v>0</v>
      </c>
    </row>
    <row r="801" spans="13:14" x14ac:dyDescent="0.35">
      <c r="M801" s="64" t="s">
        <v>1090</v>
      </c>
      <c r="N801" s="61">
        <f>INDEX(Data!$9:$9,1,MATCH(M801,detail_table[#Headers],0))</f>
        <v>0</v>
      </c>
    </row>
    <row r="802" spans="13:14" x14ac:dyDescent="0.35">
      <c r="M802" s="64" t="s">
        <v>1091</v>
      </c>
      <c r="N802" s="61">
        <f>INDEX(Data!$9:$9,1,MATCH(M802,detail_table[#Headers],0))</f>
        <v>0</v>
      </c>
    </row>
    <row r="803" spans="13:14" x14ac:dyDescent="0.35">
      <c r="M803" s="64" t="s">
        <v>1092</v>
      </c>
      <c r="N803" s="61">
        <f>INDEX(Data!$9:$9,1,MATCH(M803,detail_table[#Headers],0))</f>
        <v>0</v>
      </c>
    </row>
    <row r="804" spans="13:14" x14ac:dyDescent="0.35">
      <c r="M804" s="64" t="s">
        <v>1093</v>
      </c>
      <c r="N804" s="61">
        <f>INDEX(Data!$9:$9,1,MATCH(M804,detail_table[#Headers],0))</f>
        <v>0</v>
      </c>
    </row>
    <row r="805" spans="13:14" x14ac:dyDescent="0.35">
      <c r="M805" s="64" t="s">
        <v>1094</v>
      </c>
      <c r="N805" s="61">
        <f>INDEX(Data!$9:$9,1,MATCH(M805,detail_table[#Headers],0))</f>
        <v>0</v>
      </c>
    </row>
    <row r="806" spans="13:14" x14ac:dyDescent="0.35">
      <c r="M806" s="64" t="s">
        <v>1095</v>
      </c>
      <c r="N806" s="61">
        <f>INDEX(Data!$9:$9,1,MATCH(M806,detail_table[#Headers],0))</f>
        <v>0</v>
      </c>
    </row>
    <row r="807" spans="13:14" x14ac:dyDescent="0.35">
      <c r="M807" s="64" t="s">
        <v>1096</v>
      </c>
      <c r="N807" s="61">
        <f>INDEX(Data!$9:$9,1,MATCH(M807,detail_table[#Headers],0))</f>
        <v>0</v>
      </c>
    </row>
    <row r="808" spans="13:14" x14ac:dyDescent="0.35">
      <c r="M808" s="64" t="s">
        <v>1097</v>
      </c>
      <c r="N808" s="61">
        <f>INDEX(Data!$9:$9,1,MATCH(M808,detail_table[#Headers],0))</f>
        <v>0</v>
      </c>
    </row>
    <row r="809" spans="13:14" x14ac:dyDescent="0.35">
      <c r="M809" s="64" t="s">
        <v>1098</v>
      </c>
      <c r="N809" s="61">
        <f>INDEX(Data!$9:$9,1,MATCH(M809,detail_table[#Headers],0))</f>
        <v>0</v>
      </c>
    </row>
    <row r="810" spans="13:14" x14ac:dyDescent="0.35">
      <c r="M810" s="64" t="s">
        <v>1099</v>
      </c>
      <c r="N810" s="61">
        <f>INDEX(Data!$9:$9,1,MATCH(M810,detail_table[#Headers],0))</f>
        <v>0</v>
      </c>
    </row>
    <row r="811" spans="13:14" x14ac:dyDescent="0.35">
      <c r="M811" s="64" t="s">
        <v>1100</v>
      </c>
      <c r="N811" s="61">
        <f>INDEX(Data!$9:$9,1,MATCH(M811,detail_table[#Headers],0))</f>
        <v>0</v>
      </c>
    </row>
    <row r="812" spans="13:14" x14ac:dyDescent="0.35">
      <c r="M812" s="64" t="s">
        <v>1101</v>
      </c>
      <c r="N812" s="61">
        <f>INDEX(Data!$9:$9,1,MATCH(M812,detail_table[#Headers],0))</f>
        <v>0</v>
      </c>
    </row>
    <row r="813" spans="13:14" x14ac:dyDescent="0.35">
      <c r="M813" s="64" t="s">
        <v>1102</v>
      </c>
      <c r="N813" s="61">
        <f>INDEX(Data!$9:$9,1,MATCH(M813,detail_table[#Headers],0))</f>
        <v>0</v>
      </c>
    </row>
    <row r="814" spans="13:14" x14ac:dyDescent="0.35">
      <c r="M814" s="64" t="s">
        <v>1103</v>
      </c>
      <c r="N814" s="61">
        <f>INDEX(Data!$9:$9,1,MATCH(M814,detail_table[#Headers],0))</f>
        <v>0</v>
      </c>
    </row>
    <row r="815" spans="13:14" x14ac:dyDescent="0.35">
      <c r="M815" s="64" t="s">
        <v>1104</v>
      </c>
      <c r="N815" s="61">
        <f>INDEX(Data!$9:$9,1,MATCH(M815,detail_table[#Headers],0))</f>
        <v>0</v>
      </c>
    </row>
    <row r="816" spans="13:14" x14ac:dyDescent="0.35">
      <c r="M816" s="64" t="s">
        <v>1105</v>
      </c>
      <c r="N816" s="61">
        <f>INDEX(Data!$9:$9,1,MATCH(M816,detail_table[#Headers],0))</f>
        <v>0</v>
      </c>
    </row>
    <row r="817" spans="13:14" x14ac:dyDescent="0.35">
      <c r="M817" s="64" t="s">
        <v>1106</v>
      </c>
      <c r="N817" s="61">
        <f>INDEX(Data!$9:$9,1,MATCH(M817,detail_table[#Headers],0))</f>
        <v>0</v>
      </c>
    </row>
    <row r="818" spans="13:14" x14ac:dyDescent="0.35">
      <c r="M818" s="64" t="s">
        <v>1107</v>
      </c>
      <c r="N818" s="61">
        <f>INDEX(Data!$9:$9,1,MATCH(M818,detail_table[#Headers],0))</f>
        <v>0</v>
      </c>
    </row>
    <row r="819" spans="13:14" x14ac:dyDescent="0.35">
      <c r="M819" s="64" t="s">
        <v>1108</v>
      </c>
      <c r="N819" s="61">
        <f>INDEX(Data!$9:$9,1,MATCH(M819,detail_table[#Headers],0))</f>
        <v>0</v>
      </c>
    </row>
    <row r="820" spans="13:14" x14ac:dyDescent="0.35">
      <c r="M820" s="64" t="s">
        <v>1109</v>
      </c>
      <c r="N820" s="61">
        <f>INDEX(Data!$9:$9,1,MATCH(M820,detail_table[#Headers],0))</f>
        <v>0</v>
      </c>
    </row>
    <row r="821" spans="13:14" x14ac:dyDescent="0.35">
      <c r="M821" s="64" t="s">
        <v>1110</v>
      </c>
      <c r="N821" s="61">
        <f>INDEX(Data!$9:$9,1,MATCH(M821,detail_table[#Headers],0))</f>
        <v>0</v>
      </c>
    </row>
    <row r="822" spans="13:14" x14ac:dyDescent="0.35">
      <c r="M822" s="64" t="s">
        <v>1111</v>
      </c>
      <c r="N822" s="61">
        <f>INDEX(Data!$9:$9,1,MATCH(M822,detail_table[#Headers],0))</f>
        <v>0</v>
      </c>
    </row>
    <row r="823" spans="13:14" x14ac:dyDescent="0.35">
      <c r="M823" s="64" t="s">
        <v>1112</v>
      </c>
      <c r="N823" s="61">
        <f>INDEX(Data!$9:$9,1,MATCH(M823,detail_table[#Headers],0))</f>
        <v>0</v>
      </c>
    </row>
    <row r="824" spans="13:14" x14ac:dyDescent="0.35">
      <c r="M824" s="64" t="s">
        <v>1113</v>
      </c>
      <c r="N824" s="61">
        <f>INDEX(Data!$9:$9,1,MATCH(M824,detail_table[#Headers],0))</f>
        <v>0</v>
      </c>
    </row>
    <row r="825" spans="13:14" x14ac:dyDescent="0.35">
      <c r="M825" s="64" t="s">
        <v>1114</v>
      </c>
      <c r="N825" s="61">
        <f>INDEX(Data!$9:$9,1,MATCH(M825,detail_table[#Headers],0))</f>
        <v>0</v>
      </c>
    </row>
    <row r="826" spans="13:14" x14ac:dyDescent="0.35">
      <c r="M826" s="64" t="s">
        <v>1115</v>
      </c>
      <c r="N826" s="61">
        <f>INDEX(Data!$9:$9,1,MATCH(M826,detail_table[#Headers],0))</f>
        <v>0</v>
      </c>
    </row>
    <row r="827" spans="13:14" x14ac:dyDescent="0.35">
      <c r="M827" s="64" t="s">
        <v>1116</v>
      </c>
      <c r="N827" s="61">
        <f>INDEX(Data!$9:$9,1,MATCH(M827,detail_table[#Headers],0))</f>
        <v>0</v>
      </c>
    </row>
    <row r="828" spans="13:14" x14ac:dyDescent="0.35">
      <c r="M828" s="64" t="s">
        <v>1117</v>
      </c>
      <c r="N828" s="61">
        <f>INDEX(Data!$9:$9,1,MATCH(M828,detail_table[#Headers],0))</f>
        <v>0</v>
      </c>
    </row>
    <row r="829" spans="13:14" x14ac:dyDescent="0.35">
      <c r="M829" s="64" t="s">
        <v>1118</v>
      </c>
      <c r="N829" s="61">
        <f>INDEX(Data!$9:$9,1,MATCH(M829,detail_table[#Headers],0))</f>
        <v>0</v>
      </c>
    </row>
    <row r="830" spans="13:14" x14ac:dyDescent="0.35">
      <c r="M830" s="64" t="s">
        <v>1119</v>
      </c>
      <c r="N830" s="61">
        <f>INDEX(Data!$9:$9,1,MATCH(M830,detail_table[#Headers],0))</f>
        <v>0</v>
      </c>
    </row>
    <row r="831" spans="13:14" x14ac:dyDescent="0.35">
      <c r="M831" s="64" t="s">
        <v>1120</v>
      </c>
      <c r="N831" s="61">
        <f>INDEX(Data!$9:$9,1,MATCH(M831,detail_table[#Headers],0))</f>
        <v>0</v>
      </c>
    </row>
    <row r="832" spans="13:14" x14ac:dyDescent="0.35">
      <c r="M832" s="64" t="s">
        <v>1121</v>
      </c>
      <c r="N832" s="61">
        <f>INDEX(Data!$9:$9,1,MATCH(M832,detail_table[#Headers],0))</f>
        <v>0</v>
      </c>
    </row>
    <row r="833" spans="13:14" x14ac:dyDescent="0.35">
      <c r="M833" s="64" t="s">
        <v>1122</v>
      </c>
      <c r="N833" s="61">
        <f>INDEX(Data!$9:$9,1,MATCH(M833,detail_table[#Headers],0))</f>
        <v>0</v>
      </c>
    </row>
    <row r="834" spans="13:14" x14ac:dyDescent="0.35">
      <c r="M834" s="64" t="s">
        <v>1123</v>
      </c>
      <c r="N834" s="61">
        <f>INDEX(Data!$9:$9,1,MATCH(M834,detail_table[#Headers],0))</f>
        <v>0</v>
      </c>
    </row>
    <row r="835" spans="13:14" x14ac:dyDescent="0.35">
      <c r="M835" s="64" t="s">
        <v>1124</v>
      </c>
      <c r="N835" s="61">
        <f>INDEX(Data!$9:$9,1,MATCH(M835,detail_table[#Headers],0))</f>
        <v>0</v>
      </c>
    </row>
    <row r="836" spans="13:14" x14ac:dyDescent="0.35">
      <c r="M836" s="64" t="s">
        <v>1125</v>
      </c>
      <c r="N836" s="61">
        <f>INDEX(Data!$9:$9,1,MATCH(M836,detail_table[#Headers],0))</f>
        <v>0</v>
      </c>
    </row>
    <row r="837" spans="13:14" x14ac:dyDescent="0.35">
      <c r="M837" s="64" t="s">
        <v>1126</v>
      </c>
      <c r="N837" s="61">
        <f>INDEX(Data!$9:$9,1,MATCH(M837,detail_table[#Headers],0))</f>
        <v>0</v>
      </c>
    </row>
    <row r="838" spans="13:14" x14ac:dyDescent="0.35">
      <c r="M838" s="64" t="s">
        <v>1127</v>
      </c>
      <c r="N838" s="61">
        <f>INDEX(Data!$9:$9,1,MATCH(M838,detail_table[#Headers],0))</f>
        <v>0</v>
      </c>
    </row>
    <row r="839" spans="13:14" x14ac:dyDescent="0.35">
      <c r="M839" s="64" t="s">
        <v>1128</v>
      </c>
      <c r="N839" s="61">
        <f>INDEX(Data!$9:$9,1,MATCH(M839,detail_table[#Headers],0))</f>
        <v>0</v>
      </c>
    </row>
    <row r="840" spans="13:14" x14ac:dyDescent="0.35">
      <c r="M840" s="64" t="s">
        <v>1129</v>
      </c>
      <c r="N840" s="61">
        <f>INDEX(Data!$9:$9,1,MATCH(M840,detail_table[#Headers],0))</f>
        <v>0</v>
      </c>
    </row>
    <row r="841" spans="13:14" x14ac:dyDescent="0.35">
      <c r="M841" s="64" t="s">
        <v>1130</v>
      </c>
      <c r="N841" s="61">
        <f>INDEX(Data!$9:$9,1,MATCH(M841,detail_table[#Headers],0))</f>
        <v>0</v>
      </c>
    </row>
    <row r="842" spans="13:14" x14ac:dyDescent="0.35">
      <c r="M842" s="64" t="s">
        <v>1131</v>
      </c>
      <c r="N842" s="61">
        <f>INDEX(Data!$9:$9,1,MATCH(M842,detail_table[#Headers],0))</f>
        <v>0</v>
      </c>
    </row>
    <row r="843" spans="13:14" x14ac:dyDescent="0.35">
      <c r="M843" s="64" t="s">
        <v>1132</v>
      </c>
      <c r="N843" s="61">
        <f>INDEX(Data!$9:$9,1,MATCH(M843,detail_table[#Headers],0))</f>
        <v>0</v>
      </c>
    </row>
    <row r="844" spans="13:14" x14ac:dyDescent="0.35">
      <c r="M844" s="64" t="s">
        <v>1133</v>
      </c>
      <c r="N844" s="61">
        <f>INDEX(Data!$9:$9,1,MATCH(M844,detail_table[#Headers],0))</f>
        <v>0</v>
      </c>
    </row>
    <row r="845" spans="13:14" x14ac:dyDescent="0.35">
      <c r="M845" s="64" t="s">
        <v>1134</v>
      </c>
      <c r="N845" s="61">
        <f>INDEX(Data!$9:$9,1,MATCH(M845,detail_table[#Headers],0))</f>
        <v>0</v>
      </c>
    </row>
    <row r="846" spans="13:14" x14ac:dyDescent="0.35">
      <c r="M846" s="64" t="s">
        <v>1135</v>
      </c>
      <c r="N846" s="61">
        <f>INDEX(Data!$9:$9,1,MATCH(M846,detail_table[#Headers],0))</f>
        <v>0</v>
      </c>
    </row>
    <row r="847" spans="13:14" x14ac:dyDescent="0.35">
      <c r="M847" s="64" t="s">
        <v>1136</v>
      </c>
      <c r="N847" s="61">
        <f>INDEX(Data!$9:$9,1,MATCH(M847,detail_table[#Headers],0))</f>
        <v>0</v>
      </c>
    </row>
    <row r="848" spans="13:14" x14ac:dyDescent="0.35">
      <c r="M848" s="64" t="s">
        <v>2047</v>
      </c>
      <c r="N848" s="61">
        <f>INDEX(Data!$9:$9,1,MATCH(M848,detail_table[#Headers],0))</f>
        <v>0</v>
      </c>
    </row>
    <row r="849" spans="13:14" x14ac:dyDescent="0.35">
      <c r="M849" s="64" t="s">
        <v>2048</v>
      </c>
      <c r="N849" s="61">
        <f>INDEX(Data!$9:$9,1,MATCH(M849,detail_table[#Headers],0))</f>
        <v>0</v>
      </c>
    </row>
    <row r="850" spans="13:14" x14ac:dyDescent="0.35">
      <c r="M850" s="64" t="s">
        <v>2049</v>
      </c>
      <c r="N850" s="61">
        <f>INDEX(Data!$9:$9,1,MATCH(M850,detail_table[#Headers],0))</f>
        <v>0</v>
      </c>
    </row>
    <row r="851" spans="13:14" x14ac:dyDescent="0.35">
      <c r="M851" s="64" t="s">
        <v>2050</v>
      </c>
      <c r="N851" s="61">
        <f>INDEX(Data!$9:$9,1,MATCH(M851,detail_table[#Headers],0))</f>
        <v>0</v>
      </c>
    </row>
    <row r="852" spans="13:14" x14ac:dyDescent="0.35">
      <c r="M852" s="64" t="s">
        <v>2051</v>
      </c>
      <c r="N852" s="61">
        <f>INDEX(Data!$9:$9,1,MATCH(M852,detail_table[#Headers],0))</f>
        <v>0</v>
      </c>
    </row>
    <row r="853" spans="13:14" x14ac:dyDescent="0.35">
      <c r="M853" s="64" t="s">
        <v>2052</v>
      </c>
      <c r="N853" s="61">
        <f>INDEX(Data!$9:$9,1,MATCH(M853,detail_table[#Headers],0))</f>
        <v>0</v>
      </c>
    </row>
    <row r="854" spans="13:14" x14ac:dyDescent="0.35">
      <c r="M854" s="64" t="s">
        <v>2053</v>
      </c>
      <c r="N854" s="61">
        <f>INDEX(Data!$9:$9,1,MATCH(M854,detail_table[#Headers],0))</f>
        <v>0</v>
      </c>
    </row>
    <row r="855" spans="13:14" x14ac:dyDescent="0.35">
      <c r="M855" s="64" t="s">
        <v>2054</v>
      </c>
      <c r="N855" s="61">
        <f>INDEX(Data!$9:$9,1,MATCH(M855,detail_table[#Headers],0))</f>
        <v>0</v>
      </c>
    </row>
    <row r="856" spans="13:14" x14ac:dyDescent="0.35">
      <c r="M856" s="64" t="s">
        <v>2055</v>
      </c>
      <c r="N856" s="61">
        <f>INDEX(Data!$9:$9,1,MATCH(M856,detail_table[#Headers],0))</f>
        <v>0</v>
      </c>
    </row>
    <row r="857" spans="13:14" x14ac:dyDescent="0.35">
      <c r="M857" s="64" t="s">
        <v>2056</v>
      </c>
      <c r="N857" s="61">
        <f>INDEX(Data!$9:$9,1,MATCH(M857,detail_table[#Headers],0))</f>
        <v>0</v>
      </c>
    </row>
    <row r="858" spans="13:14" x14ac:dyDescent="0.35">
      <c r="M858" s="64" t="s">
        <v>2057</v>
      </c>
      <c r="N858" s="61">
        <f>INDEX(Data!$9:$9,1,MATCH(M858,detail_table[#Headers],0))</f>
        <v>0</v>
      </c>
    </row>
    <row r="859" spans="13:14" x14ac:dyDescent="0.35">
      <c r="M859" s="64" t="s">
        <v>2058</v>
      </c>
      <c r="N859" s="61">
        <f>INDEX(Data!$9:$9,1,MATCH(M859,detail_table[#Headers],0))</f>
        <v>0</v>
      </c>
    </row>
    <row r="860" spans="13:14" x14ac:dyDescent="0.35">
      <c r="M860" s="64" t="s">
        <v>1137</v>
      </c>
      <c r="N860" s="61">
        <f>INDEX(Data!$9:$9,1,MATCH(M860,detail_table[#Headers],0))</f>
        <v>0</v>
      </c>
    </row>
    <row r="861" spans="13:14" x14ac:dyDescent="0.35">
      <c r="M861" s="64" t="s">
        <v>1138</v>
      </c>
      <c r="N861" s="61">
        <f>INDEX(Data!$9:$9,1,MATCH(M861,detail_table[#Headers],0))</f>
        <v>0</v>
      </c>
    </row>
    <row r="862" spans="13:14" x14ac:dyDescent="0.35">
      <c r="M862" s="64" t="s">
        <v>1139</v>
      </c>
      <c r="N862" s="61">
        <f>INDEX(Data!$9:$9,1,MATCH(M862,detail_table[#Headers],0))</f>
        <v>0</v>
      </c>
    </row>
    <row r="863" spans="13:14" x14ac:dyDescent="0.35">
      <c r="M863" s="64" t="s">
        <v>1140</v>
      </c>
      <c r="N863" s="61">
        <f>INDEX(Data!$9:$9,1,MATCH(M863,detail_table[#Headers],0))</f>
        <v>0</v>
      </c>
    </row>
    <row r="864" spans="13:14" x14ac:dyDescent="0.35">
      <c r="M864" s="64" t="s">
        <v>1141</v>
      </c>
      <c r="N864" s="61">
        <f>INDEX(Data!$9:$9,1,MATCH(M864,detail_table[#Headers],0))</f>
        <v>0</v>
      </c>
    </row>
    <row r="865" spans="13:14" x14ac:dyDescent="0.35">
      <c r="M865" s="64" t="s">
        <v>1142</v>
      </c>
      <c r="N865" s="61">
        <f>INDEX(Data!$9:$9,1,MATCH(M865,detail_table[#Headers],0))</f>
        <v>0</v>
      </c>
    </row>
    <row r="866" spans="13:14" x14ac:dyDescent="0.35">
      <c r="M866" s="64" t="s">
        <v>1143</v>
      </c>
      <c r="N866" s="61">
        <f>INDEX(Data!$9:$9,1,MATCH(M866,detail_table[#Headers],0))</f>
        <v>0</v>
      </c>
    </row>
    <row r="867" spans="13:14" x14ac:dyDescent="0.35">
      <c r="M867" s="64" t="s">
        <v>1144</v>
      </c>
      <c r="N867" s="61">
        <f>INDEX(Data!$9:$9,1,MATCH(M867,detail_table[#Headers],0))</f>
        <v>0</v>
      </c>
    </row>
    <row r="868" spans="13:14" x14ac:dyDescent="0.35">
      <c r="M868" s="64" t="s">
        <v>1145</v>
      </c>
      <c r="N868" s="61">
        <f>INDEX(Data!$9:$9,1,MATCH(M868,detail_table[#Headers],0))</f>
        <v>0</v>
      </c>
    </row>
    <row r="869" spans="13:14" x14ac:dyDescent="0.35">
      <c r="M869" s="64" t="s">
        <v>1146</v>
      </c>
      <c r="N869" s="61">
        <f>INDEX(Data!$9:$9,1,MATCH(M869,detail_table[#Headers],0))</f>
        <v>0</v>
      </c>
    </row>
    <row r="870" spans="13:14" x14ac:dyDescent="0.35">
      <c r="M870" s="64" t="s">
        <v>1147</v>
      </c>
      <c r="N870" s="61">
        <f>INDEX(Data!$9:$9,1,MATCH(M870,detail_table[#Headers],0))</f>
        <v>0</v>
      </c>
    </row>
    <row r="871" spans="13:14" x14ac:dyDescent="0.35">
      <c r="M871" s="64" t="s">
        <v>1148</v>
      </c>
      <c r="N871" s="61">
        <f>INDEX(Data!$9:$9,1,MATCH(M871,detail_table[#Headers],0))</f>
        <v>0</v>
      </c>
    </row>
    <row r="872" spans="13:14" x14ac:dyDescent="0.35">
      <c r="M872" s="64" t="s">
        <v>1149</v>
      </c>
      <c r="N872" s="61">
        <f>INDEX(Data!$9:$9,1,MATCH(M872,detail_table[#Headers],0))</f>
        <v>0</v>
      </c>
    </row>
    <row r="873" spans="13:14" x14ac:dyDescent="0.35">
      <c r="M873" s="64" t="s">
        <v>1150</v>
      </c>
      <c r="N873" s="61">
        <f>INDEX(Data!$9:$9,1,MATCH(M873,detail_table[#Headers],0))</f>
        <v>0</v>
      </c>
    </row>
    <row r="874" spans="13:14" x14ac:dyDescent="0.35">
      <c r="M874" s="64" t="s">
        <v>1151</v>
      </c>
      <c r="N874" s="61">
        <f>INDEX(Data!$9:$9,1,MATCH(M874,detail_table[#Headers],0))</f>
        <v>0</v>
      </c>
    </row>
    <row r="875" spans="13:14" x14ac:dyDescent="0.35">
      <c r="M875" s="64" t="s">
        <v>1152</v>
      </c>
      <c r="N875" s="61">
        <f>INDEX(Data!$9:$9,1,MATCH(M875,detail_table[#Headers],0))</f>
        <v>0</v>
      </c>
    </row>
    <row r="876" spans="13:14" x14ac:dyDescent="0.35">
      <c r="M876" s="64" t="s">
        <v>1153</v>
      </c>
      <c r="N876" s="61">
        <f>INDEX(Data!$9:$9,1,MATCH(M876,detail_table[#Headers],0))</f>
        <v>0</v>
      </c>
    </row>
    <row r="877" spans="13:14" x14ac:dyDescent="0.35">
      <c r="M877" s="64" t="s">
        <v>1154</v>
      </c>
      <c r="N877" s="61">
        <f>INDEX(Data!$9:$9,1,MATCH(M877,detail_table[#Headers],0))</f>
        <v>0</v>
      </c>
    </row>
    <row r="878" spans="13:14" x14ac:dyDescent="0.35">
      <c r="M878" s="64" t="s">
        <v>1155</v>
      </c>
      <c r="N878" s="61">
        <f>INDEX(Data!$9:$9,1,MATCH(M878,detail_table[#Headers],0))</f>
        <v>0</v>
      </c>
    </row>
    <row r="879" spans="13:14" x14ac:dyDescent="0.35">
      <c r="M879" s="64" t="s">
        <v>1156</v>
      </c>
      <c r="N879" s="61">
        <f>INDEX(Data!$9:$9,1,MATCH(M879,detail_table[#Headers],0))</f>
        <v>0</v>
      </c>
    </row>
    <row r="880" spans="13:14" x14ac:dyDescent="0.35">
      <c r="M880" s="64" t="s">
        <v>1157</v>
      </c>
      <c r="N880" s="61">
        <f>INDEX(Data!$9:$9,1,MATCH(M880,detail_table[#Headers],0))</f>
        <v>0</v>
      </c>
    </row>
    <row r="881" spans="13:14" x14ac:dyDescent="0.35">
      <c r="M881" s="64" t="s">
        <v>1158</v>
      </c>
      <c r="N881" s="61">
        <f>INDEX(Data!$9:$9,1,MATCH(M881,detail_table[#Headers],0))</f>
        <v>0</v>
      </c>
    </row>
    <row r="882" spans="13:14" x14ac:dyDescent="0.35">
      <c r="M882" s="64" t="s">
        <v>1159</v>
      </c>
      <c r="N882" s="61">
        <f>INDEX(Data!$9:$9,1,MATCH(M882,detail_table[#Headers],0))</f>
        <v>0</v>
      </c>
    </row>
    <row r="883" spans="13:14" x14ac:dyDescent="0.35">
      <c r="M883" s="64" t="s">
        <v>1160</v>
      </c>
      <c r="N883" s="61">
        <f>INDEX(Data!$9:$9,1,MATCH(M883,detail_table[#Headers],0))</f>
        <v>0</v>
      </c>
    </row>
    <row r="884" spans="13:14" x14ac:dyDescent="0.35">
      <c r="M884" s="64" t="s">
        <v>1161</v>
      </c>
      <c r="N884" s="61">
        <f>INDEX(Data!$9:$9,1,MATCH(M884,detail_table[#Headers],0))</f>
        <v>0</v>
      </c>
    </row>
    <row r="885" spans="13:14" x14ac:dyDescent="0.35">
      <c r="M885" s="64" t="s">
        <v>1162</v>
      </c>
      <c r="N885" s="61">
        <f>INDEX(Data!$9:$9,1,MATCH(M885,detail_table[#Headers],0))</f>
        <v>0</v>
      </c>
    </row>
    <row r="886" spans="13:14" x14ac:dyDescent="0.35">
      <c r="M886" s="64" t="s">
        <v>1163</v>
      </c>
      <c r="N886" s="61">
        <f>INDEX(Data!$9:$9,1,MATCH(M886,detail_table[#Headers],0))</f>
        <v>0</v>
      </c>
    </row>
    <row r="887" spans="13:14" x14ac:dyDescent="0.35">
      <c r="M887" s="64" t="s">
        <v>1164</v>
      </c>
      <c r="N887" s="61">
        <f>INDEX(Data!$9:$9,1,MATCH(M887,detail_table[#Headers],0))</f>
        <v>0</v>
      </c>
    </row>
    <row r="888" spans="13:14" x14ac:dyDescent="0.35">
      <c r="M888" s="64" t="s">
        <v>1165</v>
      </c>
      <c r="N888" s="61">
        <f>INDEX(Data!$9:$9,1,MATCH(M888,detail_table[#Headers],0))</f>
        <v>0</v>
      </c>
    </row>
    <row r="889" spans="13:14" x14ac:dyDescent="0.35">
      <c r="M889" s="64" t="s">
        <v>1166</v>
      </c>
      <c r="N889" s="61">
        <f>INDEX(Data!$9:$9,1,MATCH(M889,detail_table[#Headers],0))</f>
        <v>0</v>
      </c>
    </row>
    <row r="890" spans="13:14" x14ac:dyDescent="0.35">
      <c r="M890" s="64" t="s">
        <v>1167</v>
      </c>
      <c r="N890" s="61">
        <f>INDEX(Data!$9:$9,1,MATCH(M890,detail_table[#Headers],0))</f>
        <v>0</v>
      </c>
    </row>
    <row r="891" spans="13:14" x14ac:dyDescent="0.35">
      <c r="M891" s="64" t="s">
        <v>1168</v>
      </c>
      <c r="N891" s="61">
        <f>INDEX(Data!$9:$9,1,MATCH(M891,detail_table[#Headers],0))</f>
        <v>0</v>
      </c>
    </row>
    <row r="892" spans="13:14" x14ac:dyDescent="0.35">
      <c r="M892" s="64" t="s">
        <v>1169</v>
      </c>
      <c r="N892" s="61">
        <f>INDEX(Data!$9:$9,1,MATCH(M892,detail_table[#Headers],0))</f>
        <v>0</v>
      </c>
    </row>
    <row r="893" spans="13:14" x14ac:dyDescent="0.35">
      <c r="M893" s="64" t="s">
        <v>1170</v>
      </c>
      <c r="N893" s="61">
        <f>INDEX(Data!$9:$9,1,MATCH(M893,detail_table[#Headers],0))</f>
        <v>0</v>
      </c>
    </row>
    <row r="894" spans="13:14" x14ac:dyDescent="0.35">
      <c r="M894" s="64" t="s">
        <v>1171</v>
      </c>
      <c r="N894" s="61">
        <f>INDEX(Data!$9:$9,1,MATCH(M894,detail_table[#Headers],0))</f>
        <v>0</v>
      </c>
    </row>
    <row r="895" spans="13:14" x14ac:dyDescent="0.35">
      <c r="M895" s="64" t="s">
        <v>1172</v>
      </c>
      <c r="N895" s="61">
        <f>INDEX(Data!$9:$9,1,MATCH(M895,detail_table[#Headers],0))</f>
        <v>0</v>
      </c>
    </row>
    <row r="896" spans="13:14" x14ac:dyDescent="0.35">
      <c r="M896" s="64" t="s">
        <v>1173</v>
      </c>
      <c r="N896" s="61">
        <f>INDEX(Data!$9:$9,1,MATCH(M896,detail_table[#Headers],0))</f>
        <v>0</v>
      </c>
    </row>
    <row r="897" spans="13:14" x14ac:dyDescent="0.35">
      <c r="M897" s="64" t="s">
        <v>1174</v>
      </c>
      <c r="N897" s="61">
        <f>INDEX(Data!$9:$9,1,MATCH(M897,detail_table[#Headers],0))</f>
        <v>0</v>
      </c>
    </row>
    <row r="898" spans="13:14" x14ac:dyDescent="0.35">
      <c r="M898" s="64" t="s">
        <v>1175</v>
      </c>
      <c r="N898" s="61">
        <f>INDEX(Data!$9:$9,1,MATCH(M898,detail_table[#Headers],0))</f>
        <v>0</v>
      </c>
    </row>
    <row r="899" spans="13:14" x14ac:dyDescent="0.35">
      <c r="M899" s="64" t="s">
        <v>1176</v>
      </c>
      <c r="N899" s="61">
        <f>INDEX(Data!$9:$9,1,MATCH(M899,detail_table[#Headers],0))</f>
        <v>0</v>
      </c>
    </row>
    <row r="900" spans="13:14" x14ac:dyDescent="0.35">
      <c r="M900" s="64" t="s">
        <v>1177</v>
      </c>
      <c r="N900" s="61">
        <f>INDEX(Data!$9:$9,1,MATCH(M900,detail_table[#Headers],0))</f>
        <v>0</v>
      </c>
    </row>
    <row r="901" spans="13:14" x14ac:dyDescent="0.35">
      <c r="M901" s="64" t="s">
        <v>1178</v>
      </c>
      <c r="N901" s="61">
        <f>INDEX(Data!$9:$9,1,MATCH(M901,detail_table[#Headers],0))</f>
        <v>0</v>
      </c>
    </row>
    <row r="902" spans="13:14" x14ac:dyDescent="0.35">
      <c r="M902" s="64" t="s">
        <v>1179</v>
      </c>
      <c r="N902" s="61">
        <f>INDEX(Data!$9:$9,1,MATCH(M902,detail_table[#Headers],0))</f>
        <v>0</v>
      </c>
    </row>
    <row r="903" spans="13:14" x14ac:dyDescent="0.35">
      <c r="M903" s="64" t="s">
        <v>1180</v>
      </c>
      <c r="N903" s="61">
        <f>INDEX(Data!$9:$9,1,MATCH(M903,detail_table[#Headers],0))</f>
        <v>0</v>
      </c>
    </row>
    <row r="904" spans="13:14" x14ac:dyDescent="0.35">
      <c r="M904" s="64" t="s">
        <v>2059</v>
      </c>
      <c r="N904" s="61">
        <f>INDEX(Data!$9:$9,1,MATCH(M904,detail_table[#Headers],0))</f>
        <v>0</v>
      </c>
    </row>
    <row r="905" spans="13:14" x14ac:dyDescent="0.35">
      <c r="M905" s="64" t="s">
        <v>2060</v>
      </c>
      <c r="N905" s="61">
        <f>INDEX(Data!$9:$9,1,MATCH(M905,detail_table[#Headers],0))</f>
        <v>0</v>
      </c>
    </row>
    <row r="906" spans="13:14" x14ac:dyDescent="0.35">
      <c r="M906" s="64" t="s">
        <v>2061</v>
      </c>
      <c r="N906" s="61">
        <f>INDEX(Data!$9:$9,1,MATCH(M906,detail_table[#Headers],0))</f>
        <v>0</v>
      </c>
    </row>
    <row r="907" spans="13:14" x14ac:dyDescent="0.35">
      <c r="M907" s="64" t="s">
        <v>2062</v>
      </c>
      <c r="N907" s="61">
        <f>INDEX(Data!$9:$9,1,MATCH(M907,detail_table[#Headers],0))</f>
        <v>0</v>
      </c>
    </row>
    <row r="908" spans="13:14" x14ac:dyDescent="0.35">
      <c r="M908" s="64" t="s">
        <v>2063</v>
      </c>
      <c r="N908" s="61">
        <f>INDEX(Data!$9:$9,1,MATCH(M908,detail_table[#Headers],0))</f>
        <v>0</v>
      </c>
    </row>
    <row r="909" spans="13:14" x14ac:dyDescent="0.35">
      <c r="M909" s="64" t="s">
        <v>1181</v>
      </c>
      <c r="N909" s="61">
        <f>INDEX(Data!$9:$9,1,MATCH(M909,detail_table[#Headers],0))</f>
        <v>0</v>
      </c>
    </row>
    <row r="910" spans="13:14" x14ac:dyDescent="0.35">
      <c r="M910" s="64" t="s">
        <v>1182</v>
      </c>
      <c r="N910" s="61">
        <f>INDEX(Data!$9:$9,1,MATCH(M910,detail_table[#Headers],0))</f>
        <v>0</v>
      </c>
    </row>
    <row r="911" spans="13:14" x14ac:dyDescent="0.35">
      <c r="M911" s="64" t="s">
        <v>1183</v>
      </c>
      <c r="N911" s="61">
        <f>INDEX(Data!$9:$9,1,MATCH(M911,detail_table[#Headers],0))</f>
        <v>0</v>
      </c>
    </row>
    <row r="912" spans="13:14" x14ac:dyDescent="0.35">
      <c r="M912" s="64" t="s">
        <v>1184</v>
      </c>
      <c r="N912" s="61">
        <f>INDEX(Data!$9:$9,1,MATCH(M912,detail_table[#Headers],0))</f>
        <v>0</v>
      </c>
    </row>
    <row r="913" spans="13:14" x14ac:dyDescent="0.35">
      <c r="M913" s="64" t="s">
        <v>1185</v>
      </c>
      <c r="N913" s="61">
        <f>INDEX(Data!$9:$9,1,MATCH(M913,detail_table[#Headers],0))</f>
        <v>0</v>
      </c>
    </row>
    <row r="914" spans="13:14" x14ac:dyDescent="0.35">
      <c r="M914" s="64" t="s">
        <v>1186</v>
      </c>
      <c r="N914" s="61">
        <f>INDEX(Data!$9:$9,1,MATCH(M914,detail_table[#Headers],0))</f>
        <v>0</v>
      </c>
    </row>
    <row r="915" spans="13:14" x14ac:dyDescent="0.35">
      <c r="M915" s="64" t="s">
        <v>1187</v>
      </c>
      <c r="N915" s="61">
        <f>INDEX(Data!$9:$9,1,MATCH(M915,detail_table[#Headers],0))</f>
        <v>0</v>
      </c>
    </row>
    <row r="916" spans="13:14" x14ac:dyDescent="0.35">
      <c r="M916" s="64" t="s">
        <v>1188</v>
      </c>
      <c r="N916" s="61">
        <f>INDEX(Data!$9:$9,1,MATCH(M916,detail_table[#Headers],0))</f>
        <v>0</v>
      </c>
    </row>
    <row r="917" spans="13:14" x14ac:dyDescent="0.35">
      <c r="M917" s="64" t="s">
        <v>1189</v>
      </c>
      <c r="N917" s="61">
        <f>INDEX(Data!$9:$9,1,MATCH(M917,detail_table[#Headers],0))</f>
        <v>0</v>
      </c>
    </row>
    <row r="918" spans="13:14" x14ac:dyDescent="0.35">
      <c r="M918" s="64" t="s">
        <v>1190</v>
      </c>
      <c r="N918" s="61">
        <f>INDEX(Data!$9:$9,1,MATCH(M918,detail_table[#Headers],0))</f>
        <v>0</v>
      </c>
    </row>
    <row r="919" spans="13:14" x14ac:dyDescent="0.35">
      <c r="M919" s="64" t="s">
        <v>1191</v>
      </c>
      <c r="N919" s="61">
        <f>INDEX(Data!$9:$9,1,MATCH(M919,detail_table[#Headers],0))</f>
        <v>0</v>
      </c>
    </row>
    <row r="920" spans="13:14" x14ac:dyDescent="0.35">
      <c r="M920" s="64" t="s">
        <v>1192</v>
      </c>
      <c r="N920" s="61">
        <f>INDEX(Data!$9:$9,1,MATCH(M920,detail_table[#Headers],0))</f>
        <v>0</v>
      </c>
    </row>
    <row r="921" spans="13:14" x14ac:dyDescent="0.35">
      <c r="M921" s="64" t="s">
        <v>1193</v>
      </c>
      <c r="N921" s="61">
        <f>INDEX(Data!$9:$9,1,MATCH(M921,detail_table[#Headers],0))</f>
        <v>0</v>
      </c>
    </row>
    <row r="922" spans="13:14" x14ac:dyDescent="0.35">
      <c r="M922" s="64" t="s">
        <v>1194</v>
      </c>
      <c r="N922" s="61">
        <f>INDEX(Data!$9:$9,1,MATCH(M922,detail_table[#Headers],0))</f>
        <v>0</v>
      </c>
    </row>
    <row r="923" spans="13:14" x14ac:dyDescent="0.35">
      <c r="M923" s="64" t="s">
        <v>1195</v>
      </c>
      <c r="N923" s="61">
        <f>INDEX(Data!$9:$9,1,MATCH(M923,detail_table[#Headers],0))</f>
        <v>0</v>
      </c>
    </row>
    <row r="924" spans="13:14" x14ac:dyDescent="0.35">
      <c r="M924" s="64" t="s">
        <v>1196</v>
      </c>
      <c r="N924" s="61">
        <f>INDEX(Data!$9:$9,1,MATCH(M924,detail_table[#Headers],0))</f>
        <v>0</v>
      </c>
    </row>
    <row r="925" spans="13:14" x14ac:dyDescent="0.35">
      <c r="M925" s="64" t="s">
        <v>1197</v>
      </c>
      <c r="N925" s="61">
        <f>INDEX(Data!$9:$9,1,MATCH(M925,detail_table[#Headers],0))</f>
        <v>0</v>
      </c>
    </row>
    <row r="926" spans="13:14" x14ac:dyDescent="0.35">
      <c r="M926" s="64" t="s">
        <v>1198</v>
      </c>
      <c r="N926" s="61">
        <f>INDEX(Data!$9:$9,1,MATCH(M926,detail_table[#Headers],0))</f>
        <v>0</v>
      </c>
    </row>
    <row r="927" spans="13:14" x14ac:dyDescent="0.35">
      <c r="M927" s="64" t="s">
        <v>1199</v>
      </c>
      <c r="N927" s="61">
        <f>INDEX(Data!$9:$9,1,MATCH(M927,detail_table[#Headers],0))</f>
        <v>0</v>
      </c>
    </row>
    <row r="928" spans="13:14" x14ac:dyDescent="0.35">
      <c r="M928" s="64" t="s">
        <v>1200</v>
      </c>
      <c r="N928" s="61">
        <f>INDEX(Data!$9:$9,1,MATCH(M928,detail_table[#Headers],0))</f>
        <v>0</v>
      </c>
    </row>
    <row r="929" spans="13:14" x14ac:dyDescent="0.35">
      <c r="M929" s="64" t="s">
        <v>1201</v>
      </c>
      <c r="N929" s="61">
        <f>INDEX(Data!$9:$9,1,MATCH(M929,detail_table[#Headers],0))</f>
        <v>0</v>
      </c>
    </row>
    <row r="930" spans="13:14" x14ac:dyDescent="0.35">
      <c r="M930" s="64" t="s">
        <v>1202</v>
      </c>
      <c r="N930" s="61">
        <f>INDEX(Data!$9:$9,1,MATCH(M930,detail_table[#Headers],0))</f>
        <v>0</v>
      </c>
    </row>
    <row r="931" spans="13:14" x14ac:dyDescent="0.35">
      <c r="M931" s="64" t="s">
        <v>1203</v>
      </c>
      <c r="N931" s="61">
        <f>INDEX(Data!$9:$9,1,MATCH(M931,detail_table[#Headers],0))</f>
        <v>0</v>
      </c>
    </row>
    <row r="932" spans="13:14" x14ac:dyDescent="0.35">
      <c r="M932" s="64" t="s">
        <v>1204</v>
      </c>
      <c r="N932" s="61">
        <f>INDEX(Data!$9:$9,1,MATCH(M932,detail_table[#Headers],0))</f>
        <v>0</v>
      </c>
    </row>
    <row r="933" spans="13:14" x14ac:dyDescent="0.35">
      <c r="M933" s="64" t="s">
        <v>1205</v>
      </c>
      <c r="N933" s="61">
        <f>INDEX(Data!$9:$9,1,MATCH(M933,detail_table[#Headers],0))</f>
        <v>0</v>
      </c>
    </row>
    <row r="934" spans="13:14" x14ac:dyDescent="0.35">
      <c r="M934" s="64" t="s">
        <v>1206</v>
      </c>
      <c r="N934" s="61">
        <f>INDEX(Data!$9:$9,1,MATCH(M934,detail_table[#Headers],0))</f>
        <v>0</v>
      </c>
    </row>
    <row r="935" spans="13:14" x14ac:dyDescent="0.35">
      <c r="M935" s="64" t="s">
        <v>1207</v>
      </c>
      <c r="N935" s="61">
        <f>INDEX(Data!$9:$9,1,MATCH(M935,detail_table[#Headers],0))</f>
        <v>0</v>
      </c>
    </row>
    <row r="936" spans="13:14" x14ac:dyDescent="0.35">
      <c r="M936" s="64" t="s">
        <v>1208</v>
      </c>
      <c r="N936" s="61">
        <f>INDEX(Data!$9:$9,1,MATCH(M936,detail_table[#Headers],0))</f>
        <v>0</v>
      </c>
    </row>
    <row r="937" spans="13:14" x14ac:dyDescent="0.35">
      <c r="M937" s="64" t="s">
        <v>1209</v>
      </c>
      <c r="N937" s="61">
        <f>INDEX(Data!$9:$9,1,MATCH(M937,detail_table[#Headers],0))</f>
        <v>0</v>
      </c>
    </row>
    <row r="938" spans="13:14" x14ac:dyDescent="0.35">
      <c r="M938" s="64" t="s">
        <v>1210</v>
      </c>
      <c r="N938" s="61">
        <f>INDEX(Data!$9:$9,1,MATCH(M938,detail_table[#Headers],0))</f>
        <v>0</v>
      </c>
    </row>
    <row r="939" spans="13:14" x14ac:dyDescent="0.35">
      <c r="M939" s="64" t="s">
        <v>1211</v>
      </c>
      <c r="N939" s="61">
        <f>INDEX(Data!$9:$9,1,MATCH(M939,detail_table[#Headers],0))</f>
        <v>0</v>
      </c>
    </row>
    <row r="940" spans="13:14" x14ac:dyDescent="0.35">
      <c r="M940" s="64" t="s">
        <v>1212</v>
      </c>
      <c r="N940" s="61">
        <f>INDEX(Data!$9:$9,1,MATCH(M940,detail_table[#Headers],0))</f>
        <v>0</v>
      </c>
    </row>
    <row r="941" spans="13:14" x14ac:dyDescent="0.35">
      <c r="M941" s="64" t="s">
        <v>1213</v>
      </c>
      <c r="N941" s="61">
        <f>INDEX(Data!$9:$9,1,MATCH(M941,detail_table[#Headers],0))</f>
        <v>0</v>
      </c>
    </row>
    <row r="942" spans="13:14" x14ac:dyDescent="0.35">
      <c r="M942" s="64" t="s">
        <v>1214</v>
      </c>
      <c r="N942" s="61">
        <f>INDEX(Data!$9:$9,1,MATCH(M942,detail_table[#Headers],0))</f>
        <v>0</v>
      </c>
    </row>
    <row r="943" spans="13:14" x14ac:dyDescent="0.35">
      <c r="M943" s="64" t="s">
        <v>1215</v>
      </c>
      <c r="N943" s="61">
        <f>INDEX(Data!$9:$9,1,MATCH(M943,detail_table[#Headers],0))</f>
        <v>0</v>
      </c>
    </row>
    <row r="944" spans="13:14" x14ac:dyDescent="0.35">
      <c r="M944" s="64" t="s">
        <v>1216</v>
      </c>
      <c r="N944" s="61">
        <f>INDEX(Data!$9:$9,1,MATCH(M944,detail_table[#Headers],0))</f>
        <v>0</v>
      </c>
    </row>
    <row r="945" spans="13:14" x14ac:dyDescent="0.35">
      <c r="M945" s="64" t="s">
        <v>1217</v>
      </c>
      <c r="N945" s="61">
        <f>INDEX(Data!$9:$9,1,MATCH(M945,detail_table[#Headers],0))</f>
        <v>0</v>
      </c>
    </row>
    <row r="946" spans="13:14" x14ac:dyDescent="0.35">
      <c r="M946" s="64" t="s">
        <v>1218</v>
      </c>
      <c r="N946" s="61">
        <f>INDEX(Data!$9:$9,1,MATCH(M946,detail_table[#Headers],0))</f>
        <v>0</v>
      </c>
    </row>
    <row r="947" spans="13:14" x14ac:dyDescent="0.35">
      <c r="M947" s="64" t="s">
        <v>1219</v>
      </c>
      <c r="N947" s="61">
        <f>INDEX(Data!$9:$9,1,MATCH(M947,detail_table[#Headers],0))</f>
        <v>0</v>
      </c>
    </row>
    <row r="948" spans="13:14" x14ac:dyDescent="0.35">
      <c r="M948" s="64" t="s">
        <v>1220</v>
      </c>
      <c r="N948" s="61">
        <f>INDEX(Data!$9:$9,1,MATCH(M948,detail_table[#Headers],0))</f>
        <v>0</v>
      </c>
    </row>
    <row r="949" spans="13:14" x14ac:dyDescent="0.35">
      <c r="M949" s="64" t="s">
        <v>1221</v>
      </c>
      <c r="N949" s="61">
        <f>INDEX(Data!$9:$9,1,MATCH(M949,detail_table[#Headers],0))</f>
        <v>0</v>
      </c>
    </row>
    <row r="950" spans="13:14" x14ac:dyDescent="0.35">
      <c r="M950" s="64" t="s">
        <v>1222</v>
      </c>
      <c r="N950" s="61">
        <f>INDEX(Data!$9:$9,1,MATCH(M950,detail_table[#Headers],0))</f>
        <v>0</v>
      </c>
    </row>
    <row r="951" spans="13:14" x14ac:dyDescent="0.35">
      <c r="M951" s="64" t="s">
        <v>1223</v>
      </c>
      <c r="N951" s="61">
        <f>INDEX(Data!$9:$9,1,MATCH(M951,detail_table[#Headers],0))</f>
        <v>0</v>
      </c>
    </row>
    <row r="952" spans="13:14" x14ac:dyDescent="0.35">
      <c r="M952" s="64" t="s">
        <v>1224</v>
      </c>
      <c r="N952" s="61">
        <f>INDEX(Data!$9:$9,1,MATCH(M952,detail_table[#Headers],0))</f>
        <v>0</v>
      </c>
    </row>
    <row r="953" spans="13:14" x14ac:dyDescent="0.35">
      <c r="M953" s="64" t="s">
        <v>1225</v>
      </c>
      <c r="N953" s="61">
        <f>INDEX(Data!$9:$9,1,MATCH(M953,detail_table[#Headers],0))</f>
        <v>0</v>
      </c>
    </row>
    <row r="954" spans="13:14" x14ac:dyDescent="0.35">
      <c r="M954" s="64" t="s">
        <v>1226</v>
      </c>
      <c r="N954" s="61">
        <f>INDEX(Data!$9:$9,1,MATCH(M954,detail_table[#Headers],0))</f>
        <v>0</v>
      </c>
    </row>
    <row r="955" spans="13:14" x14ac:dyDescent="0.35">
      <c r="M955" s="64" t="s">
        <v>1227</v>
      </c>
      <c r="N955" s="61">
        <f>INDEX(Data!$9:$9,1,MATCH(M955,detail_table[#Headers],0))</f>
        <v>0</v>
      </c>
    </row>
    <row r="956" spans="13:14" x14ac:dyDescent="0.35">
      <c r="M956" s="64" t="s">
        <v>1228</v>
      </c>
      <c r="N956" s="61">
        <f>INDEX(Data!$9:$9,1,MATCH(M956,detail_table[#Headers],0))</f>
        <v>0</v>
      </c>
    </row>
    <row r="957" spans="13:14" x14ac:dyDescent="0.35">
      <c r="M957" s="64" t="s">
        <v>1229</v>
      </c>
      <c r="N957" s="61">
        <f>INDEX(Data!$9:$9,1,MATCH(M957,detail_table[#Headers],0))</f>
        <v>0</v>
      </c>
    </row>
    <row r="958" spans="13:14" x14ac:dyDescent="0.35">
      <c r="M958" s="64" t="s">
        <v>1230</v>
      </c>
      <c r="N958" s="61">
        <f>INDEX(Data!$9:$9,1,MATCH(M958,detail_table[#Headers],0))</f>
        <v>0</v>
      </c>
    </row>
    <row r="959" spans="13:14" x14ac:dyDescent="0.35">
      <c r="M959" s="64" t="s">
        <v>2064</v>
      </c>
      <c r="N959" s="61">
        <f>INDEX(Data!$9:$9,1,MATCH(M959,detail_table[#Headers],0))</f>
        <v>0</v>
      </c>
    </row>
    <row r="960" spans="13:14" x14ac:dyDescent="0.35">
      <c r="M960" s="64" t="s">
        <v>2065</v>
      </c>
      <c r="N960" s="61">
        <f>INDEX(Data!$9:$9,1,MATCH(M960,detail_table[#Headers],0))</f>
        <v>0</v>
      </c>
    </row>
    <row r="961" spans="13:14" x14ac:dyDescent="0.35">
      <c r="M961" s="64" t="s">
        <v>2066</v>
      </c>
      <c r="N961" s="61">
        <f>INDEX(Data!$9:$9,1,MATCH(M961,detail_table[#Headers],0))</f>
        <v>0</v>
      </c>
    </row>
    <row r="962" spans="13:14" x14ac:dyDescent="0.35">
      <c r="M962" s="64" t="s">
        <v>2067</v>
      </c>
      <c r="N962" s="61">
        <f>INDEX(Data!$9:$9,1,MATCH(M962,detail_table[#Headers],0))</f>
        <v>0</v>
      </c>
    </row>
    <row r="963" spans="13:14" x14ac:dyDescent="0.35">
      <c r="M963" s="64" t="s">
        <v>2068</v>
      </c>
      <c r="N963" s="61">
        <f>INDEX(Data!$9:$9,1,MATCH(M963,detail_table[#Headers],0))</f>
        <v>0</v>
      </c>
    </row>
    <row r="964" spans="13:14" x14ac:dyDescent="0.35">
      <c r="M964" s="64" t="s">
        <v>2069</v>
      </c>
      <c r="N964" s="61">
        <f>INDEX(Data!$9:$9,1,MATCH(M964,detail_table[#Headers],0))</f>
        <v>0</v>
      </c>
    </row>
    <row r="965" spans="13:14" x14ac:dyDescent="0.35">
      <c r="M965" s="64" t="s">
        <v>2070</v>
      </c>
      <c r="N965" s="61">
        <f>INDEX(Data!$9:$9,1,MATCH(M965,detail_table[#Headers],0))</f>
        <v>0</v>
      </c>
    </row>
    <row r="966" spans="13:14" x14ac:dyDescent="0.35">
      <c r="M966" s="64" t="s">
        <v>2071</v>
      </c>
      <c r="N966" s="61">
        <f>INDEX(Data!$9:$9,1,MATCH(M966,detail_table[#Headers],0))</f>
        <v>0</v>
      </c>
    </row>
    <row r="967" spans="13:14" x14ac:dyDescent="0.35">
      <c r="M967" s="64" t="s">
        <v>2072</v>
      </c>
      <c r="N967" s="61">
        <f>INDEX(Data!$9:$9,1,MATCH(M967,detail_table[#Headers],0))</f>
        <v>0</v>
      </c>
    </row>
    <row r="968" spans="13:14" x14ac:dyDescent="0.35">
      <c r="M968" s="64" t="s">
        <v>2073</v>
      </c>
      <c r="N968" s="61">
        <f>INDEX(Data!$9:$9,1,MATCH(M968,detail_table[#Headers],0))</f>
        <v>0</v>
      </c>
    </row>
    <row r="969" spans="13:14" x14ac:dyDescent="0.35">
      <c r="M969" s="64" t="s">
        <v>2074</v>
      </c>
      <c r="N969" s="61">
        <f>INDEX(Data!$9:$9,1,MATCH(M969,detail_table[#Headers],0))</f>
        <v>0</v>
      </c>
    </row>
    <row r="970" spans="13:14" x14ac:dyDescent="0.35">
      <c r="M970" s="64" t="s">
        <v>2075</v>
      </c>
      <c r="N970" s="61">
        <f>INDEX(Data!$9:$9,1,MATCH(M970,detail_table[#Headers],0))</f>
        <v>0</v>
      </c>
    </row>
    <row r="971" spans="13:14" x14ac:dyDescent="0.35">
      <c r="M971" s="64" t="s">
        <v>2076</v>
      </c>
      <c r="N971" s="61">
        <f>INDEX(Data!$9:$9,1,MATCH(M971,detail_table[#Headers],0))</f>
        <v>0</v>
      </c>
    </row>
    <row r="972" spans="13:14" x14ac:dyDescent="0.35">
      <c r="M972" s="64" t="s">
        <v>2077</v>
      </c>
      <c r="N972" s="61">
        <f>INDEX(Data!$9:$9,1,MATCH(M972,detail_table[#Headers],0))</f>
        <v>0</v>
      </c>
    </row>
    <row r="973" spans="13:14" x14ac:dyDescent="0.35">
      <c r="M973" s="64" t="s">
        <v>2078</v>
      </c>
      <c r="N973" s="61">
        <f>INDEX(Data!$9:$9,1,MATCH(M973,detail_table[#Headers],0))</f>
        <v>0</v>
      </c>
    </row>
    <row r="974" spans="13:14" x14ac:dyDescent="0.35">
      <c r="M974" s="64" t="s">
        <v>2079</v>
      </c>
      <c r="N974" s="61">
        <f>INDEX(Data!$9:$9,1,MATCH(M974,detail_table[#Headers],0))</f>
        <v>0</v>
      </c>
    </row>
    <row r="975" spans="13:14" x14ac:dyDescent="0.35">
      <c r="M975" s="64" t="s">
        <v>2080</v>
      </c>
      <c r="N975" s="61">
        <f>INDEX(Data!$9:$9,1,MATCH(M975,detail_table[#Headers],0))</f>
        <v>0</v>
      </c>
    </row>
    <row r="976" spans="13:14" x14ac:dyDescent="0.35">
      <c r="M976" s="64" t="s">
        <v>2081</v>
      </c>
      <c r="N976" s="61">
        <f>INDEX(Data!$9:$9,1,MATCH(M976,detail_table[#Headers],0))</f>
        <v>0</v>
      </c>
    </row>
    <row r="977" spans="13:14" x14ac:dyDescent="0.35">
      <c r="M977" s="64" t="s">
        <v>2082</v>
      </c>
      <c r="N977" s="61">
        <f>INDEX(Data!$9:$9,1,MATCH(M977,detail_table[#Headers],0))</f>
        <v>0</v>
      </c>
    </row>
    <row r="978" spans="13:14" x14ac:dyDescent="0.35">
      <c r="M978" s="64" t="s">
        <v>2083</v>
      </c>
      <c r="N978" s="61">
        <f>INDEX(Data!$9:$9,1,MATCH(M978,detail_table[#Headers],0))</f>
        <v>0</v>
      </c>
    </row>
    <row r="979" spans="13:14" x14ac:dyDescent="0.35">
      <c r="M979" s="64" t="s">
        <v>1231</v>
      </c>
      <c r="N979" s="61">
        <f>INDEX(Data!$9:$9,1,MATCH(M979,detail_table[#Headers],0))</f>
        <v>0</v>
      </c>
    </row>
    <row r="980" spans="13:14" x14ac:dyDescent="0.35">
      <c r="M980" s="64" t="s">
        <v>1232</v>
      </c>
      <c r="N980" s="61">
        <f>INDEX(Data!$9:$9,1,MATCH(M980,detail_table[#Headers],0))</f>
        <v>0</v>
      </c>
    </row>
    <row r="981" spans="13:14" x14ac:dyDescent="0.35">
      <c r="M981" s="64" t="s">
        <v>1233</v>
      </c>
      <c r="N981" s="61">
        <f>INDEX(Data!$9:$9,1,MATCH(M981,detail_table[#Headers],0))</f>
        <v>0</v>
      </c>
    </row>
    <row r="982" spans="13:14" x14ac:dyDescent="0.35">
      <c r="M982" s="64" t="s">
        <v>1234</v>
      </c>
      <c r="N982" s="61">
        <f>INDEX(Data!$9:$9,1,MATCH(M982,detail_table[#Headers],0))</f>
        <v>0</v>
      </c>
    </row>
    <row r="983" spans="13:14" x14ac:dyDescent="0.35">
      <c r="M983" s="64" t="s">
        <v>1235</v>
      </c>
      <c r="N983" s="61">
        <f>INDEX(Data!$9:$9,1,MATCH(M983,detail_table[#Headers],0))</f>
        <v>0</v>
      </c>
    </row>
    <row r="984" spans="13:14" x14ac:dyDescent="0.35">
      <c r="M984" s="64" t="s">
        <v>1236</v>
      </c>
      <c r="N984" s="61">
        <f>INDEX(Data!$9:$9,1,MATCH(M984,detail_table[#Headers],0))</f>
        <v>0</v>
      </c>
    </row>
    <row r="985" spans="13:14" x14ac:dyDescent="0.35">
      <c r="M985" s="64" t="s">
        <v>1237</v>
      </c>
      <c r="N985" s="61">
        <f>INDEX(Data!$9:$9,1,MATCH(M985,detail_table[#Headers],0))</f>
        <v>0</v>
      </c>
    </row>
    <row r="986" spans="13:14" x14ac:dyDescent="0.35">
      <c r="M986" s="64" t="s">
        <v>1238</v>
      </c>
      <c r="N986" s="61">
        <f>INDEX(Data!$9:$9,1,MATCH(M986,detail_table[#Headers],0))</f>
        <v>0</v>
      </c>
    </row>
    <row r="987" spans="13:14" x14ac:dyDescent="0.35">
      <c r="M987" s="64" t="s">
        <v>1239</v>
      </c>
      <c r="N987" s="61">
        <f>INDEX(Data!$9:$9,1,MATCH(M987,detail_table[#Headers],0))</f>
        <v>0</v>
      </c>
    </row>
    <row r="988" spans="13:14" x14ac:dyDescent="0.35">
      <c r="M988" s="64" t="s">
        <v>1240</v>
      </c>
      <c r="N988" s="61">
        <f>INDEX(Data!$9:$9,1,MATCH(M988,detail_table[#Headers],0))</f>
        <v>0</v>
      </c>
    </row>
    <row r="989" spans="13:14" x14ac:dyDescent="0.35">
      <c r="M989" s="64" t="s">
        <v>1241</v>
      </c>
      <c r="N989" s="61">
        <f>INDEX(Data!$9:$9,1,MATCH(M989,detail_table[#Headers],0))</f>
        <v>0</v>
      </c>
    </row>
    <row r="990" spans="13:14" x14ac:dyDescent="0.35">
      <c r="M990" s="64" t="s">
        <v>1242</v>
      </c>
      <c r="N990" s="61">
        <f>INDEX(Data!$9:$9,1,MATCH(M990,detail_table[#Headers],0))</f>
        <v>0</v>
      </c>
    </row>
    <row r="991" spans="13:14" x14ac:dyDescent="0.35">
      <c r="M991" s="64" t="s">
        <v>1243</v>
      </c>
      <c r="N991" s="61">
        <f>INDEX(Data!$9:$9,1,MATCH(M991,detail_table[#Headers],0))</f>
        <v>0</v>
      </c>
    </row>
    <row r="992" spans="13:14" x14ac:dyDescent="0.35">
      <c r="M992" s="64" t="s">
        <v>1244</v>
      </c>
      <c r="N992" s="61">
        <f>INDEX(Data!$9:$9,1,MATCH(M992,detail_table[#Headers],0))</f>
        <v>0</v>
      </c>
    </row>
    <row r="993" spans="13:14" x14ac:dyDescent="0.35">
      <c r="M993" s="64" t="s">
        <v>1245</v>
      </c>
      <c r="N993" s="61">
        <f>INDEX(Data!$9:$9,1,MATCH(M993,detail_table[#Headers],0))</f>
        <v>0</v>
      </c>
    </row>
    <row r="994" spans="13:14" x14ac:dyDescent="0.35">
      <c r="M994" s="64" t="s">
        <v>1246</v>
      </c>
      <c r="N994" s="61">
        <f>INDEX(Data!$9:$9,1,MATCH(M994,detail_table[#Headers],0))</f>
        <v>0</v>
      </c>
    </row>
    <row r="995" spans="13:14" x14ac:dyDescent="0.35">
      <c r="M995" s="64" t="s">
        <v>1247</v>
      </c>
      <c r="N995" s="61">
        <f>INDEX(Data!$9:$9,1,MATCH(M995,detail_table[#Headers],0))</f>
        <v>0</v>
      </c>
    </row>
    <row r="996" spans="13:14" x14ac:dyDescent="0.35">
      <c r="M996" s="64" t="s">
        <v>1248</v>
      </c>
      <c r="N996" s="61">
        <f>INDEX(Data!$9:$9,1,MATCH(M996,detail_table[#Headers],0))</f>
        <v>0</v>
      </c>
    </row>
    <row r="997" spans="13:14" x14ac:dyDescent="0.35">
      <c r="M997" s="64" t="s">
        <v>1249</v>
      </c>
      <c r="N997" s="61">
        <f>INDEX(Data!$9:$9,1,MATCH(M997,detail_table[#Headers],0))</f>
        <v>0</v>
      </c>
    </row>
    <row r="998" spans="13:14" x14ac:dyDescent="0.35">
      <c r="M998" s="64" t="s">
        <v>1250</v>
      </c>
      <c r="N998" s="61">
        <f>INDEX(Data!$9:$9,1,MATCH(M998,detail_table[#Headers],0))</f>
        <v>0</v>
      </c>
    </row>
    <row r="999" spans="13:14" x14ac:dyDescent="0.35">
      <c r="M999" s="64" t="s">
        <v>1251</v>
      </c>
      <c r="N999" s="61">
        <f>INDEX(Data!$9:$9,1,MATCH(M999,detail_table[#Headers],0))</f>
        <v>0</v>
      </c>
    </row>
    <row r="1000" spans="13:14" x14ac:dyDescent="0.35">
      <c r="M1000" s="64" t="s">
        <v>1252</v>
      </c>
      <c r="N1000" s="61">
        <f>INDEX(Data!$9:$9,1,MATCH(M1000,detail_table[#Headers],0))</f>
        <v>0</v>
      </c>
    </row>
    <row r="1001" spans="13:14" x14ac:dyDescent="0.35">
      <c r="M1001" s="64" t="s">
        <v>1253</v>
      </c>
      <c r="N1001" s="61">
        <f>INDEX(Data!$9:$9,1,MATCH(M1001,detail_table[#Headers],0))</f>
        <v>0</v>
      </c>
    </row>
    <row r="1002" spans="13:14" x14ac:dyDescent="0.35">
      <c r="M1002" s="64" t="s">
        <v>1254</v>
      </c>
      <c r="N1002" s="61">
        <f>INDEX(Data!$9:$9,1,MATCH(M1002,detail_table[#Headers],0))</f>
        <v>0</v>
      </c>
    </row>
    <row r="1003" spans="13:14" x14ac:dyDescent="0.35">
      <c r="M1003" s="64" t="s">
        <v>1255</v>
      </c>
      <c r="N1003" s="61">
        <f>INDEX(Data!$9:$9,1,MATCH(M1003,detail_table[#Headers],0))</f>
        <v>0</v>
      </c>
    </row>
    <row r="1004" spans="13:14" x14ac:dyDescent="0.35">
      <c r="M1004" s="64" t="s">
        <v>1256</v>
      </c>
      <c r="N1004" s="61">
        <f>INDEX(Data!$9:$9,1,MATCH(M1004,detail_table[#Headers],0))</f>
        <v>0</v>
      </c>
    </row>
    <row r="1005" spans="13:14" x14ac:dyDescent="0.35">
      <c r="M1005" s="64" t="s">
        <v>1257</v>
      </c>
      <c r="N1005" s="61">
        <f>INDEX(Data!$9:$9,1,MATCH(M1005,detail_table[#Headers],0))</f>
        <v>0</v>
      </c>
    </row>
    <row r="1006" spans="13:14" x14ac:dyDescent="0.35">
      <c r="M1006" s="64" t="s">
        <v>1258</v>
      </c>
      <c r="N1006" s="61">
        <f>INDEX(Data!$9:$9,1,MATCH(M1006,detail_table[#Headers],0))</f>
        <v>0</v>
      </c>
    </row>
    <row r="1007" spans="13:14" x14ac:dyDescent="0.35">
      <c r="M1007" s="64" t="s">
        <v>1259</v>
      </c>
      <c r="N1007" s="61">
        <f>INDEX(Data!$9:$9,1,MATCH(M1007,detail_table[#Headers],0))</f>
        <v>0</v>
      </c>
    </row>
    <row r="1008" spans="13:14" x14ac:dyDescent="0.35">
      <c r="M1008" s="64" t="s">
        <v>1260</v>
      </c>
      <c r="N1008" s="61">
        <f>INDEX(Data!$9:$9,1,MATCH(M1008,detail_table[#Headers],0))</f>
        <v>0</v>
      </c>
    </row>
    <row r="1009" spans="13:14" x14ac:dyDescent="0.35">
      <c r="M1009" s="64" t="s">
        <v>1261</v>
      </c>
      <c r="N1009" s="61">
        <f>INDEX(Data!$9:$9,1,MATCH(M1009,detail_table[#Headers],0))</f>
        <v>0</v>
      </c>
    </row>
    <row r="1010" spans="13:14" x14ac:dyDescent="0.35">
      <c r="M1010" s="64" t="s">
        <v>1262</v>
      </c>
      <c r="N1010" s="61">
        <f>INDEX(Data!$9:$9,1,MATCH(M1010,detail_table[#Headers],0))</f>
        <v>0</v>
      </c>
    </row>
    <row r="1011" spans="13:14" x14ac:dyDescent="0.35">
      <c r="M1011" s="64" t="s">
        <v>1263</v>
      </c>
      <c r="N1011" s="61">
        <f>INDEX(Data!$9:$9,1,MATCH(M1011,detail_table[#Headers],0))</f>
        <v>0</v>
      </c>
    </row>
    <row r="1012" spans="13:14" x14ac:dyDescent="0.35">
      <c r="M1012" s="64" t="s">
        <v>1264</v>
      </c>
      <c r="N1012" s="61">
        <f>INDEX(Data!$9:$9,1,MATCH(M1012,detail_table[#Headers],0))</f>
        <v>0</v>
      </c>
    </row>
    <row r="1013" spans="13:14" x14ac:dyDescent="0.35">
      <c r="M1013" s="64" t="s">
        <v>1265</v>
      </c>
      <c r="N1013" s="61">
        <f>INDEX(Data!$9:$9,1,MATCH(M1013,detail_table[#Headers],0))</f>
        <v>0</v>
      </c>
    </row>
    <row r="1014" spans="13:14" x14ac:dyDescent="0.35">
      <c r="M1014" s="64" t="s">
        <v>1266</v>
      </c>
      <c r="N1014" s="61">
        <f>INDEX(Data!$9:$9,1,MATCH(M1014,detail_table[#Headers],0))</f>
        <v>0</v>
      </c>
    </row>
    <row r="1015" spans="13:14" x14ac:dyDescent="0.35">
      <c r="M1015" s="64" t="s">
        <v>1267</v>
      </c>
      <c r="N1015" s="61">
        <f>INDEX(Data!$9:$9,1,MATCH(M1015,detail_table[#Headers],0))</f>
        <v>0</v>
      </c>
    </row>
    <row r="1016" spans="13:14" x14ac:dyDescent="0.35">
      <c r="M1016" s="64" t="s">
        <v>1268</v>
      </c>
      <c r="N1016" s="61">
        <f>INDEX(Data!$9:$9,1,MATCH(M1016,detail_table[#Headers],0))</f>
        <v>0</v>
      </c>
    </row>
    <row r="1017" spans="13:14" x14ac:dyDescent="0.35">
      <c r="M1017" s="64" t="s">
        <v>1269</v>
      </c>
      <c r="N1017" s="61">
        <f>INDEX(Data!$9:$9,1,MATCH(M1017,detail_table[#Headers],0))</f>
        <v>0</v>
      </c>
    </row>
    <row r="1018" spans="13:14" x14ac:dyDescent="0.35">
      <c r="M1018" s="64" t="s">
        <v>1270</v>
      </c>
      <c r="N1018" s="61">
        <f>INDEX(Data!$9:$9,1,MATCH(M1018,detail_table[#Headers],0))</f>
        <v>0</v>
      </c>
    </row>
    <row r="1019" spans="13:14" x14ac:dyDescent="0.35">
      <c r="M1019" s="64" t="s">
        <v>1271</v>
      </c>
      <c r="N1019" s="61">
        <f>INDEX(Data!$9:$9,1,MATCH(M1019,detail_table[#Headers],0))</f>
        <v>0</v>
      </c>
    </row>
    <row r="1020" spans="13:14" x14ac:dyDescent="0.35">
      <c r="M1020" s="64" t="s">
        <v>1272</v>
      </c>
      <c r="N1020" s="61">
        <f>INDEX(Data!$9:$9,1,MATCH(M1020,detail_table[#Headers],0))</f>
        <v>0</v>
      </c>
    </row>
    <row r="1021" spans="13:14" x14ac:dyDescent="0.35">
      <c r="M1021" s="64" t="s">
        <v>1273</v>
      </c>
      <c r="N1021" s="61">
        <f>INDEX(Data!$9:$9,1,MATCH(M1021,detail_table[#Headers],0))</f>
        <v>0</v>
      </c>
    </row>
    <row r="1022" spans="13:14" x14ac:dyDescent="0.35">
      <c r="M1022" s="64" t="s">
        <v>1274</v>
      </c>
      <c r="N1022" s="61">
        <f>INDEX(Data!$9:$9,1,MATCH(M1022,detail_table[#Headers],0))</f>
        <v>0</v>
      </c>
    </row>
    <row r="1023" spans="13:14" x14ac:dyDescent="0.35">
      <c r="M1023" s="64" t="s">
        <v>1275</v>
      </c>
      <c r="N1023" s="61">
        <f>INDEX(Data!$9:$9,1,MATCH(M1023,detail_table[#Headers],0))</f>
        <v>0</v>
      </c>
    </row>
    <row r="1024" spans="13:14" x14ac:dyDescent="0.35">
      <c r="M1024" s="64" t="s">
        <v>1276</v>
      </c>
      <c r="N1024" s="61">
        <f>INDEX(Data!$9:$9,1,MATCH(M1024,detail_table[#Headers],0))</f>
        <v>0</v>
      </c>
    </row>
    <row r="1025" spans="13:14" x14ac:dyDescent="0.35">
      <c r="M1025" s="64" t="s">
        <v>1277</v>
      </c>
      <c r="N1025" s="61">
        <f>INDEX(Data!$9:$9,1,MATCH(M1025,detail_table[#Headers],0))</f>
        <v>0</v>
      </c>
    </row>
    <row r="1026" spans="13:14" x14ac:dyDescent="0.35">
      <c r="M1026" s="64" t="s">
        <v>1278</v>
      </c>
      <c r="N1026" s="61">
        <f>INDEX(Data!$9:$9,1,MATCH(M1026,detail_table[#Headers],0))</f>
        <v>0</v>
      </c>
    </row>
    <row r="1027" spans="13:14" x14ac:dyDescent="0.35">
      <c r="M1027" s="64" t="s">
        <v>1279</v>
      </c>
      <c r="N1027" s="61">
        <f>INDEX(Data!$9:$9,1,MATCH(M1027,detail_table[#Headers],0))</f>
        <v>0</v>
      </c>
    </row>
    <row r="1028" spans="13:14" x14ac:dyDescent="0.35">
      <c r="M1028" s="64" t="s">
        <v>1280</v>
      </c>
      <c r="N1028" s="61">
        <f>INDEX(Data!$9:$9,1,MATCH(M1028,detail_table[#Headers],0))</f>
        <v>0</v>
      </c>
    </row>
    <row r="1029" spans="13:14" x14ac:dyDescent="0.35">
      <c r="M1029" s="64" t="s">
        <v>1281</v>
      </c>
      <c r="N1029" s="61">
        <f>INDEX(Data!$9:$9,1,MATCH(M1029,detail_table[#Headers],0))</f>
        <v>0</v>
      </c>
    </row>
    <row r="1030" spans="13:14" x14ac:dyDescent="0.35">
      <c r="M1030" s="64" t="s">
        <v>1282</v>
      </c>
      <c r="N1030" s="61">
        <f>INDEX(Data!$9:$9,1,MATCH(M1030,detail_table[#Headers],0))</f>
        <v>0</v>
      </c>
    </row>
    <row r="1031" spans="13:14" x14ac:dyDescent="0.35">
      <c r="M1031" s="64" t="s">
        <v>1283</v>
      </c>
      <c r="N1031" s="61">
        <f>INDEX(Data!$9:$9,1,MATCH(M1031,detail_table[#Headers],0))</f>
        <v>0</v>
      </c>
    </row>
    <row r="1032" spans="13:14" x14ac:dyDescent="0.35">
      <c r="M1032" s="64" t="s">
        <v>1284</v>
      </c>
      <c r="N1032" s="61">
        <f>INDEX(Data!$9:$9,1,MATCH(M1032,detail_table[#Headers],0))</f>
        <v>0</v>
      </c>
    </row>
    <row r="1033" spans="13:14" x14ac:dyDescent="0.35">
      <c r="M1033" s="64" t="s">
        <v>1285</v>
      </c>
      <c r="N1033" s="61">
        <f>INDEX(Data!$9:$9,1,MATCH(M1033,detail_table[#Headers],0))</f>
        <v>0</v>
      </c>
    </row>
    <row r="1034" spans="13:14" x14ac:dyDescent="0.35">
      <c r="M1034" s="64" t="s">
        <v>1286</v>
      </c>
      <c r="N1034" s="61">
        <f>INDEX(Data!$9:$9,1,MATCH(M1034,detail_table[#Headers],0))</f>
        <v>0</v>
      </c>
    </row>
    <row r="1035" spans="13:14" x14ac:dyDescent="0.35">
      <c r="M1035" s="64" t="s">
        <v>1287</v>
      </c>
      <c r="N1035" s="61">
        <f>INDEX(Data!$9:$9,1,MATCH(M1035,detail_table[#Headers],0))</f>
        <v>0</v>
      </c>
    </row>
    <row r="1036" spans="13:14" x14ac:dyDescent="0.35">
      <c r="M1036" s="64" t="s">
        <v>1288</v>
      </c>
      <c r="N1036" s="61">
        <f>INDEX(Data!$9:$9,1,MATCH(M1036,detail_table[#Headers],0))</f>
        <v>0</v>
      </c>
    </row>
    <row r="1037" spans="13:14" x14ac:dyDescent="0.35">
      <c r="M1037" s="64" t="s">
        <v>1289</v>
      </c>
      <c r="N1037" s="61">
        <f>INDEX(Data!$9:$9,1,MATCH(M1037,detail_table[#Headers],0))</f>
        <v>0</v>
      </c>
    </row>
    <row r="1038" spans="13:14" x14ac:dyDescent="0.35">
      <c r="M1038" s="64" t="s">
        <v>1290</v>
      </c>
      <c r="N1038" s="61">
        <f>INDEX(Data!$9:$9,1,MATCH(M1038,detail_table[#Headers],0))</f>
        <v>0</v>
      </c>
    </row>
    <row r="1039" spans="13:14" x14ac:dyDescent="0.35">
      <c r="M1039" s="64" t="s">
        <v>1291</v>
      </c>
      <c r="N1039" s="61">
        <f>INDEX(Data!$9:$9,1,MATCH(M1039,detail_table[#Headers],0))</f>
        <v>0</v>
      </c>
    </row>
    <row r="1040" spans="13:14" x14ac:dyDescent="0.35">
      <c r="M1040" s="64" t="s">
        <v>1292</v>
      </c>
      <c r="N1040" s="61">
        <f>INDEX(Data!$9:$9,1,MATCH(M1040,detail_table[#Headers],0))</f>
        <v>0</v>
      </c>
    </row>
    <row r="1041" spans="13:14" x14ac:dyDescent="0.35">
      <c r="M1041" s="64" t="s">
        <v>1293</v>
      </c>
      <c r="N1041" s="61">
        <f>INDEX(Data!$9:$9,1,MATCH(M1041,detail_table[#Headers],0))</f>
        <v>0</v>
      </c>
    </row>
    <row r="1042" spans="13:14" x14ac:dyDescent="0.35">
      <c r="M1042" s="64" t="s">
        <v>1294</v>
      </c>
      <c r="N1042" s="61">
        <f>INDEX(Data!$9:$9,1,MATCH(M1042,detail_table[#Headers],0))</f>
        <v>0</v>
      </c>
    </row>
    <row r="1043" spans="13:14" x14ac:dyDescent="0.35">
      <c r="M1043" s="64" t="s">
        <v>1295</v>
      </c>
      <c r="N1043" s="61">
        <f>INDEX(Data!$9:$9,1,MATCH(M1043,detail_table[#Headers],0))</f>
        <v>0</v>
      </c>
    </row>
    <row r="1044" spans="13:14" x14ac:dyDescent="0.35">
      <c r="M1044" s="64" t="s">
        <v>1296</v>
      </c>
      <c r="N1044" s="61">
        <f>INDEX(Data!$9:$9,1,MATCH(M1044,detail_table[#Headers],0))</f>
        <v>0</v>
      </c>
    </row>
    <row r="1045" spans="13:14" x14ac:dyDescent="0.35">
      <c r="M1045" s="64" t="s">
        <v>1297</v>
      </c>
      <c r="N1045" s="61">
        <f>INDEX(Data!$9:$9,1,MATCH(M1045,detail_table[#Headers],0))</f>
        <v>0</v>
      </c>
    </row>
    <row r="1046" spans="13:14" x14ac:dyDescent="0.35">
      <c r="M1046" s="64" t="s">
        <v>1298</v>
      </c>
      <c r="N1046" s="61">
        <f>INDEX(Data!$9:$9,1,MATCH(M1046,detail_table[#Headers],0))</f>
        <v>0</v>
      </c>
    </row>
    <row r="1047" spans="13:14" x14ac:dyDescent="0.35">
      <c r="M1047" s="64" t="s">
        <v>1299</v>
      </c>
      <c r="N1047" s="61">
        <f>INDEX(Data!$9:$9,1,MATCH(M1047,detail_table[#Headers],0))</f>
        <v>0</v>
      </c>
    </row>
    <row r="1048" spans="13:14" x14ac:dyDescent="0.35">
      <c r="M1048" s="64" t="s">
        <v>1300</v>
      </c>
      <c r="N1048" s="61">
        <f>INDEX(Data!$9:$9,1,MATCH(M1048,detail_table[#Headers],0))</f>
        <v>0</v>
      </c>
    </row>
    <row r="1049" spans="13:14" x14ac:dyDescent="0.35">
      <c r="M1049" s="64" t="s">
        <v>1301</v>
      </c>
      <c r="N1049" s="61">
        <f>INDEX(Data!$9:$9,1,MATCH(M1049,detail_table[#Headers],0))</f>
        <v>0</v>
      </c>
    </row>
    <row r="1050" spans="13:14" x14ac:dyDescent="0.35">
      <c r="M1050" s="64" t="s">
        <v>1302</v>
      </c>
      <c r="N1050" s="61">
        <f>INDEX(Data!$9:$9,1,MATCH(M1050,detail_table[#Headers],0))</f>
        <v>0</v>
      </c>
    </row>
    <row r="1051" spans="13:14" x14ac:dyDescent="0.35">
      <c r="M1051" s="64" t="s">
        <v>1303</v>
      </c>
      <c r="N1051" s="61">
        <f>INDEX(Data!$9:$9,1,MATCH(M1051,detail_table[#Headers],0))</f>
        <v>0</v>
      </c>
    </row>
    <row r="1052" spans="13:14" x14ac:dyDescent="0.35">
      <c r="M1052" s="64" t="s">
        <v>1304</v>
      </c>
      <c r="N1052" s="61">
        <f>INDEX(Data!$9:$9,1,MATCH(M1052,detail_table[#Headers],0))</f>
        <v>0</v>
      </c>
    </row>
    <row r="1053" spans="13:14" x14ac:dyDescent="0.35">
      <c r="M1053" s="64" t="s">
        <v>1305</v>
      </c>
      <c r="N1053" s="61">
        <f>INDEX(Data!$9:$9,1,MATCH(M1053,detail_table[#Headers],0))</f>
        <v>0</v>
      </c>
    </row>
    <row r="1054" spans="13:14" x14ac:dyDescent="0.35">
      <c r="M1054" s="64" t="s">
        <v>1306</v>
      </c>
      <c r="N1054" s="61">
        <f>INDEX(Data!$9:$9,1,MATCH(M1054,detail_table[#Headers],0))</f>
        <v>0</v>
      </c>
    </row>
    <row r="1055" spans="13:14" x14ac:dyDescent="0.35">
      <c r="M1055" s="64" t="s">
        <v>1307</v>
      </c>
      <c r="N1055" s="61">
        <f>INDEX(Data!$9:$9,1,MATCH(M1055,detail_table[#Headers],0))</f>
        <v>0</v>
      </c>
    </row>
    <row r="1056" spans="13:14" x14ac:dyDescent="0.35">
      <c r="M1056" s="64" t="s">
        <v>1308</v>
      </c>
      <c r="N1056" s="61">
        <f>INDEX(Data!$9:$9,1,MATCH(M1056,detail_table[#Headers],0))</f>
        <v>0</v>
      </c>
    </row>
    <row r="1057" spans="13:14" x14ac:dyDescent="0.35">
      <c r="M1057" s="64" t="s">
        <v>1309</v>
      </c>
      <c r="N1057" s="61">
        <f>INDEX(Data!$9:$9,1,MATCH(M1057,detail_table[#Headers],0))</f>
        <v>0</v>
      </c>
    </row>
    <row r="1058" spans="13:14" x14ac:dyDescent="0.35">
      <c r="M1058" s="64" t="s">
        <v>1310</v>
      </c>
      <c r="N1058" s="61">
        <f>INDEX(Data!$9:$9,1,MATCH(M1058,detail_table[#Headers],0))</f>
        <v>0</v>
      </c>
    </row>
    <row r="1059" spans="13:14" x14ac:dyDescent="0.35">
      <c r="M1059" s="64" t="s">
        <v>1311</v>
      </c>
      <c r="N1059" s="61">
        <f>INDEX(Data!$9:$9,1,MATCH(M1059,detail_table[#Headers],0))</f>
        <v>0</v>
      </c>
    </row>
    <row r="1060" spans="13:14" x14ac:dyDescent="0.35">
      <c r="M1060" s="64" t="s">
        <v>1312</v>
      </c>
      <c r="N1060" s="61">
        <f>INDEX(Data!$9:$9,1,MATCH(M1060,detail_table[#Headers],0))</f>
        <v>0</v>
      </c>
    </row>
    <row r="1061" spans="13:14" x14ac:dyDescent="0.35">
      <c r="M1061" s="64" t="s">
        <v>1313</v>
      </c>
      <c r="N1061" s="61">
        <f>INDEX(Data!$9:$9,1,MATCH(M1061,detail_table[#Headers],0))</f>
        <v>0</v>
      </c>
    </row>
    <row r="1062" spans="13:14" x14ac:dyDescent="0.35">
      <c r="M1062" s="64" t="s">
        <v>1314</v>
      </c>
      <c r="N1062" s="61">
        <f>INDEX(Data!$9:$9,1,MATCH(M1062,detail_table[#Headers],0))</f>
        <v>0</v>
      </c>
    </row>
    <row r="1063" spans="13:14" x14ac:dyDescent="0.35">
      <c r="M1063" s="64" t="s">
        <v>1315</v>
      </c>
      <c r="N1063" s="61">
        <f>INDEX(Data!$9:$9,1,MATCH(M1063,detail_table[#Headers],0))</f>
        <v>0</v>
      </c>
    </row>
    <row r="1064" spans="13:14" x14ac:dyDescent="0.35">
      <c r="M1064" s="64" t="s">
        <v>1316</v>
      </c>
      <c r="N1064" s="61">
        <f>INDEX(Data!$9:$9,1,MATCH(M1064,detail_table[#Headers],0))</f>
        <v>0</v>
      </c>
    </row>
    <row r="1065" spans="13:14" x14ac:dyDescent="0.35">
      <c r="M1065" s="64" t="s">
        <v>1317</v>
      </c>
      <c r="N1065" s="61">
        <f>INDEX(Data!$9:$9,1,MATCH(M1065,detail_table[#Headers],0))</f>
        <v>0</v>
      </c>
    </row>
    <row r="1066" spans="13:14" x14ac:dyDescent="0.35">
      <c r="M1066" s="64" t="s">
        <v>1318</v>
      </c>
      <c r="N1066" s="61">
        <f>INDEX(Data!$9:$9,1,MATCH(M1066,detail_table[#Headers],0))</f>
        <v>0</v>
      </c>
    </row>
    <row r="1067" spans="13:14" x14ac:dyDescent="0.35">
      <c r="M1067" s="64" t="s">
        <v>1319</v>
      </c>
      <c r="N1067" s="61">
        <f>INDEX(Data!$9:$9,1,MATCH(M1067,detail_table[#Headers],0))</f>
        <v>0</v>
      </c>
    </row>
    <row r="1068" spans="13:14" x14ac:dyDescent="0.35">
      <c r="M1068" s="64" t="s">
        <v>1320</v>
      </c>
      <c r="N1068" s="61">
        <f>INDEX(Data!$9:$9,1,MATCH(M1068,detail_table[#Headers],0))</f>
        <v>0</v>
      </c>
    </row>
    <row r="1069" spans="13:14" x14ac:dyDescent="0.35">
      <c r="M1069" s="64" t="s">
        <v>1321</v>
      </c>
      <c r="N1069" s="61">
        <f>INDEX(Data!$9:$9,1,MATCH(M1069,detail_table[#Headers],0))</f>
        <v>0</v>
      </c>
    </row>
    <row r="1070" spans="13:14" x14ac:dyDescent="0.35">
      <c r="M1070" s="64" t="s">
        <v>1322</v>
      </c>
      <c r="N1070" s="61">
        <f>INDEX(Data!$9:$9,1,MATCH(M1070,detail_table[#Headers],0))</f>
        <v>0</v>
      </c>
    </row>
    <row r="1071" spans="13:14" x14ac:dyDescent="0.35">
      <c r="M1071" s="64" t="s">
        <v>1323</v>
      </c>
      <c r="N1071" s="61">
        <f>INDEX(Data!$9:$9,1,MATCH(M1071,detail_table[#Headers],0))</f>
        <v>0</v>
      </c>
    </row>
    <row r="1072" spans="13:14" x14ac:dyDescent="0.35">
      <c r="M1072" s="64" t="s">
        <v>1324</v>
      </c>
      <c r="N1072" s="61">
        <f>INDEX(Data!$9:$9,1,MATCH(M1072,detail_table[#Headers],0))</f>
        <v>0</v>
      </c>
    </row>
    <row r="1073" spans="13:14" x14ac:dyDescent="0.35">
      <c r="M1073" s="64" t="s">
        <v>1325</v>
      </c>
      <c r="N1073" s="61">
        <f>INDEX(Data!$9:$9,1,MATCH(M1073,detail_table[#Headers],0))</f>
        <v>0</v>
      </c>
    </row>
    <row r="1074" spans="13:14" x14ac:dyDescent="0.35">
      <c r="M1074" s="64" t="s">
        <v>1946</v>
      </c>
      <c r="N1074" s="61">
        <f>INDEX(Data!$9:$9,1,MATCH(M1074,detail_table[#Headers],0))</f>
        <v>0</v>
      </c>
    </row>
    <row r="1075" spans="13:14" x14ac:dyDescent="0.35">
      <c r="M1075" s="64" t="s">
        <v>1947</v>
      </c>
      <c r="N1075" s="61">
        <f>INDEX(Data!$9:$9,1,MATCH(M1075,detail_table[#Headers],0))</f>
        <v>0</v>
      </c>
    </row>
    <row r="1076" spans="13:14" x14ac:dyDescent="0.35">
      <c r="M1076" s="64" t="s">
        <v>1948</v>
      </c>
      <c r="N1076" s="61">
        <f>INDEX(Data!$9:$9,1,MATCH(M1076,detail_table[#Headers],0))</f>
        <v>0</v>
      </c>
    </row>
    <row r="1077" spans="13:14" x14ac:dyDescent="0.35">
      <c r="M1077" s="64" t="s">
        <v>1949</v>
      </c>
      <c r="N1077" s="61">
        <f>INDEX(Data!$9:$9,1,MATCH(M1077,detail_table[#Headers],0))</f>
        <v>0</v>
      </c>
    </row>
    <row r="1078" spans="13:14" x14ac:dyDescent="0.35">
      <c r="M1078" s="64" t="s">
        <v>1950</v>
      </c>
      <c r="N1078" s="61">
        <f>INDEX(Data!$9:$9,1,MATCH(M1078,detail_table[#Headers],0))</f>
        <v>0</v>
      </c>
    </row>
    <row r="1079" spans="13:14" x14ac:dyDescent="0.35">
      <c r="M1079" s="64" t="s">
        <v>1326</v>
      </c>
      <c r="N1079" s="61">
        <f>INDEX(Data!$9:$9,1,MATCH(M1079,detail_table[#Headers],0))</f>
        <v>0</v>
      </c>
    </row>
    <row r="1080" spans="13:14" x14ac:dyDescent="0.35">
      <c r="M1080" s="64" t="s">
        <v>1327</v>
      </c>
      <c r="N1080" s="61">
        <f>INDEX(Data!$9:$9,1,MATCH(M1080,detail_table[#Headers],0))</f>
        <v>0</v>
      </c>
    </row>
    <row r="1081" spans="13:14" x14ac:dyDescent="0.35">
      <c r="M1081" s="64" t="s">
        <v>1328</v>
      </c>
      <c r="N1081" s="61">
        <f>INDEX(Data!$9:$9,1,MATCH(M1081,detail_table[#Headers],0))</f>
        <v>0</v>
      </c>
    </row>
    <row r="1082" spans="13:14" x14ac:dyDescent="0.35">
      <c r="M1082" s="64" t="s">
        <v>1329</v>
      </c>
      <c r="N1082" s="61">
        <f>INDEX(Data!$9:$9,1,MATCH(M1082,detail_table[#Headers],0))</f>
        <v>0</v>
      </c>
    </row>
    <row r="1083" spans="13:14" x14ac:dyDescent="0.35">
      <c r="M1083" s="64" t="s">
        <v>1330</v>
      </c>
      <c r="N1083" s="61">
        <f>INDEX(Data!$9:$9,1,MATCH(M1083,detail_table[#Headers],0))</f>
        <v>0</v>
      </c>
    </row>
    <row r="1084" spans="13:14" x14ac:dyDescent="0.35">
      <c r="M1084" s="64" t="s">
        <v>1331</v>
      </c>
      <c r="N1084" s="61">
        <f>INDEX(Data!$9:$9,1,MATCH(M1084,detail_table[#Headers],0))</f>
        <v>0</v>
      </c>
    </row>
    <row r="1085" spans="13:14" x14ac:dyDescent="0.35">
      <c r="M1085" s="64" t="s">
        <v>1332</v>
      </c>
      <c r="N1085" s="61">
        <f>INDEX(Data!$9:$9,1,MATCH(M1085,detail_table[#Headers],0))</f>
        <v>0</v>
      </c>
    </row>
    <row r="1086" spans="13:14" x14ac:dyDescent="0.35">
      <c r="M1086" s="64" t="s">
        <v>1333</v>
      </c>
      <c r="N1086" s="61">
        <f>INDEX(Data!$9:$9,1,MATCH(M1086,detail_table[#Headers],0))</f>
        <v>0</v>
      </c>
    </row>
    <row r="1087" spans="13:14" x14ac:dyDescent="0.35">
      <c r="M1087" s="64" t="s">
        <v>1334</v>
      </c>
      <c r="N1087" s="61">
        <f>INDEX(Data!$9:$9,1,MATCH(M1087,detail_table[#Headers],0))</f>
        <v>0</v>
      </c>
    </row>
    <row r="1088" spans="13:14" x14ac:dyDescent="0.35">
      <c r="M1088" s="64" t="s">
        <v>1335</v>
      </c>
      <c r="N1088" s="61">
        <f>INDEX(Data!$9:$9,1,MATCH(M1088,detail_table[#Headers],0))</f>
        <v>0</v>
      </c>
    </row>
    <row r="1089" spans="13:14" x14ac:dyDescent="0.35">
      <c r="M1089" s="64" t="s">
        <v>1336</v>
      </c>
      <c r="N1089" s="61">
        <f>INDEX(Data!$9:$9,1,MATCH(M1089,detail_table[#Headers],0))</f>
        <v>0</v>
      </c>
    </row>
    <row r="1090" spans="13:14" x14ac:dyDescent="0.35">
      <c r="M1090" s="64" t="s">
        <v>1337</v>
      </c>
      <c r="N1090" s="61">
        <f>INDEX(Data!$9:$9,1,MATCH(M1090,detail_table[#Headers],0))</f>
        <v>0</v>
      </c>
    </row>
    <row r="1091" spans="13:14" x14ac:dyDescent="0.35">
      <c r="M1091" s="64" t="s">
        <v>1338</v>
      </c>
      <c r="N1091" s="61">
        <f>INDEX(Data!$9:$9,1,MATCH(M1091,detail_table[#Headers],0))</f>
        <v>0</v>
      </c>
    </row>
    <row r="1092" spans="13:14" x14ac:dyDescent="0.35">
      <c r="M1092" s="64" t="s">
        <v>1339</v>
      </c>
      <c r="N1092" s="61">
        <f>INDEX(Data!$9:$9,1,MATCH(M1092,detail_table[#Headers],0))</f>
        <v>0</v>
      </c>
    </row>
    <row r="1093" spans="13:14" x14ac:dyDescent="0.35">
      <c r="M1093" s="64" t="s">
        <v>1340</v>
      </c>
      <c r="N1093" s="61">
        <f>INDEX(Data!$9:$9,1,MATCH(M1093,detail_table[#Headers],0))</f>
        <v>0</v>
      </c>
    </row>
    <row r="1094" spans="13:14" x14ac:dyDescent="0.35">
      <c r="M1094" s="64" t="s">
        <v>1341</v>
      </c>
      <c r="N1094" s="61">
        <f>INDEX(Data!$9:$9,1,MATCH(M1094,detail_table[#Headers],0))</f>
        <v>0</v>
      </c>
    </row>
    <row r="1095" spans="13:14" x14ac:dyDescent="0.35">
      <c r="M1095" s="64" t="s">
        <v>1342</v>
      </c>
      <c r="N1095" s="61">
        <f>INDEX(Data!$9:$9,1,MATCH(M1095,detail_table[#Headers],0))</f>
        <v>0</v>
      </c>
    </row>
    <row r="1096" spans="13:14" x14ac:dyDescent="0.35">
      <c r="M1096" s="64" t="s">
        <v>1343</v>
      </c>
      <c r="N1096" s="61">
        <f>INDEX(Data!$9:$9,1,MATCH(M1096,detail_table[#Headers],0))</f>
        <v>0</v>
      </c>
    </row>
    <row r="1097" spans="13:14" x14ac:dyDescent="0.35">
      <c r="M1097" s="64" t="s">
        <v>1344</v>
      </c>
      <c r="N1097" s="61">
        <f>INDEX(Data!$9:$9,1,MATCH(M1097,detail_table[#Headers],0))</f>
        <v>0</v>
      </c>
    </row>
    <row r="1098" spans="13:14" x14ac:dyDescent="0.35">
      <c r="M1098" s="64" t="s">
        <v>1345</v>
      </c>
      <c r="N1098" s="61">
        <f>INDEX(Data!$9:$9,1,MATCH(M1098,detail_table[#Headers],0))</f>
        <v>0</v>
      </c>
    </row>
    <row r="1099" spans="13:14" x14ac:dyDescent="0.35">
      <c r="M1099" s="64" t="s">
        <v>1346</v>
      </c>
      <c r="N1099" s="61">
        <f>INDEX(Data!$9:$9,1,MATCH(M1099,detail_table[#Headers],0))</f>
        <v>0</v>
      </c>
    </row>
    <row r="1100" spans="13:14" x14ac:dyDescent="0.35">
      <c r="M1100" s="64" t="s">
        <v>1347</v>
      </c>
      <c r="N1100" s="61">
        <f>INDEX(Data!$9:$9,1,MATCH(M1100,detail_table[#Headers],0))</f>
        <v>0</v>
      </c>
    </row>
    <row r="1101" spans="13:14" x14ac:dyDescent="0.35">
      <c r="M1101" s="64" t="s">
        <v>1348</v>
      </c>
      <c r="N1101" s="61">
        <f>INDEX(Data!$9:$9,1,MATCH(M1101,detail_table[#Headers],0))</f>
        <v>0</v>
      </c>
    </row>
    <row r="1102" spans="13:14" x14ac:dyDescent="0.35">
      <c r="M1102" s="64" t="s">
        <v>1349</v>
      </c>
      <c r="N1102" s="61">
        <f>INDEX(Data!$9:$9,1,MATCH(M1102,detail_table[#Headers],0))</f>
        <v>0</v>
      </c>
    </row>
    <row r="1103" spans="13:14" x14ac:dyDescent="0.35">
      <c r="M1103" s="64" t="s">
        <v>1350</v>
      </c>
      <c r="N1103" s="61">
        <f>INDEX(Data!$9:$9,1,MATCH(M1103,detail_table[#Headers],0))</f>
        <v>0</v>
      </c>
    </row>
    <row r="1104" spans="13:14" x14ac:dyDescent="0.35">
      <c r="M1104" s="64" t="s">
        <v>1351</v>
      </c>
      <c r="N1104" s="61">
        <f>INDEX(Data!$9:$9,1,MATCH(M1104,detail_table[#Headers],0))</f>
        <v>0</v>
      </c>
    </row>
    <row r="1105" spans="13:14" x14ac:dyDescent="0.35">
      <c r="M1105" s="64" t="s">
        <v>1352</v>
      </c>
      <c r="N1105" s="61">
        <f>INDEX(Data!$9:$9,1,MATCH(M1105,detail_table[#Headers],0))</f>
        <v>0</v>
      </c>
    </row>
    <row r="1106" spans="13:14" x14ac:dyDescent="0.35">
      <c r="M1106" s="64" t="s">
        <v>1353</v>
      </c>
      <c r="N1106" s="61">
        <f>INDEX(Data!$9:$9,1,MATCH(M1106,detail_table[#Headers],0))</f>
        <v>0</v>
      </c>
    </row>
    <row r="1107" spans="13:14" x14ac:dyDescent="0.35">
      <c r="M1107" s="64" t="s">
        <v>1354</v>
      </c>
      <c r="N1107" s="61">
        <f>INDEX(Data!$9:$9,1,MATCH(M1107,detail_table[#Headers],0))</f>
        <v>0</v>
      </c>
    </row>
    <row r="1108" spans="13:14" x14ac:dyDescent="0.35">
      <c r="M1108" s="64" t="s">
        <v>1355</v>
      </c>
      <c r="N1108" s="61">
        <f>INDEX(Data!$9:$9,1,MATCH(M1108,detail_table[#Headers],0))</f>
        <v>0</v>
      </c>
    </row>
    <row r="1109" spans="13:14" x14ac:dyDescent="0.35">
      <c r="M1109" s="64" t="s">
        <v>1356</v>
      </c>
      <c r="N1109" s="61">
        <f>INDEX(Data!$9:$9,1,MATCH(M1109,detail_table[#Headers],0))</f>
        <v>0</v>
      </c>
    </row>
    <row r="1110" spans="13:14" x14ac:dyDescent="0.35">
      <c r="M1110" s="64" t="s">
        <v>1357</v>
      </c>
      <c r="N1110" s="61">
        <f>INDEX(Data!$9:$9,1,MATCH(M1110,detail_table[#Headers],0))</f>
        <v>0</v>
      </c>
    </row>
    <row r="1111" spans="13:14" x14ac:dyDescent="0.35">
      <c r="M1111" s="64" t="s">
        <v>1358</v>
      </c>
      <c r="N1111" s="61">
        <f>INDEX(Data!$9:$9,1,MATCH(M1111,detail_table[#Headers],0))</f>
        <v>0</v>
      </c>
    </row>
    <row r="1112" spans="13:14" x14ac:dyDescent="0.35">
      <c r="M1112" s="64" t="s">
        <v>1359</v>
      </c>
      <c r="N1112" s="61">
        <f>INDEX(Data!$9:$9,1,MATCH(M1112,detail_table[#Headers],0))</f>
        <v>0</v>
      </c>
    </row>
    <row r="1113" spans="13:14" x14ac:dyDescent="0.35">
      <c r="M1113" s="64" t="s">
        <v>1360</v>
      </c>
      <c r="N1113" s="61">
        <f>INDEX(Data!$9:$9,1,MATCH(M1113,detail_table[#Headers],0))</f>
        <v>0</v>
      </c>
    </row>
    <row r="1114" spans="13:14" x14ac:dyDescent="0.35">
      <c r="M1114" s="64" t="s">
        <v>1361</v>
      </c>
      <c r="N1114" s="61">
        <f>INDEX(Data!$9:$9,1,MATCH(M1114,detail_table[#Headers],0))</f>
        <v>0</v>
      </c>
    </row>
    <row r="1115" spans="13:14" x14ac:dyDescent="0.35">
      <c r="M1115" s="64" t="s">
        <v>1362</v>
      </c>
      <c r="N1115" s="61">
        <f>INDEX(Data!$9:$9,1,MATCH(M1115,detail_table[#Headers],0))</f>
        <v>0</v>
      </c>
    </row>
    <row r="1116" spans="13:14" x14ac:dyDescent="0.35">
      <c r="M1116" s="64" t="s">
        <v>1363</v>
      </c>
      <c r="N1116" s="61">
        <f>INDEX(Data!$9:$9,1,MATCH(M1116,detail_table[#Headers],0))</f>
        <v>0</v>
      </c>
    </row>
    <row r="1117" spans="13:14" x14ac:dyDescent="0.35">
      <c r="M1117" s="64" t="s">
        <v>1364</v>
      </c>
      <c r="N1117" s="61">
        <f>INDEX(Data!$9:$9,1,MATCH(M1117,detail_table[#Headers],0))</f>
        <v>0</v>
      </c>
    </row>
    <row r="1118" spans="13:14" x14ac:dyDescent="0.35">
      <c r="M1118" s="64" t="s">
        <v>1365</v>
      </c>
      <c r="N1118" s="61">
        <f>INDEX(Data!$9:$9,1,MATCH(M1118,detail_table[#Headers],0))</f>
        <v>0</v>
      </c>
    </row>
    <row r="1119" spans="13:14" x14ac:dyDescent="0.35">
      <c r="M1119" s="64" t="s">
        <v>1366</v>
      </c>
      <c r="N1119" s="61">
        <f>INDEX(Data!$9:$9,1,MATCH(M1119,detail_table[#Headers],0))</f>
        <v>0</v>
      </c>
    </row>
    <row r="1120" spans="13:14" x14ac:dyDescent="0.35">
      <c r="M1120" s="64" t="s">
        <v>1367</v>
      </c>
      <c r="N1120" s="61">
        <f>INDEX(Data!$9:$9,1,MATCH(M1120,detail_table[#Headers],0))</f>
        <v>0</v>
      </c>
    </row>
    <row r="1121" spans="13:14" x14ac:dyDescent="0.35">
      <c r="M1121" s="64" t="s">
        <v>1368</v>
      </c>
      <c r="N1121" s="61">
        <f>INDEX(Data!$9:$9,1,MATCH(M1121,detail_table[#Headers],0))</f>
        <v>0</v>
      </c>
    </row>
    <row r="1122" spans="13:14" x14ac:dyDescent="0.35">
      <c r="M1122" s="64" t="s">
        <v>1369</v>
      </c>
      <c r="N1122" s="61">
        <f>INDEX(Data!$9:$9,1,MATCH(M1122,detail_table[#Headers],0))</f>
        <v>0</v>
      </c>
    </row>
    <row r="1123" spans="13:14" x14ac:dyDescent="0.35">
      <c r="M1123" s="64" t="s">
        <v>1370</v>
      </c>
      <c r="N1123" s="61">
        <f>INDEX(Data!$9:$9,1,MATCH(M1123,detail_table[#Headers],0))</f>
        <v>0</v>
      </c>
    </row>
    <row r="1124" spans="13:14" x14ac:dyDescent="0.35">
      <c r="M1124" s="64" t="s">
        <v>1371</v>
      </c>
      <c r="N1124" s="61">
        <f>INDEX(Data!$9:$9,1,MATCH(M1124,detail_table[#Headers],0))</f>
        <v>0</v>
      </c>
    </row>
    <row r="1125" spans="13:14" x14ac:dyDescent="0.35">
      <c r="M1125" s="64" t="s">
        <v>1372</v>
      </c>
      <c r="N1125" s="61">
        <f>INDEX(Data!$9:$9,1,MATCH(M1125,detail_table[#Headers],0))</f>
        <v>0</v>
      </c>
    </row>
    <row r="1126" spans="13:14" x14ac:dyDescent="0.35">
      <c r="M1126" s="64" t="s">
        <v>1373</v>
      </c>
      <c r="N1126" s="61">
        <f>INDEX(Data!$9:$9,1,MATCH(M1126,detail_table[#Headers],0))</f>
        <v>0</v>
      </c>
    </row>
    <row r="1127" spans="13:14" x14ac:dyDescent="0.35">
      <c r="M1127" s="64" t="s">
        <v>1374</v>
      </c>
      <c r="N1127" s="61">
        <f>INDEX(Data!$9:$9,1,MATCH(M1127,detail_table[#Headers],0))</f>
        <v>0</v>
      </c>
    </row>
    <row r="1128" spans="13:14" x14ac:dyDescent="0.35">
      <c r="M1128" s="64" t="s">
        <v>1375</v>
      </c>
      <c r="N1128" s="61">
        <f>INDEX(Data!$9:$9,1,MATCH(M1128,detail_table[#Headers],0))</f>
        <v>0</v>
      </c>
    </row>
    <row r="1129" spans="13:14" x14ac:dyDescent="0.35">
      <c r="M1129" s="64" t="s">
        <v>1376</v>
      </c>
      <c r="N1129" s="61">
        <f>INDEX(Data!$9:$9,1,MATCH(M1129,detail_table[#Headers],0))</f>
        <v>0</v>
      </c>
    </row>
    <row r="1130" spans="13:14" x14ac:dyDescent="0.35">
      <c r="M1130" s="64" t="s">
        <v>1377</v>
      </c>
      <c r="N1130" s="61">
        <f>INDEX(Data!$9:$9,1,MATCH(M1130,detail_table[#Headers],0))</f>
        <v>0</v>
      </c>
    </row>
    <row r="1131" spans="13:14" x14ac:dyDescent="0.35">
      <c r="M1131" s="64" t="s">
        <v>1378</v>
      </c>
      <c r="N1131" s="61">
        <f>INDEX(Data!$9:$9,1,MATCH(M1131,detail_table[#Headers],0))</f>
        <v>0</v>
      </c>
    </row>
    <row r="1132" spans="13:14" x14ac:dyDescent="0.35">
      <c r="M1132" s="64" t="s">
        <v>1379</v>
      </c>
      <c r="N1132" s="61">
        <f>INDEX(Data!$9:$9,1,MATCH(M1132,detail_table[#Headers],0))</f>
        <v>0</v>
      </c>
    </row>
    <row r="1133" spans="13:14" x14ac:dyDescent="0.35">
      <c r="M1133" s="64" t="s">
        <v>1380</v>
      </c>
      <c r="N1133" s="61">
        <f>INDEX(Data!$9:$9,1,MATCH(M1133,detail_table[#Headers],0))</f>
        <v>0</v>
      </c>
    </row>
    <row r="1134" spans="13:14" x14ac:dyDescent="0.35">
      <c r="M1134" s="64" t="s">
        <v>1381</v>
      </c>
      <c r="N1134" s="61">
        <f>INDEX(Data!$9:$9,1,MATCH(M1134,detail_table[#Headers],0))</f>
        <v>0</v>
      </c>
    </row>
    <row r="1135" spans="13:14" x14ac:dyDescent="0.35">
      <c r="M1135" s="64" t="s">
        <v>1382</v>
      </c>
      <c r="N1135" s="61">
        <f>INDEX(Data!$9:$9,1,MATCH(M1135,detail_table[#Headers],0))</f>
        <v>0</v>
      </c>
    </row>
    <row r="1136" spans="13:14" x14ac:dyDescent="0.35">
      <c r="M1136" s="64" t="s">
        <v>1383</v>
      </c>
      <c r="N1136" s="61">
        <f>INDEX(Data!$9:$9,1,MATCH(M1136,detail_table[#Headers],0))</f>
        <v>0</v>
      </c>
    </row>
    <row r="1137" spans="13:14" x14ac:dyDescent="0.35">
      <c r="M1137" s="64" t="s">
        <v>1384</v>
      </c>
      <c r="N1137" s="61">
        <f>INDEX(Data!$9:$9,1,MATCH(M1137,detail_table[#Headers],0))</f>
        <v>0</v>
      </c>
    </row>
    <row r="1138" spans="13:14" x14ac:dyDescent="0.35">
      <c r="M1138" s="64" t="s">
        <v>1385</v>
      </c>
      <c r="N1138" s="61">
        <f>INDEX(Data!$9:$9,1,MATCH(M1138,detail_table[#Headers],0))</f>
        <v>0</v>
      </c>
    </row>
    <row r="1139" spans="13:14" x14ac:dyDescent="0.35">
      <c r="M1139" s="64" t="s">
        <v>1386</v>
      </c>
      <c r="N1139" s="61">
        <f>INDEX(Data!$9:$9,1,MATCH(M1139,detail_table[#Headers],0))</f>
        <v>0</v>
      </c>
    </row>
    <row r="1140" spans="13:14" x14ac:dyDescent="0.35">
      <c r="M1140" s="64" t="s">
        <v>1387</v>
      </c>
      <c r="N1140" s="61">
        <f>INDEX(Data!$9:$9,1,MATCH(M1140,detail_table[#Headers],0))</f>
        <v>0</v>
      </c>
    </row>
    <row r="1141" spans="13:14" x14ac:dyDescent="0.35">
      <c r="M1141" s="64" t="s">
        <v>1388</v>
      </c>
      <c r="N1141" s="61">
        <f>INDEX(Data!$9:$9,1,MATCH(M1141,detail_table[#Headers],0))</f>
        <v>0</v>
      </c>
    </row>
    <row r="1142" spans="13:14" x14ac:dyDescent="0.35">
      <c r="M1142" s="64" t="s">
        <v>1389</v>
      </c>
      <c r="N1142" s="61">
        <f>INDEX(Data!$9:$9,1,MATCH(M1142,detail_table[#Headers],0))</f>
        <v>0</v>
      </c>
    </row>
    <row r="1143" spans="13:14" x14ac:dyDescent="0.35">
      <c r="M1143" s="64" t="s">
        <v>1390</v>
      </c>
      <c r="N1143" s="61">
        <f>INDEX(Data!$9:$9,1,MATCH(M1143,detail_table[#Headers],0))</f>
        <v>0</v>
      </c>
    </row>
    <row r="1144" spans="13:14" x14ac:dyDescent="0.35">
      <c r="M1144" s="64" t="s">
        <v>1391</v>
      </c>
      <c r="N1144" s="61">
        <f>INDEX(Data!$9:$9,1,MATCH(M1144,detail_table[#Headers],0))</f>
        <v>0</v>
      </c>
    </row>
    <row r="1145" spans="13:14" x14ac:dyDescent="0.35">
      <c r="M1145" s="64" t="s">
        <v>1392</v>
      </c>
      <c r="N1145" s="61">
        <f>INDEX(Data!$9:$9,1,MATCH(M1145,detail_table[#Headers],0))</f>
        <v>0</v>
      </c>
    </row>
    <row r="1146" spans="13:14" x14ac:dyDescent="0.35">
      <c r="M1146" s="64" t="s">
        <v>1393</v>
      </c>
      <c r="N1146" s="61">
        <f>INDEX(Data!$9:$9,1,MATCH(M1146,detail_table[#Headers],0))</f>
        <v>0</v>
      </c>
    </row>
    <row r="1147" spans="13:14" x14ac:dyDescent="0.35">
      <c r="M1147" s="64" t="s">
        <v>1394</v>
      </c>
      <c r="N1147" s="61">
        <f>INDEX(Data!$9:$9,1,MATCH(M1147,detail_table[#Headers],0))</f>
        <v>0</v>
      </c>
    </row>
    <row r="1148" spans="13:14" x14ac:dyDescent="0.35">
      <c r="M1148" s="64" t="s">
        <v>1395</v>
      </c>
      <c r="N1148" s="61">
        <f>INDEX(Data!$9:$9,1,MATCH(M1148,detail_table[#Headers],0))</f>
        <v>0</v>
      </c>
    </row>
    <row r="1149" spans="13:14" x14ac:dyDescent="0.35">
      <c r="M1149" s="64" t="s">
        <v>1396</v>
      </c>
      <c r="N1149" s="61">
        <f>INDEX(Data!$9:$9,1,MATCH(M1149,detail_table[#Headers],0))</f>
        <v>0</v>
      </c>
    </row>
    <row r="1150" spans="13:14" x14ac:dyDescent="0.35">
      <c r="M1150" s="64" t="s">
        <v>1397</v>
      </c>
      <c r="N1150" s="61">
        <f>INDEX(Data!$9:$9,1,MATCH(M1150,detail_table[#Headers],0))</f>
        <v>0</v>
      </c>
    </row>
    <row r="1151" spans="13:14" x14ac:dyDescent="0.35">
      <c r="M1151" s="64" t="s">
        <v>1398</v>
      </c>
      <c r="N1151" s="61">
        <f>INDEX(Data!$9:$9,1,MATCH(M1151,detail_table[#Headers],0))</f>
        <v>0</v>
      </c>
    </row>
    <row r="1152" spans="13:14" x14ac:dyDescent="0.35">
      <c r="M1152" s="64" t="s">
        <v>1399</v>
      </c>
      <c r="N1152" s="61">
        <f>INDEX(Data!$9:$9,1,MATCH(M1152,detail_table[#Headers],0))</f>
        <v>0</v>
      </c>
    </row>
    <row r="1153" spans="13:14" x14ac:dyDescent="0.35">
      <c r="M1153" s="64" t="s">
        <v>1400</v>
      </c>
      <c r="N1153" s="61">
        <f>INDEX(Data!$9:$9,1,MATCH(M1153,detail_table[#Headers],0))</f>
        <v>0</v>
      </c>
    </row>
    <row r="1154" spans="13:14" x14ac:dyDescent="0.35">
      <c r="M1154" s="64" t="s">
        <v>1401</v>
      </c>
      <c r="N1154" s="61">
        <f>INDEX(Data!$9:$9,1,MATCH(M1154,detail_table[#Headers],0))</f>
        <v>0</v>
      </c>
    </row>
    <row r="1155" spans="13:14" x14ac:dyDescent="0.35">
      <c r="M1155" s="64" t="s">
        <v>1402</v>
      </c>
      <c r="N1155" s="61">
        <f>INDEX(Data!$9:$9,1,MATCH(M1155,detail_table[#Headers],0))</f>
        <v>0</v>
      </c>
    </row>
    <row r="1156" spans="13:14" x14ac:dyDescent="0.35">
      <c r="M1156" s="64" t="s">
        <v>1403</v>
      </c>
      <c r="N1156" s="61">
        <f>INDEX(Data!$9:$9,1,MATCH(M1156,detail_table[#Headers],0))</f>
        <v>0</v>
      </c>
    </row>
    <row r="1157" spans="13:14" x14ac:dyDescent="0.35">
      <c r="M1157" s="64" t="s">
        <v>1404</v>
      </c>
      <c r="N1157" s="61">
        <f>INDEX(Data!$9:$9,1,MATCH(M1157,detail_table[#Headers],0))</f>
        <v>0</v>
      </c>
    </row>
    <row r="1158" spans="13:14" x14ac:dyDescent="0.35">
      <c r="M1158" s="64" t="s">
        <v>1405</v>
      </c>
      <c r="N1158" s="61">
        <f>INDEX(Data!$9:$9,1,MATCH(M1158,detail_table[#Headers],0))</f>
        <v>0</v>
      </c>
    </row>
    <row r="1159" spans="13:14" x14ac:dyDescent="0.35">
      <c r="M1159" s="64" t="s">
        <v>1406</v>
      </c>
      <c r="N1159" s="61">
        <f>INDEX(Data!$9:$9,1,MATCH(M1159,detail_table[#Headers],0))</f>
        <v>0</v>
      </c>
    </row>
    <row r="1160" spans="13:14" x14ac:dyDescent="0.35">
      <c r="M1160" s="64" t="s">
        <v>1407</v>
      </c>
      <c r="N1160" s="61">
        <f>INDEX(Data!$9:$9,1,MATCH(M1160,detail_table[#Headers],0))</f>
        <v>0</v>
      </c>
    </row>
    <row r="1161" spans="13:14" x14ac:dyDescent="0.35">
      <c r="M1161" s="64" t="s">
        <v>1408</v>
      </c>
      <c r="N1161" s="61">
        <f>INDEX(Data!$9:$9,1,MATCH(M1161,detail_table[#Headers],0))</f>
        <v>0</v>
      </c>
    </row>
    <row r="1162" spans="13:14" x14ac:dyDescent="0.35">
      <c r="M1162" s="64" t="s">
        <v>1409</v>
      </c>
      <c r="N1162" s="61">
        <f>INDEX(Data!$9:$9,1,MATCH(M1162,detail_table[#Headers],0))</f>
        <v>0</v>
      </c>
    </row>
    <row r="1163" spans="13:14" x14ac:dyDescent="0.35">
      <c r="M1163" s="64" t="s">
        <v>1410</v>
      </c>
      <c r="N1163" s="61">
        <f>INDEX(Data!$9:$9,1,MATCH(M1163,detail_table[#Headers],0))</f>
        <v>0</v>
      </c>
    </row>
    <row r="1164" spans="13:14" x14ac:dyDescent="0.35">
      <c r="M1164" s="64" t="s">
        <v>1411</v>
      </c>
      <c r="N1164" s="61">
        <f>INDEX(Data!$9:$9,1,MATCH(M1164,detail_table[#Headers],0))</f>
        <v>0</v>
      </c>
    </row>
    <row r="1165" spans="13:14" x14ac:dyDescent="0.35">
      <c r="M1165" s="64" t="s">
        <v>1412</v>
      </c>
      <c r="N1165" s="61">
        <f>INDEX(Data!$9:$9,1,MATCH(M1165,detail_table[#Headers],0))</f>
        <v>0</v>
      </c>
    </row>
    <row r="1166" spans="13:14" x14ac:dyDescent="0.35">
      <c r="M1166" s="64" t="s">
        <v>1413</v>
      </c>
      <c r="N1166" s="61">
        <f>INDEX(Data!$9:$9,1,MATCH(M1166,detail_table[#Headers],0))</f>
        <v>0</v>
      </c>
    </row>
    <row r="1167" spans="13:14" x14ac:dyDescent="0.35">
      <c r="M1167" s="64" t="s">
        <v>1414</v>
      </c>
      <c r="N1167" s="61">
        <f>INDEX(Data!$9:$9,1,MATCH(M1167,detail_table[#Headers],0))</f>
        <v>0</v>
      </c>
    </row>
    <row r="1168" spans="13:14" x14ac:dyDescent="0.35">
      <c r="M1168" s="64" t="s">
        <v>1415</v>
      </c>
      <c r="N1168" s="61">
        <f>INDEX(Data!$9:$9,1,MATCH(M1168,detail_table[#Headers],0))</f>
        <v>0</v>
      </c>
    </row>
    <row r="1169" spans="13:14" x14ac:dyDescent="0.35">
      <c r="M1169" s="64" t="s">
        <v>1416</v>
      </c>
      <c r="N1169" s="61">
        <f>INDEX(Data!$9:$9,1,MATCH(M1169,detail_table[#Headers],0))</f>
        <v>0</v>
      </c>
    </row>
    <row r="1170" spans="13:14" x14ac:dyDescent="0.35">
      <c r="M1170" s="64" t="s">
        <v>1417</v>
      </c>
      <c r="N1170" s="61">
        <f>INDEX(Data!$9:$9,1,MATCH(M1170,detail_table[#Headers],0))</f>
        <v>0</v>
      </c>
    </row>
    <row r="1171" spans="13:14" x14ac:dyDescent="0.35">
      <c r="M1171" s="64" t="s">
        <v>1418</v>
      </c>
      <c r="N1171" s="61">
        <f>INDEX(Data!$9:$9,1,MATCH(M1171,detail_table[#Headers],0))</f>
        <v>0</v>
      </c>
    </row>
    <row r="1172" spans="13:14" x14ac:dyDescent="0.35">
      <c r="M1172" s="64" t="s">
        <v>1419</v>
      </c>
      <c r="N1172" s="61">
        <f>INDEX(Data!$9:$9,1,MATCH(M1172,detail_table[#Headers],0))</f>
        <v>0</v>
      </c>
    </row>
    <row r="1173" spans="13:14" x14ac:dyDescent="0.35">
      <c r="M1173" s="64" t="s">
        <v>1420</v>
      </c>
      <c r="N1173" s="61">
        <f>INDEX(Data!$9:$9,1,MATCH(M1173,detail_table[#Headers],0))</f>
        <v>0</v>
      </c>
    </row>
    <row r="1174" spans="13:14" x14ac:dyDescent="0.35">
      <c r="M1174" s="64" t="s">
        <v>1421</v>
      </c>
      <c r="N1174" s="61">
        <f>INDEX(Data!$9:$9,1,MATCH(M1174,detail_table[#Headers],0))</f>
        <v>0</v>
      </c>
    </row>
    <row r="1175" spans="13:14" x14ac:dyDescent="0.35">
      <c r="M1175" s="64" t="s">
        <v>1422</v>
      </c>
      <c r="N1175" s="61">
        <f>INDEX(Data!$9:$9,1,MATCH(M1175,detail_table[#Headers],0))</f>
        <v>0</v>
      </c>
    </row>
    <row r="1176" spans="13:14" x14ac:dyDescent="0.35">
      <c r="M1176" s="64" t="s">
        <v>1423</v>
      </c>
      <c r="N1176" s="61">
        <f>INDEX(Data!$9:$9,1,MATCH(M1176,detail_table[#Headers],0))</f>
        <v>0</v>
      </c>
    </row>
    <row r="1177" spans="13:14" x14ac:dyDescent="0.35">
      <c r="M1177" s="64" t="s">
        <v>1424</v>
      </c>
      <c r="N1177" s="61">
        <f>INDEX(Data!$9:$9,1,MATCH(M1177,detail_table[#Headers],0))</f>
        <v>0</v>
      </c>
    </row>
    <row r="1178" spans="13:14" x14ac:dyDescent="0.35">
      <c r="M1178" s="64" t="s">
        <v>1425</v>
      </c>
      <c r="N1178" s="61">
        <f>INDEX(Data!$9:$9,1,MATCH(M1178,detail_table[#Headers],0))</f>
        <v>0</v>
      </c>
    </row>
    <row r="1179" spans="13:14" x14ac:dyDescent="0.35">
      <c r="M1179" s="64" t="s">
        <v>1426</v>
      </c>
      <c r="N1179" s="61">
        <f>INDEX(Data!$9:$9,1,MATCH(M1179,detail_table[#Headers],0))</f>
        <v>0</v>
      </c>
    </row>
    <row r="1180" spans="13:14" x14ac:dyDescent="0.35">
      <c r="M1180" s="64" t="s">
        <v>1427</v>
      </c>
      <c r="N1180" s="61">
        <f>INDEX(Data!$9:$9,1,MATCH(M1180,detail_table[#Headers],0))</f>
        <v>0</v>
      </c>
    </row>
    <row r="1181" spans="13:14" x14ac:dyDescent="0.35">
      <c r="M1181" s="64" t="s">
        <v>1428</v>
      </c>
      <c r="N1181" s="61">
        <f>INDEX(Data!$9:$9,1,MATCH(M1181,detail_table[#Headers],0))</f>
        <v>0</v>
      </c>
    </row>
    <row r="1182" spans="13:14" x14ac:dyDescent="0.35">
      <c r="M1182" s="64" t="s">
        <v>1429</v>
      </c>
      <c r="N1182" s="61">
        <f>INDEX(Data!$9:$9,1,MATCH(M1182,detail_table[#Headers],0))</f>
        <v>0</v>
      </c>
    </row>
    <row r="1183" spans="13:14" x14ac:dyDescent="0.35">
      <c r="M1183" s="64" t="s">
        <v>1430</v>
      </c>
      <c r="N1183" s="61">
        <f>INDEX(Data!$9:$9,1,MATCH(M1183,detail_table[#Headers],0))</f>
        <v>0</v>
      </c>
    </row>
    <row r="1184" spans="13:14" x14ac:dyDescent="0.35">
      <c r="M1184" s="64" t="s">
        <v>1431</v>
      </c>
      <c r="N1184" s="61">
        <f>INDEX(Data!$9:$9,1,MATCH(M1184,detail_table[#Headers],0))</f>
        <v>0</v>
      </c>
    </row>
    <row r="1185" spans="13:14" x14ac:dyDescent="0.35">
      <c r="M1185" s="64" t="s">
        <v>1432</v>
      </c>
      <c r="N1185" s="61">
        <f>INDEX(Data!$9:$9,1,MATCH(M1185,detail_table[#Headers],0))</f>
        <v>0</v>
      </c>
    </row>
    <row r="1186" spans="13:14" x14ac:dyDescent="0.35">
      <c r="M1186" s="64" t="s">
        <v>1433</v>
      </c>
      <c r="N1186" s="61">
        <f>INDEX(Data!$9:$9,1,MATCH(M1186,detail_table[#Headers],0))</f>
        <v>0</v>
      </c>
    </row>
    <row r="1187" spans="13:14" x14ac:dyDescent="0.35">
      <c r="M1187" s="64" t="s">
        <v>1434</v>
      </c>
      <c r="N1187" s="61">
        <f>INDEX(Data!$9:$9,1,MATCH(M1187,detail_table[#Headers],0))</f>
        <v>0</v>
      </c>
    </row>
    <row r="1188" spans="13:14" x14ac:dyDescent="0.35">
      <c r="M1188" s="64" t="s">
        <v>1435</v>
      </c>
      <c r="N1188" s="61">
        <f>INDEX(Data!$9:$9,1,MATCH(M1188,detail_table[#Headers],0))</f>
        <v>0</v>
      </c>
    </row>
    <row r="1189" spans="13:14" x14ac:dyDescent="0.35">
      <c r="M1189" s="64" t="s">
        <v>1436</v>
      </c>
      <c r="N1189" s="61">
        <f>INDEX(Data!$9:$9,1,MATCH(M1189,detail_table[#Headers],0))</f>
        <v>0</v>
      </c>
    </row>
    <row r="1190" spans="13:14" x14ac:dyDescent="0.35">
      <c r="M1190" s="64" t="s">
        <v>1437</v>
      </c>
      <c r="N1190" s="61">
        <f>INDEX(Data!$9:$9,1,MATCH(M1190,detail_table[#Headers],0))</f>
        <v>0</v>
      </c>
    </row>
    <row r="1191" spans="13:14" x14ac:dyDescent="0.35">
      <c r="M1191" s="64" t="s">
        <v>1438</v>
      </c>
      <c r="N1191" s="61">
        <f>INDEX(Data!$9:$9,1,MATCH(M1191,detail_table[#Headers],0))</f>
        <v>0</v>
      </c>
    </row>
    <row r="1192" spans="13:14" x14ac:dyDescent="0.35">
      <c r="M1192" s="64" t="s">
        <v>1439</v>
      </c>
      <c r="N1192" s="61">
        <f>INDEX(Data!$9:$9,1,MATCH(M1192,detail_table[#Headers],0))</f>
        <v>0</v>
      </c>
    </row>
    <row r="1193" spans="13:14" x14ac:dyDescent="0.35">
      <c r="M1193" s="64" t="s">
        <v>1440</v>
      </c>
      <c r="N1193" s="61">
        <f>INDEX(Data!$9:$9,1,MATCH(M1193,detail_table[#Headers],0))</f>
        <v>0</v>
      </c>
    </row>
    <row r="1194" spans="13:14" x14ac:dyDescent="0.35">
      <c r="M1194" s="64" t="s">
        <v>1441</v>
      </c>
      <c r="N1194" s="61">
        <f>INDEX(Data!$9:$9,1,MATCH(M1194,detail_table[#Headers],0))</f>
        <v>0</v>
      </c>
    </row>
    <row r="1195" spans="13:14" x14ac:dyDescent="0.35">
      <c r="M1195" s="64" t="s">
        <v>1442</v>
      </c>
      <c r="N1195" s="61">
        <f>INDEX(Data!$9:$9,1,MATCH(M1195,detail_table[#Headers],0))</f>
        <v>0</v>
      </c>
    </row>
    <row r="1196" spans="13:14" x14ac:dyDescent="0.35">
      <c r="M1196" s="64" t="s">
        <v>1443</v>
      </c>
      <c r="N1196" s="61">
        <f>INDEX(Data!$9:$9,1,MATCH(M1196,detail_table[#Headers],0))</f>
        <v>0</v>
      </c>
    </row>
    <row r="1197" spans="13:14" x14ac:dyDescent="0.35">
      <c r="M1197" s="64" t="s">
        <v>1444</v>
      </c>
      <c r="N1197" s="61">
        <f>INDEX(Data!$9:$9,1,MATCH(M1197,detail_table[#Headers],0))</f>
        <v>0</v>
      </c>
    </row>
    <row r="1198" spans="13:14" x14ac:dyDescent="0.35">
      <c r="M1198" s="64" t="s">
        <v>1445</v>
      </c>
      <c r="N1198" s="61">
        <f>INDEX(Data!$9:$9,1,MATCH(M1198,detail_table[#Headers],0))</f>
        <v>0</v>
      </c>
    </row>
    <row r="1199" spans="13:14" x14ac:dyDescent="0.35">
      <c r="M1199" s="64" t="s">
        <v>1446</v>
      </c>
      <c r="N1199" s="61">
        <f>INDEX(Data!$9:$9,1,MATCH(M1199,detail_table[#Headers],0))</f>
        <v>0</v>
      </c>
    </row>
    <row r="1200" spans="13:14" x14ac:dyDescent="0.35">
      <c r="M1200" s="64" t="s">
        <v>1447</v>
      </c>
      <c r="N1200" s="61">
        <f>INDEX(Data!$9:$9,1,MATCH(M1200,detail_table[#Headers],0))</f>
        <v>0</v>
      </c>
    </row>
    <row r="1201" spans="13:14" x14ac:dyDescent="0.35">
      <c r="M1201" s="64" t="s">
        <v>1448</v>
      </c>
      <c r="N1201" s="61">
        <f>INDEX(Data!$9:$9,1,MATCH(M1201,detail_table[#Headers],0))</f>
        <v>0</v>
      </c>
    </row>
    <row r="1202" spans="13:14" x14ac:dyDescent="0.35">
      <c r="M1202" s="64" t="s">
        <v>1449</v>
      </c>
      <c r="N1202" s="61">
        <f>INDEX(Data!$9:$9,1,MATCH(M1202,detail_table[#Headers],0))</f>
        <v>0</v>
      </c>
    </row>
    <row r="1203" spans="13:14" x14ac:dyDescent="0.35">
      <c r="M1203" s="64" t="s">
        <v>1450</v>
      </c>
      <c r="N1203" s="61">
        <f>INDEX(Data!$9:$9,1,MATCH(M1203,detail_table[#Headers],0))</f>
        <v>0</v>
      </c>
    </row>
    <row r="1204" spans="13:14" x14ac:dyDescent="0.35">
      <c r="M1204" s="64" t="s">
        <v>1451</v>
      </c>
      <c r="N1204" s="61">
        <f>INDEX(Data!$9:$9,1,MATCH(M1204,detail_table[#Headers],0))</f>
        <v>0</v>
      </c>
    </row>
    <row r="1205" spans="13:14" x14ac:dyDescent="0.35">
      <c r="M1205" s="64" t="s">
        <v>1452</v>
      </c>
      <c r="N1205" s="61">
        <f>INDEX(Data!$9:$9,1,MATCH(M1205,detail_table[#Headers],0))</f>
        <v>0</v>
      </c>
    </row>
    <row r="1206" spans="13:14" x14ac:dyDescent="0.35">
      <c r="M1206" s="64" t="s">
        <v>1453</v>
      </c>
      <c r="N1206" s="61">
        <f>INDEX(Data!$9:$9,1,MATCH(M1206,detail_table[#Headers],0))</f>
        <v>0</v>
      </c>
    </row>
    <row r="1207" spans="13:14" x14ac:dyDescent="0.35">
      <c r="M1207" s="64" t="s">
        <v>1454</v>
      </c>
      <c r="N1207" s="61">
        <f>INDEX(Data!$9:$9,1,MATCH(M1207,detail_table[#Headers],0))</f>
        <v>0</v>
      </c>
    </row>
    <row r="1208" spans="13:14" x14ac:dyDescent="0.35">
      <c r="M1208" s="64" t="s">
        <v>1455</v>
      </c>
      <c r="N1208" s="61">
        <f>INDEX(Data!$9:$9,1,MATCH(M1208,detail_table[#Headers],0))</f>
        <v>0</v>
      </c>
    </row>
    <row r="1209" spans="13:14" x14ac:dyDescent="0.35">
      <c r="M1209" s="64" t="s">
        <v>1456</v>
      </c>
      <c r="N1209" s="61">
        <f>INDEX(Data!$9:$9,1,MATCH(M1209,detail_table[#Headers],0))</f>
        <v>0</v>
      </c>
    </row>
    <row r="1210" spans="13:14" x14ac:dyDescent="0.35">
      <c r="M1210" s="64" t="s">
        <v>1457</v>
      </c>
      <c r="N1210" s="61">
        <f>INDEX(Data!$9:$9,1,MATCH(M1210,detail_table[#Headers],0))</f>
        <v>0</v>
      </c>
    </row>
    <row r="1211" spans="13:14" x14ac:dyDescent="0.35">
      <c r="M1211" s="64" t="s">
        <v>1458</v>
      </c>
      <c r="N1211" s="61">
        <f>INDEX(Data!$9:$9,1,MATCH(M1211,detail_table[#Headers],0))</f>
        <v>0</v>
      </c>
    </row>
    <row r="1212" spans="13:14" x14ac:dyDescent="0.35">
      <c r="M1212" s="64" t="s">
        <v>1459</v>
      </c>
      <c r="N1212" s="61">
        <f>INDEX(Data!$9:$9,1,MATCH(M1212,detail_table[#Headers],0))</f>
        <v>0</v>
      </c>
    </row>
    <row r="1213" spans="13:14" x14ac:dyDescent="0.35">
      <c r="M1213" s="64" t="s">
        <v>1460</v>
      </c>
      <c r="N1213" s="61">
        <f>INDEX(Data!$9:$9,1,MATCH(M1213,detail_table[#Headers],0))</f>
        <v>0</v>
      </c>
    </row>
    <row r="1214" spans="13:14" x14ac:dyDescent="0.35">
      <c r="M1214" s="64" t="s">
        <v>1461</v>
      </c>
      <c r="N1214" s="61">
        <f>INDEX(Data!$9:$9,1,MATCH(M1214,detail_table[#Headers],0))</f>
        <v>0</v>
      </c>
    </row>
    <row r="1215" spans="13:14" x14ac:dyDescent="0.35">
      <c r="M1215" s="64" t="s">
        <v>1462</v>
      </c>
      <c r="N1215" s="61">
        <f>INDEX(Data!$9:$9,1,MATCH(M1215,detail_table[#Headers],0))</f>
        <v>0</v>
      </c>
    </row>
    <row r="1216" spans="13:14" x14ac:dyDescent="0.35">
      <c r="M1216" s="64" t="s">
        <v>1463</v>
      </c>
      <c r="N1216" s="61">
        <f>INDEX(Data!$9:$9,1,MATCH(M1216,detail_table[#Headers],0))</f>
        <v>0</v>
      </c>
    </row>
    <row r="1217" spans="13:14" x14ac:dyDescent="0.35">
      <c r="M1217" s="64" t="s">
        <v>1464</v>
      </c>
      <c r="N1217" s="61">
        <f>INDEX(Data!$9:$9,1,MATCH(M1217,detail_table[#Headers],0))</f>
        <v>0</v>
      </c>
    </row>
    <row r="1218" spans="13:14" x14ac:dyDescent="0.35">
      <c r="M1218" s="64" t="s">
        <v>1465</v>
      </c>
      <c r="N1218" s="61">
        <f>INDEX(Data!$9:$9,1,MATCH(M1218,detail_table[#Headers],0))</f>
        <v>0</v>
      </c>
    </row>
    <row r="1219" spans="13:14" x14ac:dyDescent="0.35">
      <c r="M1219" s="64" t="s">
        <v>1466</v>
      </c>
      <c r="N1219" s="61">
        <f>INDEX(Data!$9:$9,1,MATCH(M1219,detail_table[#Headers],0))</f>
        <v>0</v>
      </c>
    </row>
    <row r="1220" spans="13:14" x14ac:dyDescent="0.35">
      <c r="M1220" s="64" t="s">
        <v>1467</v>
      </c>
      <c r="N1220" s="61">
        <f>INDEX(Data!$9:$9,1,MATCH(M1220,detail_table[#Headers],0))</f>
        <v>0</v>
      </c>
    </row>
    <row r="1221" spans="13:14" x14ac:dyDescent="0.35">
      <c r="M1221" s="64" t="s">
        <v>1468</v>
      </c>
      <c r="N1221" s="61">
        <f>INDEX(Data!$9:$9,1,MATCH(M1221,detail_table[#Headers],0))</f>
        <v>0</v>
      </c>
    </row>
    <row r="1222" spans="13:14" x14ac:dyDescent="0.35">
      <c r="M1222" s="64" t="s">
        <v>1469</v>
      </c>
      <c r="N1222" s="61">
        <f>INDEX(Data!$9:$9,1,MATCH(M1222,detail_table[#Headers],0))</f>
        <v>0</v>
      </c>
    </row>
    <row r="1223" spans="13:14" x14ac:dyDescent="0.35">
      <c r="M1223" s="64" t="s">
        <v>1470</v>
      </c>
      <c r="N1223" s="61">
        <f>INDEX(Data!$9:$9,1,MATCH(M1223,detail_table[#Headers],0))</f>
        <v>0</v>
      </c>
    </row>
    <row r="1224" spans="13:14" x14ac:dyDescent="0.35">
      <c r="M1224" s="64" t="s">
        <v>1471</v>
      </c>
      <c r="N1224" s="61">
        <f>INDEX(Data!$9:$9,1,MATCH(M1224,detail_table[#Headers],0))</f>
        <v>0</v>
      </c>
    </row>
    <row r="1225" spans="13:14" x14ac:dyDescent="0.35">
      <c r="M1225" s="64" t="s">
        <v>1472</v>
      </c>
      <c r="N1225" s="61">
        <f>INDEX(Data!$9:$9,1,MATCH(M1225,detail_table[#Headers],0))</f>
        <v>0</v>
      </c>
    </row>
    <row r="1226" spans="13:14" x14ac:dyDescent="0.35">
      <c r="M1226" s="64" t="s">
        <v>1473</v>
      </c>
      <c r="N1226" s="61">
        <f>INDEX(Data!$9:$9,1,MATCH(M1226,detail_table[#Headers],0))</f>
        <v>0</v>
      </c>
    </row>
    <row r="1227" spans="13:14" x14ac:dyDescent="0.35">
      <c r="M1227" s="64" t="s">
        <v>1474</v>
      </c>
      <c r="N1227" s="61">
        <f>INDEX(Data!$9:$9,1,MATCH(M1227,detail_table[#Headers],0))</f>
        <v>0</v>
      </c>
    </row>
    <row r="1228" spans="13:14" x14ac:dyDescent="0.35">
      <c r="M1228" s="64" t="s">
        <v>1475</v>
      </c>
      <c r="N1228" s="61">
        <f>INDEX(Data!$9:$9,1,MATCH(M1228,detail_table[#Headers],0))</f>
        <v>0</v>
      </c>
    </row>
    <row r="1229" spans="13:14" x14ac:dyDescent="0.35">
      <c r="M1229" s="64" t="s">
        <v>1476</v>
      </c>
      <c r="N1229" s="61">
        <f>INDEX(Data!$9:$9,1,MATCH(M1229,detail_table[#Headers],0))</f>
        <v>0</v>
      </c>
    </row>
    <row r="1230" spans="13:14" x14ac:dyDescent="0.35">
      <c r="M1230" s="64" t="s">
        <v>1477</v>
      </c>
      <c r="N1230" s="61">
        <f>INDEX(Data!$9:$9,1,MATCH(M1230,detail_table[#Headers],0))</f>
        <v>0</v>
      </c>
    </row>
    <row r="1231" spans="13:14" x14ac:dyDescent="0.35">
      <c r="M1231" s="64" t="s">
        <v>1478</v>
      </c>
      <c r="N1231" s="61">
        <f>INDEX(Data!$9:$9,1,MATCH(M1231,detail_table[#Headers],0))</f>
        <v>0</v>
      </c>
    </row>
    <row r="1232" spans="13:14" x14ac:dyDescent="0.35">
      <c r="M1232" s="64" t="s">
        <v>1479</v>
      </c>
      <c r="N1232" s="61">
        <f>INDEX(Data!$9:$9,1,MATCH(M1232,detail_table[#Headers],0))</f>
        <v>0</v>
      </c>
    </row>
    <row r="1233" spans="13:14" x14ac:dyDescent="0.35">
      <c r="M1233" s="64" t="s">
        <v>1480</v>
      </c>
      <c r="N1233" s="61">
        <f>INDEX(Data!$9:$9,1,MATCH(M1233,detail_table[#Headers],0))</f>
        <v>0</v>
      </c>
    </row>
    <row r="1234" spans="13:14" x14ac:dyDescent="0.35">
      <c r="M1234" s="64" t="s">
        <v>1481</v>
      </c>
      <c r="N1234" s="61">
        <f>INDEX(Data!$9:$9,1,MATCH(M1234,detail_table[#Headers],0))</f>
        <v>0</v>
      </c>
    </row>
    <row r="1235" spans="13:14" x14ac:dyDescent="0.35">
      <c r="M1235" s="64" t="s">
        <v>1482</v>
      </c>
      <c r="N1235" s="61">
        <f>INDEX(Data!$9:$9,1,MATCH(M1235,detail_table[#Headers],0))</f>
        <v>0</v>
      </c>
    </row>
    <row r="1236" spans="13:14" x14ac:dyDescent="0.35">
      <c r="M1236" s="64" t="s">
        <v>1483</v>
      </c>
      <c r="N1236" s="61">
        <f>INDEX(Data!$9:$9,1,MATCH(M1236,detail_table[#Headers],0))</f>
        <v>0</v>
      </c>
    </row>
    <row r="1237" spans="13:14" x14ac:dyDescent="0.35">
      <c r="M1237" s="64" t="s">
        <v>1484</v>
      </c>
      <c r="N1237" s="61">
        <f>INDEX(Data!$9:$9,1,MATCH(M1237,detail_table[#Headers],0))</f>
        <v>0</v>
      </c>
    </row>
    <row r="1238" spans="13:14" x14ac:dyDescent="0.35">
      <c r="M1238" s="64" t="s">
        <v>1485</v>
      </c>
      <c r="N1238" s="61">
        <f>INDEX(Data!$9:$9,1,MATCH(M1238,detail_table[#Headers],0))</f>
        <v>0</v>
      </c>
    </row>
    <row r="1239" spans="13:14" x14ac:dyDescent="0.35">
      <c r="M1239" s="64" t="s">
        <v>1486</v>
      </c>
      <c r="N1239" s="61">
        <f>INDEX(Data!$9:$9,1,MATCH(M1239,detail_table[#Headers],0))</f>
        <v>0</v>
      </c>
    </row>
    <row r="1240" spans="13:14" x14ac:dyDescent="0.35">
      <c r="M1240" s="64" t="s">
        <v>1487</v>
      </c>
      <c r="N1240" s="61">
        <f>INDEX(Data!$9:$9,1,MATCH(M1240,detail_table[#Headers],0))</f>
        <v>0</v>
      </c>
    </row>
    <row r="1241" spans="13:14" x14ac:dyDescent="0.35">
      <c r="M1241" s="64" t="s">
        <v>1488</v>
      </c>
      <c r="N1241" s="61">
        <f>INDEX(Data!$9:$9,1,MATCH(M1241,detail_table[#Headers],0))</f>
        <v>0</v>
      </c>
    </row>
    <row r="1242" spans="13:14" x14ac:dyDescent="0.35">
      <c r="M1242" s="64" t="s">
        <v>1489</v>
      </c>
      <c r="N1242" s="61">
        <f>INDEX(Data!$9:$9,1,MATCH(M1242,detail_table[#Headers],0))</f>
        <v>0</v>
      </c>
    </row>
    <row r="1243" spans="13:14" x14ac:dyDescent="0.35">
      <c r="M1243" s="64" t="s">
        <v>1490</v>
      </c>
      <c r="N1243" s="61">
        <f>INDEX(Data!$9:$9,1,MATCH(M1243,detail_table[#Headers],0))</f>
        <v>0</v>
      </c>
    </row>
    <row r="1244" spans="13:14" x14ac:dyDescent="0.35">
      <c r="M1244" s="64" t="s">
        <v>1491</v>
      </c>
      <c r="N1244" s="61">
        <f>INDEX(Data!$9:$9,1,MATCH(M1244,detail_table[#Headers],0))</f>
        <v>0</v>
      </c>
    </row>
    <row r="1245" spans="13:14" x14ac:dyDescent="0.35">
      <c r="M1245" s="64" t="s">
        <v>1492</v>
      </c>
      <c r="N1245" s="61">
        <f>INDEX(Data!$9:$9,1,MATCH(M1245,detail_table[#Headers],0))</f>
        <v>0</v>
      </c>
    </row>
    <row r="1246" spans="13:14" x14ac:dyDescent="0.35">
      <c r="M1246" s="64" t="s">
        <v>1493</v>
      </c>
      <c r="N1246" s="61">
        <f>INDEX(Data!$9:$9,1,MATCH(M1246,detail_table[#Headers],0))</f>
        <v>0</v>
      </c>
    </row>
    <row r="1247" spans="13:14" x14ac:dyDescent="0.35">
      <c r="M1247" s="64" t="s">
        <v>1494</v>
      </c>
      <c r="N1247" s="61">
        <f>INDEX(Data!$9:$9,1,MATCH(M1247,detail_table[#Headers],0))</f>
        <v>0</v>
      </c>
    </row>
    <row r="1248" spans="13:14" x14ac:dyDescent="0.35">
      <c r="M1248" s="64" t="s">
        <v>1495</v>
      </c>
      <c r="N1248" s="61">
        <f>INDEX(Data!$9:$9,1,MATCH(M1248,detail_table[#Headers],0))</f>
        <v>0</v>
      </c>
    </row>
    <row r="1249" spans="13:14" x14ac:dyDescent="0.35">
      <c r="M1249" s="64" t="s">
        <v>1496</v>
      </c>
      <c r="N1249" s="61">
        <f>INDEX(Data!$9:$9,1,MATCH(M1249,detail_table[#Headers],0))</f>
        <v>0</v>
      </c>
    </row>
    <row r="1250" spans="13:14" x14ac:dyDescent="0.35">
      <c r="M1250" s="64" t="s">
        <v>1497</v>
      </c>
      <c r="N1250" s="61">
        <f>INDEX(Data!$9:$9,1,MATCH(M1250,detail_table[#Headers],0))</f>
        <v>0</v>
      </c>
    </row>
    <row r="1251" spans="13:14" x14ac:dyDescent="0.35">
      <c r="M1251" s="64" t="s">
        <v>1498</v>
      </c>
      <c r="N1251" s="61">
        <f>INDEX(Data!$9:$9,1,MATCH(M1251,detail_table[#Headers],0))</f>
        <v>0</v>
      </c>
    </row>
    <row r="1252" spans="13:14" x14ac:dyDescent="0.35">
      <c r="M1252" s="64" t="s">
        <v>1499</v>
      </c>
      <c r="N1252" s="61">
        <f>INDEX(Data!$9:$9,1,MATCH(M1252,detail_table[#Headers],0))</f>
        <v>0</v>
      </c>
    </row>
    <row r="1253" spans="13:14" x14ac:dyDescent="0.35">
      <c r="M1253" s="64" t="s">
        <v>1500</v>
      </c>
      <c r="N1253" s="61">
        <f>INDEX(Data!$9:$9,1,MATCH(M1253,detail_table[#Headers],0))</f>
        <v>0</v>
      </c>
    </row>
    <row r="1254" spans="13:14" x14ac:dyDescent="0.35">
      <c r="M1254" s="64" t="s">
        <v>1501</v>
      </c>
      <c r="N1254" s="61">
        <f>INDEX(Data!$9:$9,1,MATCH(M1254,detail_table[#Headers],0))</f>
        <v>0</v>
      </c>
    </row>
    <row r="1255" spans="13:14" x14ac:dyDescent="0.35">
      <c r="M1255" s="64" t="s">
        <v>1502</v>
      </c>
      <c r="N1255" s="61">
        <f>INDEX(Data!$9:$9,1,MATCH(M1255,detail_table[#Headers],0))</f>
        <v>0</v>
      </c>
    </row>
    <row r="1256" spans="13:14" x14ac:dyDescent="0.35">
      <c r="M1256" s="64" t="s">
        <v>1503</v>
      </c>
      <c r="N1256" s="61">
        <f>INDEX(Data!$9:$9,1,MATCH(M1256,detail_table[#Headers],0))</f>
        <v>0</v>
      </c>
    </row>
    <row r="1257" spans="13:14" x14ac:dyDescent="0.35">
      <c r="M1257" s="64" t="s">
        <v>1504</v>
      </c>
      <c r="N1257" s="61">
        <f>INDEX(Data!$9:$9,1,MATCH(M1257,detail_table[#Headers],0))</f>
        <v>0</v>
      </c>
    </row>
    <row r="1258" spans="13:14" x14ac:dyDescent="0.35">
      <c r="M1258" s="64" t="s">
        <v>1505</v>
      </c>
      <c r="N1258" s="61">
        <f>INDEX(Data!$9:$9,1,MATCH(M1258,detail_table[#Headers],0))</f>
        <v>0</v>
      </c>
    </row>
    <row r="1259" spans="13:14" x14ac:dyDescent="0.35">
      <c r="M1259" s="64" t="s">
        <v>1506</v>
      </c>
      <c r="N1259" s="61">
        <f>INDEX(Data!$9:$9,1,MATCH(M1259,detail_table[#Headers],0))</f>
        <v>0</v>
      </c>
    </row>
    <row r="1260" spans="13:14" x14ac:dyDescent="0.35">
      <c r="M1260" s="64" t="s">
        <v>1507</v>
      </c>
      <c r="N1260" s="61">
        <f>INDEX(Data!$9:$9,1,MATCH(M1260,detail_table[#Headers],0))</f>
        <v>0</v>
      </c>
    </row>
    <row r="1261" spans="13:14" x14ac:dyDescent="0.35">
      <c r="M1261" s="64" t="s">
        <v>1508</v>
      </c>
      <c r="N1261" s="61">
        <f>INDEX(Data!$9:$9,1,MATCH(M1261,detail_table[#Headers],0))</f>
        <v>0</v>
      </c>
    </row>
    <row r="1262" spans="13:14" x14ac:dyDescent="0.35">
      <c r="M1262" s="64" t="s">
        <v>1509</v>
      </c>
      <c r="N1262" s="61">
        <f>INDEX(Data!$9:$9,1,MATCH(M1262,detail_table[#Headers],0))</f>
        <v>0</v>
      </c>
    </row>
    <row r="1263" spans="13:14" x14ac:dyDescent="0.35">
      <c r="M1263" s="64" t="s">
        <v>1510</v>
      </c>
      <c r="N1263" s="61">
        <f>INDEX(Data!$9:$9,1,MATCH(M1263,detail_table[#Headers],0))</f>
        <v>0</v>
      </c>
    </row>
    <row r="1264" spans="13:14" x14ac:dyDescent="0.35">
      <c r="M1264" s="64" t="s">
        <v>1951</v>
      </c>
      <c r="N1264" s="61">
        <f>INDEX(Data!$9:$9,1,MATCH(M1264,detail_table[#Headers],0))</f>
        <v>0</v>
      </c>
    </row>
    <row r="1265" spans="13:14" x14ac:dyDescent="0.35">
      <c r="M1265" s="64" t="s">
        <v>1952</v>
      </c>
      <c r="N1265" s="61">
        <f>INDEX(Data!$9:$9,1,MATCH(M1265,detail_table[#Headers],0))</f>
        <v>0</v>
      </c>
    </row>
    <row r="1266" spans="13:14" x14ac:dyDescent="0.35">
      <c r="M1266" s="64" t="s">
        <v>1953</v>
      </c>
      <c r="N1266" s="61">
        <f>INDEX(Data!$9:$9,1,MATCH(M1266,detail_table[#Headers],0))</f>
        <v>0</v>
      </c>
    </row>
    <row r="1267" spans="13:14" x14ac:dyDescent="0.35">
      <c r="M1267" s="64" t="s">
        <v>1954</v>
      </c>
      <c r="N1267" s="61">
        <f>INDEX(Data!$9:$9,1,MATCH(M1267,detail_table[#Headers],0))</f>
        <v>0</v>
      </c>
    </row>
    <row r="1268" spans="13:14" x14ac:dyDescent="0.35">
      <c r="M1268" s="64" t="s">
        <v>1955</v>
      </c>
      <c r="N1268" s="61">
        <f>INDEX(Data!$9:$9,1,MATCH(M1268,detail_table[#Headers],0))</f>
        <v>0</v>
      </c>
    </row>
    <row r="1269" spans="13:14" x14ac:dyDescent="0.35">
      <c r="M1269" s="64" t="s">
        <v>1511</v>
      </c>
      <c r="N1269" s="61">
        <f>INDEX(Data!$9:$9,1,MATCH(M1269,detail_table[#Headers],0))</f>
        <v>0</v>
      </c>
    </row>
    <row r="1270" spans="13:14" x14ac:dyDescent="0.35">
      <c r="M1270" s="64" t="s">
        <v>1512</v>
      </c>
      <c r="N1270" s="61">
        <f>INDEX(Data!$9:$9,1,MATCH(M1270,detail_table[#Headers],0))</f>
        <v>0</v>
      </c>
    </row>
    <row r="1271" spans="13:14" x14ac:dyDescent="0.35">
      <c r="M1271" s="64" t="s">
        <v>1513</v>
      </c>
      <c r="N1271" s="61">
        <f>INDEX(Data!$9:$9,1,MATCH(M1271,detail_table[#Headers],0))</f>
        <v>0</v>
      </c>
    </row>
    <row r="1272" spans="13:14" x14ac:dyDescent="0.35">
      <c r="M1272" s="64" t="s">
        <v>1514</v>
      </c>
      <c r="N1272" s="61">
        <f>INDEX(Data!$9:$9,1,MATCH(M1272,detail_table[#Headers],0))</f>
        <v>0</v>
      </c>
    </row>
    <row r="1273" spans="13:14" x14ac:dyDescent="0.35">
      <c r="M1273" s="64" t="s">
        <v>1515</v>
      </c>
      <c r="N1273" s="61">
        <f>INDEX(Data!$9:$9,1,MATCH(M1273,detail_table[#Headers],0))</f>
        <v>0</v>
      </c>
    </row>
    <row r="1274" spans="13:14" x14ac:dyDescent="0.35">
      <c r="M1274" s="64" t="s">
        <v>1516</v>
      </c>
      <c r="N1274" s="61">
        <f>INDEX(Data!$9:$9,1,MATCH(M1274,detail_table[#Headers],0))</f>
        <v>0</v>
      </c>
    </row>
    <row r="1275" spans="13:14" x14ac:dyDescent="0.35">
      <c r="M1275" s="64" t="s">
        <v>1517</v>
      </c>
      <c r="N1275" s="61">
        <f>INDEX(Data!$9:$9,1,MATCH(M1275,detail_table[#Headers],0))</f>
        <v>0</v>
      </c>
    </row>
    <row r="1276" spans="13:14" x14ac:dyDescent="0.35">
      <c r="M1276" s="64" t="s">
        <v>1518</v>
      </c>
      <c r="N1276" s="61">
        <f>INDEX(Data!$9:$9,1,MATCH(M1276,detail_table[#Headers],0))</f>
        <v>0</v>
      </c>
    </row>
    <row r="1277" spans="13:14" x14ac:dyDescent="0.35">
      <c r="M1277" s="64" t="s">
        <v>1519</v>
      </c>
      <c r="N1277" s="61">
        <f>INDEX(Data!$9:$9,1,MATCH(M1277,detail_table[#Headers],0))</f>
        <v>0</v>
      </c>
    </row>
    <row r="1278" spans="13:14" x14ac:dyDescent="0.35">
      <c r="M1278" s="64" t="s">
        <v>1520</v>
      </c>
      <c r="N1278" s="61">
        <f>INDEX(Data!$9:$9,1,MATCH(M1278,detail_table[#Headers],0))</f>
        <v>0</v>
      </c>
    </row>
    <row r="1279" spans="13:14" x14ac:dyDescent="0.35">
      <c r="M1279" s="64" t="s">
        <v>1521</v>
      </c>
      <c r="N1279" s="61">
        <f>INDEX(Data!$9:$9,1,MATCH(M1279,detail_table[#Headers],0))</f>
        <v>0</v>
      </c>
    </row>
    <row r="1280" spans="13:14" x14ac:dyDescent="0.35">
      <c r="M1280" s="64" t="s">
        <v>1522</v>
      </c>
      <c r="N1280" s="61">
        <f>INDEX(Data!$9:$9,1,MATCH(M1280,detail_table[#Headers],0))</f>
        <v>0</v>
      </c>
    </row>
    <row r="1281" spans="13:14" x14ac:dyDescent="0.35">
      <c r="M1281" s="64" t="s">
        <v>1523</v>
      </c>
      <c r="N1281" s="61">
        <f>INDEX(Data!$9:$9,1,MATCH(M1281,detail_table[#Headers],0))</f>
        <v>0</v>
      </c>
    </row>
    <row r="1282" spans="13:14" x14ac:dyDescent="0.35">
      <c r="M1282" s="64" t="s">
        <v>1524</v>
      </c>
      <c r="N1282" s="61">
        <f>INDEX(Data!$9:$9,1,MATCH(M1282,detail_table[#Headers],0))</f>
        <v>0</v>
      </c>
    </row>
    <row r="1283" spans="13:14" x14ac:dyDescent="0.35">
      <c r="M1283" s="64" t="s">
        <v>1525</v>
      </c>
      <c r="N1283" s="61">
        <f>INDEX(Data!$9:$9,1,MATCH(M1283,detail_table[#Headers],0))</f>
        <v>0</v>
      </c>
    </row>
    <row r="1284" spans="13:14" x14ac:dyDescent="0.35">
      <c r="M1284" s="64" t="s">
        <v>1526</v>
      </c>
      <c r="N1284" s="61">
        <f>INDEX(Data!$9:$9,1,MATCH(M1284,detail_table[#Headers],0))</f>
        <v>0</v>
      </c>
    </row>
    <row r="1285" spans="13:14" x14ac:dyDescent="0.35">
      <c r="M1285" s="64" t="s">
        <v>1527</v>
      </c>
      <c r="N1285" s="61">
        <f>INDEX(Data!$9:$9,1,MATCH(M1285,detail_table[#Headers],0))</f>
        <v>0</v>
      </c>
    </row>
    <row r="1286" spans="13:14" x14ac:dyDescent="0.35">
      <c r="M1286" s="64" t="s">
        <v>1528</v>
      </c>
      <c r="N1286" s="61">
        <f>INDEX(Data!$9:$9,1,MATCH(M1286,detail_table[#Headers],0))</f>
        <v>0</v>
      </c>
    </row>
    <row r="1287" spans="13:14" x14ac:dyDescent="0.35">
      <c r="M1287" s="64" t="s">
        <v>1529</v>
      </c>
      <c r="N1287" s="61">
        <f>INDEX(Data!$9:$9,1,MATCH(M1287,detail_table[#Headers],0))</f>
        <v>0</v>
      </c>
    </row>
    <row r="1288" spans="13:14" x14ac:dyDescent="0.35">
      <c r="M1288" s="64" t="s">
        <v>1530</v>
      </c>
      <c r="N1288" s="61">
        <f>INDEX(Data!$9:$9,1,MATCH(M1288,detail_table[#Headers],0))</f>
        <v>0</v>
      </c>
    </row>
    <row r="1289" spans="13:14" x14ac:dyDescent="0.35">
      <c r="M1289" s="64" t="s">
        <v>1531</v>
      </c>
      <c r="N1289" s="61">
        <f>INDEX(Data!$9:$9,1,MATCH(M1289,detail_table[#Headers],0))</f>
        <v>0</v>
      </c>
    </row>
    <row r="1290" spans="13:14" x14ac:dyDescent="0.35">
      <c r="M1290" s="64" t="s">
        <v>1532</v>
      </c>
      <c r="N1290" s="61">
        <f>INDEX(Data!$9:$9,1,MATCH(M1290,detail_table[#Headers],0))</f>
        <v>0</v>
      </c>
    </row>
    <row r="1291" spans="13:14" x14ac:dyDescent="0.35">
      <c r="M1291" s="64" t="s">
        <v>1533</v>
      </c>
      <c r="N1291" s="61">
        <f>INDEX(Data!$9:$9,1,MATCH(M1291,detail_table[#Headers],0))</f>
        <v>0</v>
      </c>
    </row>
    <row r="1292" spans="13:14" x14ac:dyDescent="0.35">
      <c r="M1292" s="64" t="s">
        <v>1534</v>
      </c>
      <c r="N1292" s="61">
        <f>INDEX(Data!$9:$9,1,MATCH(M1292,detail_table[#Headers],0))</f>
        <v>0</v>
      </c>
    </row>
    <row r="1293" spans="13:14" x14ac:dyDescent="0.35">
      <c r="M1293" s="64" t="s">
        <v>1535</v>
      </c>
      <c r="N1293" s="61">
        <f>INDEX(Data!$9:$9,1,MATCH(M1293,detail_table[#Headers],0))</f>
        <v>0</v>
      </c>
    </row>
    <row r="1294" spans="13:14" x14ac:dyDescent="0.35">
      <c r="M1294" s="64" t="s">
        <v>1536</v>
      </c>
      <c r="N1294" s="61">
        <f>INDEX(Data!$9:$9,1,MATCH(M1294,detail_table[#Headers],0))</f>
        <v>0</v>
      </c>
    </row>
    <row r="1295" spans="13:14" x14ac:dyDescent="0.35">
      <c r="M1295" s="64" t="s">
        <v>1537</v>
      </c>
      <c r="N1295" s="61">
        <f>INDEX(Data!$9:$9,1,MATCH(M1295,detail_table[#Headers],0))</f>
        <v>0</v>
      </c>
    </row>
    <row r="1296" spans="13:14" x14ac:dyDescent="0.35">
      <c r="M1296" s="64" t="s">
        <v>1538</v>
      </c>
      <c r="N1296" s="61">
        <f>INDEX(Data!$9:$9,1,MATCH(M1296,detail_table[#Headers],0))</f>
        <v>0</v>
      </c>
    </row>
    <row r="1297" spans="13:14" x14ac:dyDescent="0.35">
      <c r="M1297" s="64" t="s">
        <v>1539</v>
      </c>
      <c r="N1297" s="61">
        <f>INDEX(Data!$9:$9,1,MATCH(M1297,detail_table[#Headers],0))</f>
        <v>0</v>
      </c>
    </row>
    <row r="1298" spans="13:14" x14ac:dyDescent="0.35">
      <c r="M1298" s="64" t="s">
        <v>1540</v>
      </c>
      <c r="N1298" s="61">
        <f>INDEX(Data!$9:$9,1,MATCH(M1298,detail_table[#Headers],0))</f>
        <v>0</v>
      </c>
    </row>
    <row r="1299" spans="13:14" x14ac:dyDescent="0.35">
      <c r="M1299" s="64" t="s">
        <v>1541</v>
      </c>
      <c r="N1299" s="61">
        <f>INDEX(Data!$9:$9,1,MATCH(M1299,detail_table[#Headers],0))</f>
        <v>0</v>
      </c>
    </row>
    <row r="1300" spans="13:14" x14ac:dyDescent="0.35">
      <c r="M1300" s="64" t="s">
        <v>1542</v>
      </c>
      <c r="N1300" s="61">
        <f>INDEX(Data!$9:$9,1,MATCH(M1300,detail_table[#Headers],0))</f>
        <v>0</v>
      </c>
    </row>
    <row r="1301" spans="13:14" x14ac:dyDescent="0.35">
      <c r="M1301" s="64" t="s">
        <v>1543</v>
      </c>
      <c r="N1301" s="61">
        <f>INDEX(Data!$9:$9,1,MATCH(M1301,detail_table[#Headers],0))</f>
        <v>0</v>
      </c>
    </row>
    <row r="1302" spans="13:14" x14ac:dyDescent="0.35">
      <c r="M1302" s="64" t="s">
        <v>1544</v>
      </c>
      <c r="N1302" s="61">
        <f>INDEX(Data!$9:$9,1,MATCH(M1302,detail_table[#Headers],0))</f>
        <v>0</v>
      </c>
    </row>
    <row r="1303" spans="13:14" x14ac:dyDescent="0.35">
      <c r="M1303" s="64" t="s">
        <v>1545</v>
      </c>
      <c r="N1303" s="61">
        <f>INDEX(Data!$9:$9,1,MATCH(M1303,detail_table[#Headers],0))</f>
        <v>0</v>
      </c>
    </row>
    <row r="1304" spans="13:14" x14ac:dyDescent="0.35">
      <c r="M1304" s="64" t="s">
        <v>1546</v>
      </c>
      <c r="N1304" s="61">
        <f>INDEX(Data!$9:$9,1,MATCH(M1304,detail_table[#Headers],0))</f>
        <v>0</v>
      </c>
    </row>
    <row r="1305" spans="13:14" x14ac:dyDescent="0.35">
      <c r="M1305" s="64" t="s">
        <v>1547</v>
      </c>
      <c r="N1305" s="61">
        <f>INDEX(Data!$9:$9,1,MATCH(M1305,detail_table[#Headers],0))</f>
        <v>0</v>
      </c>
    </row>
    <row r="1306" spans="13:14" x14ac:dyDescent="0.35">
      <c r="M1306" s="64" t="s">
        <v>1548</v>
      </c>
      <c r="N1306" s="61">
        <f>INDEX(Data!$9:$9,1,MATCH(M1306,detail_table[#Headers],0))</f>
        <v>0</v>
      </c>
    </row>
    <row r="1307" spans="13:14" x14ac:dyDescent="0.35">
      <c r="M1307" s="64" t="s">
        <v>1549</v>
      </c>
      <c r="N1307" s="61">
        <f>INDEX(Data!$9:$9,1,MATCH(M1307,detail_table[#Headers],0))</f>
        <v>0</v>
      </c>
    </row>
    <row r="1308" spans="13:14" x14ac:dyDescent="0.35">
      <c r="M1308" s="64" t="s">
        <v>1550</v>
      </c>
      <c r="N1308" s="61">
        <f>INDEX(Data!$9:$9,1,MATCH(M1308,detail_table[#Headers],0))</f>
        <v>0</v>
      </c>
    </row>
    <row r="1309" spans="13:14" x14ac:dyDescent="0.35">
      <c r="M1309" s="64" t="s">
        <v>1551</v>
      </c>
      <c r="N1309" s="61">
        <f>INDEX(Data!$9:$9,1,MATCH(M1309,detail_table[#Headers],0))</f>
        <v>0</v>
      </c>
    </row>
    <row r="1310" spans="13:14" x14ac:dyDescent="0.35">
      <c r="M1310" s="64" t="s">
        <v>1552</v>
      </c>
      <c r="N1310" s="61">
        <f>INDEX(Data!$9:$9,1,MATCH(M1310,detail_table[#Headers],0))</f>
        <v>0</v>
      </c>
    </row>
    <row r="1311" spans="13:14" x14ac:dyDescent="0.35">
      <c r="M1311" s="64" t="s">
        <v>1553</v>
      </c>
      <c r="N1311" s="61">
        <f>INDEX(Data!$9:$9,1,MATCH(M1311,detail_table[#Headers],0))</f>
        <v>0</v>
      </c>
    </row>
    <row r="1312" spans="13:14" x14ac:dyDescent="0.35">
      <c r="M1312" s="64" t="s">
        <v>1554</v>
      </c>
      <c r="N1312" s="61">
        <f>INDEX(Data!$9:$9,1,MATCH(M1312,detail_table[#Headers],0))</f>
        <v>0</v>
      </c>
    </row>
    <row r="1313" spans="13:14" x14ac:dyDescent="0.35">
      <c r="M1313" s="64" t="s">
        <v>1555</v>
      </c>
      <c r="N1313" s="61">
        <f>INDEX(Data!$9:$9,1,MATCH(M1313,detail_table[#Headers],0))</f>
        <v>0</v>
      </c>
    </row>
    <row r="1314" spans="13:14" x14ac:dyDescent="0.35">
      <c r="M1314" s="64" t="s">
        <v>1556</v>
      </c>
      <c r="N1314" s="61">
        <f>INDEX(Data!$9:$9,1,MATCH(M1314,detail_table[#Headers],0))</f>
        <v>0</v>
      </c>
    </row>
    <row r="1315" spans="13:14" x14ac:dyDescent="0.35">
      <c r="M1315" s="64" t="s">
        <v>1557</v>
      </c>
      <c r="N1315" s="61">
        <f>INDEX(Data!$9:$9,1,MATCH(M1315,detail_table[#Headers],0))</f>
        <v>0</v>
      </c>
    </row>
    <row r="1316" spans="13:14" x14ac:dyDescent="0.35">
      <c r="M1316" s="64" t="s">
        <v>1558</v>
      </c>
      <c r="N1316" s="61">
        <f>INDEX(Data!$9:$9,1,MATCH(M1316,detail_table[#Headers],0))</f>
        <v>0</v>
      </c>
    </row>
    <row r="1317" spans="13:14" x14ac:dyDescent="0.35">
      <c r="M1317" s="64" t="s">
        <v>1559</v>
      </c>
      <c r="N1317" s="61">
        <f>INDEX(Data!$9:$9,1,MATCH(M1317,detail_table[#Headers],0))</f>
        <v>0</v>
      </c>
    </row>
    <row r="1318" spans="13:14" x14ac:dyDescent="0.35">
      <c r="M1318" s="64" t="s">
        <v>1560</v>
      </c>
      <c r="N1318" s="61">
        <f>INDEX(Data!$9:$9,1,MATCH(M1318,detail_table[#Headers],0))</f>
        <v>0</v>
      </c>
    </row>
    <row r="1319" spans="13:14" x14ac:dyDescent="0.35">
      <c r="M1319" s="64" t="s">
        <v>1561</v>
      </c>
      <c r="N1319" s="61">
        <f>INDEX(Data!$9:$9,1,MATCH(M1319,detail_table[#Headers],0))</f>
        <v>0</v>
      </c>
    </row>
    <row r="1320" spans="13:14" x14ac:dyDescent="0.35">
      <c r="M1320" s="64" t="s">
        <v>1562</v>
      </c>
      <c r="N1320" s="61">
        <f>INDEX(Data!$9:$9,1,MATCH(M1320,detail_table[#Headers],0))</f>
        <v>0</v>
      </c>
    </row>
    <row r="1321" spans="13:14" x14ac:dyDescent="0.35">
      <c r="M1321" s="64" t="s">
        <v>1563</v>
      </c>
      <c r="N1321" s="61">
        <f>INDEX(Data!$9:$9,1,MATCH(M1321,detail_table[#Headers],0))</f>
        <v>0</v>
      </c>
    </row>
    <row r="1322" spans="13:14" x14ac:dyDescent="0.35">
      <c r="M1322" s="64" t="s">
        <v>1564</v>
      </c>
      <c r="N1322" s="61">
        <f>INDEX(Data!$9:$9,1,MATCH(M1322,detail_table[#Headers],0))</f>
        <v>0</v>
      </c>
    </row>
    <row r="1323" spans="13:14" x14ac:dyDescent="0.35">
      <c r="M1323" s="64" t="s">
        <v>1565</v>
      </c>
      <c r="N1323" s="61">
        <f>INDEX(Data!$9:$9,1,MATCH(M1323,detail_table[#Headers],0))</f>
        <v>0</v>
      </c>
    </row>
    <row r="1324" spans="13:14" x14ac:dyDescent="0.35">
      <c r="M1324" s="64" t="s">
        <v>1566</v>
      </c>
      <c r="N1324" s="61">
        <f>INDEX(Data!$9:$9,1,MATCH(M1324,detail_table[#Headers],0))</f>
        <v>0</v>
      </c>
    </row>
    <row r="1325" spans="13:14" x14ac:dyDescent="0.35">
      <c r="M1325" s="64" t="s">
        <v>1567</v>
      </c>
      <c r="N1325" s="61">
        <f>INDEX(Data!$9:$9,1,MATCH(M1325,detail_table[#Headers],0))</f>
        <v>0</v>
      </c>
    </row>
    <row r="1326" spans="13:14" x14ac:dyDescent="0.35">
      <c r="M1326" s="64" t="s">
        <v>1568</v>
      </c>
      <c r="N1326" s="61">
        <f>INDEX(Data!$9:$9,1,MATCH(M1326,detail_table[#Headers],0))</f>
        <v>0</v>
      </c>
    </row>
    <row r="1327" spans="13:14" x14ac:dyDescent="0.35">
      <c r="M1327" s="64" t="s">
        <v>1569</v>
      </c>
      <c r="N1327" s="61">
        <f>INDEX(Data!$9:$9,1,MATCH(M1327,detail_table[#Headers],0))</f>
        <v>0</v>
      </c>
    </row>
    <row r="1328" spans="13:14" x14ac:dyDescent="0.35">
      <c r="M1328" s="64" t="s">
        <v>1570</v>
      </c>
      <c r="N1328" s="61">
        <f>INDEX(Data!$9:$9,1,MATCH(M1328,detail_table[#Headers],0))</f>
        <v>0</v>
      </c>
    </row>
    <row r="1329" spans="13:14" x14ac:dyDescent="0.35">
      <c r="M1329" s="64" t="s">
        <v>1571</v>
      </c>
      <c r="N1329" s="61">
        <f>INDEX(Data!$9:$9,1,MATCH(M1329,detail_table[#Headers],0))</f>
        <v>0</v>
      </c>
    </row>
    <row r="1330" spans="13:14" x14ac:dyDescent="0.35">
      <c r="M1330" s="64" t="s">
        <v>1572</v>
      </c>
      <c r="N1330" s="61">
        <f>INDEX(Data!$9:$9,1,MATCH(M1330,detail_table[#Headers],0))</f>
        <v>0</v>
      </c>
    </row>
    <row r="1331" spans="13:14" x14ac:dyDescent="0.35">
      <c r="M1331" s="64" t="s">
        <v>1573</v>
      </c>
      <c r="N1331" s="61">
        <f>INDEX(Data!$9:$9,1,MATCH(M1331,detail_table[#Headers],0))</f>
        <v>0</v>
      </c>
    </row>
    <row r="1332" spans="13:14" x14ac:dyDescent="0.35">
      <c r="M1332" s="64" t="s">
        <v>1574</v>
      </c>
      <c r="N1332" s="61">
        <f>INDEX(Data!$9:$9,1,MATCH(M1332,detail_table[#Headers],0))</f>
        <v>0</v>
      </c>
    </row>
    <row r="1333" spans="13:14" x14ac:dyDescent="0.35">
      <c r="M1333" s="64" t="s">
        <v>1575</v>
      </c>
      <c r="N1333" s="61">
        <f>INDEX(Data!$9:$9,1,MATCH(M1333,detail_table[#Headers],0))</f>
        <v>0</v>
      </c>
    </row>
    <row r="1334" spans="13:14" x14ac:dyDescent="0.35">
      <c r="M1334" s="64" t="s">
        <v>1576</v>
      </c>
      <c r="N1334" s="61">
        <f>INDEX(Data!$9:$9,1,MATCH(M1334,detail_table[#Headers],0))</f>
        <v>0</v>
      </c>
    </row>
    <row r="1335" spans="13:14" x14ac:dyDescent="0.35">
      <c r="M1335" s="64" t="s">
        <v>1577</v>
      </c>
      <c r="N1335" s="61">
        <f>INDEX(Data!$9:$9,1,MATCH(M1335,detail_table[#Headers],0))</f>
        <v>0</v>
      </c>
    </row>
    <row r="1336" spans="13:14" x14ac:dyDescent="0.35">
      <c r="M1336" s="64" t="s">
        <v>1578</v>
      </c>
      <c r="N1336" s="61">
        <f>INDEX(Data!$9:$9,1,MATCH(M1336,detail_table[#Headers],0))</f>
        <v>0</v>
      </c>
    </row>
    <row r="1337" spans="13:14" x14ac:dyDescent="0.35">
      <c r="M1337" s="64" t="s">
        <v>1579</v>
      </c>
      <c r="N1337" s="61">
        <f>INDEX(Data!$9:$9,1,MATCH(M1337,detail_table[#Headers],0))</f>
        <v>0</v>
      </c>
    </row>
    <row r="1338" spans="13:14" x14ac:dyDescent="0.35">
      <c r="M1338" s="64" t="s">
        <v>1580</v>
      </c>
      <c r="N1338" s="61">
        <f>INDEX(Data!$9:$9,1,MATCH(M1338,detail_table[#Headers],0))</f>
        <v>0</v>
      </c>
    </row>
    <row r="1339" spans="13:14" x14ac:dyDescent="0.35">
      <c r="M1339" s="64" t="s">
        <v>1581</v>
      </c>
      <c r="N1339" s="61">
        <f>INDEX(Data!$9:$9,1,MATCH(M1339,detail_table[#Headers],0))</f>
        <v>0</v>
      </c>
    </row>
    <row r="1340" spans="13:14" x14ac:dyDescent="0.35">
      <c r="M1340" s="64" t="s">
        <v>1582</v>
      </c>
      <c r="N1340" s="61">
        <f>INDEX(Data!$9:$9,1,MATCH(M1340,detail_table[#Headers],0))</f>
        <v>0</v>
      </c>
    </row>
    <row r="1341" spans="13:14" x14ac:dyDescent="0.35">
      <c r="M1341" s="64" t="s">
        <v>1583</v>
      </c>
      <c r="N1341" s="61">
        <f>INDEX(Data!$9:$9,1,MATCH(M1341,detail_table[#Headers],0))</f>
        <v>0</v>
      </c>
    </row>
    <row r="1342" spans="13:14" x14ac:dyDescent="0.35">
      <c r="M1342" s="64" t="s">
        <v>1584</v>
      </c>
      <c r="N1342" s="61">
        <f>INDEX(Data!$9:$9,1,MATCH(M1342,detail_table[#Headers],0))</f>
        <v>0</v>
      </c>
    </row>
    <row r="1343" spans="13:14" x14ac:dyDescent="0.35">
      <c r="M1343" s="64" t="s">
        <v>1585</v>
      </c>
      <c r="N1343" s="61">
        <f>INDEX(Data!$9:$9,1,MATCH(M1343,detail_table[#Headers],0))</f>
        <v>0</v>
      </c>
    </row>
    <row r="1344" spans="13:14" x14ac:dyDescent="0.35">
      <c r="M1344" s="64" t="s">
        <v>1586</v>
      </c>
      <c r="N1344" s="61">
        <f>INDEX(Data!$9:$9,1,MATCH(M1344,detail_table[#Headers],0))</f>
        <v>0</v>
      </c>
    </row>
    <row r="1345" spans="13:14" x14ac:dyDescent="0.35">
      <c r="M1345" s="64" t="s">
        <v>1587</v>
      </c>
      <c r="N1345" s="61">
        <f>INDEX(Data!$9:$9,1,MATCH(M1345,detail_table[#Headers],0))</f>
        <v>0</v>
      </c>
    </row>
    <row r="1346" spans="13:14" x14ac:dyDescent="0.35">
      <c r="M1346" s="64" t="s">
        <v>1588</v>
      </c>
      <c r="N1346" s="61">
        <f>INDEX(Data!$9:$9,1,MATCH(M1346,detail_table[#Headers],0))</f>
        <v>0</v>
      </c>
    </row>
    <row r="1347" spans="13:14" x14ac:dyDescent="0.35">
      <c r="M1347" s="64" t="s">
        <v>1589</v>
      </c>
      <c r="N1347" s="61">
        <f>INDEX(Data!$9:$9,1,MATCH(M1347,detail_table[#Headers],0))</f>
        <v>0</v>
      </c>
    </row>
    <row r="1348" spans="13:14" x14ac:dyDescent="0.35">
      <c r="M1348" s="64" t="s">
        <v>1590</v>
      </c>
      <c r="N1348" s="61">
        <f>INDEX(Data!$9:$9,1,MATCH(M1348,detail_table[#Headers],0))</f>
        <v>0</v>
      </c>
    </row>
    <row r="1349" spans="13:14" x14ac:dyDescent="0.35">
      <c r="M1349" s="64" t="s">
        <v>1591</v>
      </c>
      <c r="N1349" s="61">
        <f>INDEX(Data!$9:$9,1,MATCH(M1349,detail_table[#Headers],0))</f>
        <v>0</v>
      </c>
    </row>
    <row r="1350" spans="13:14" x14ac:dyDescent="0.35">
      <c r="M1350" s="64" t="s">
        <v>1592</v>
      </c>
      <c r="N1350" s="61">
        <f>INDEX(Data!$9:$9,1,MATCH(M1350,detail_table[#Headers],0))</f>
        <v>0</v>
      </c>
    </row>
    <row r="1351" spans="13:14" x14ac:dyDescent="0.35">
      <c r="M1351" s="64" t="s">
        <v>1593</v>
      </c>
      <c r="N1351" s="61">
        <f>INDEX(Data!$9:$9,1,MATCH(M1351,detail_table[#Headers],0))</f>
        <v>0</v>
      </c>
    </row>
    <row r="1352" spans="13:14" x14ac:dyDescent="0.35">
      <c r="M1352" s="64" t="s">
        <v>1594</v>
      </c>
      <c r="N1352" s="61">
        <f>INDEX(Data!$9:$9,1,MATCH(M1352,detail_table[#Headers],0))</f>
        <v>0</v>
      </c>
    </row>
    <row r="1353" spans="13:14" x14ac:dyDescent="0.35">
      <c r="M1353" s="64" t="s">
        <v>1595</v>
      </c>
      <c r="N1353" s="61">
        <f>INDEX(Data!$9:$9,1,MATCH(M1353,detail_table[#Headers],0))</f>
        <v>0</v>
      </c>
    </row>
    <row r="1354" spans="13:14" x14ac:dyDescent="0.35">
      <c r="M1354" s="64" t="s">
        <v>1596</v>
      </c>
      <c r="N1354" s="61">
        <f>INDEX(Data!$9:$9,1,MATCH(M1354,detail_table[#Headers],0))</f>
        <v>0</v>
      </c>
    </row>
    <row r="1355" spans="13:14" x14ac:dyDescent="0.35">
      <c r="M1355" s="64" t="s">
        <v>1597</v>
      </c>
      <c r="N1355" s="61">
        <f>INDEX(Data!$9:$9,1,MATCH(M1355,detail_table[#Headers],0))</f>
        <v>0</v>
      </c>
    </row>
    <row r="1356" spans="13:14" x14ac:dyDescent="0.35">
      <c r="M1356" s="64" t="s">
        <v>1598</v>
      </c>
      <c r="N1356" s="61">
        <f>INDEX(Data!$9:$9,1,MATCH(M1356,detail_table[#Headers],0))</f>
        <v>0</v>
      </c>
    </row>
    <row r="1357" spans="13:14" x14ac:dyDescent="0.35">
      <c r="M1357" s="64" t="s">
        <v>1599</v>
      </c>
      <c r="N1357" s="61">
        <f>INDEX(Data!$9:$9,1,MATCH(M1357,detail_table[#Headers],0))</f>
        <v>0</v>
      </c>
    </row>
    <row r="1358" spans="13:14" x14ac:dyDescent="0.35">
      <c r="M1358" s="64" t="s">
        <v>1600</v>
      </c>
      <c r="N1358" s="61">
        <f>INDEX(Data!$9:$9,1,MATCH(M1358,detail_table[#Headers],0))</f>
        <v>0</v>
      </c>
    </row>
    <row r="1359" spans="13:14" x14ac:dyDescent="0.35">
      <c r="M1359" s="64" t="s">
        <v>1601</v>
      </c>
      <c r="N1359" s="61">
        <f>INDEX(Data!$9:$9,1,MATCH(M1359,detail_table[#Headers],0))</f>
        <v>0</v>
      </c>
    </row>
    <row r="1360" spans="13:14" x14ac:dyDescent="0.35">
      <c r="M1360" s="64" t="s">
        <v>1602</v>
      </c>
      <c r="N1360" s="61">
        <f>INDEX(Data!$9:$9,1,MATCH(M1360,detail_table[#Headers],0))</f>
        <v>0</v>
      </c>
    </row>
    <row r="1361" spans="13:14" x14ac:dyDescent="0.35">
      <c r="M1361" s="64" t="s">
        <v>1603</v>
      </c>
      <c r="N1361" s="61">
        <f>INDEX(Data!$9:$9,1,MATCH(M1361,detail_table[#Headers],0))</f>
        <v>0</v>
      </c>
    </row>
    <row r="1362" spans="13:14" x14ac:dyDescent="0.35">
      <c r="M1362" s="64" t="s">
        <v>1604</v>
      </c>
      <c r="N1362" s="61">
        <f>INDEX(Data!$9:$9,1,MATCH(M1362,detail_table[#Headers],0))</f>
        <v>0</v>
      </c>
    </row>
    <row r="1363" spans="13:14" x14ac:dyDescent="0.35">
      <c r="M1363" s="64" t="s">
        <v>1605</v>
      </c>
      <c r="N1363" s="61">
        <f>INDEX(Data!$9:$9,1,MATCH(M1363,detail_table[#Headers],0))</f>
        <v>0</v>
      </c>
    </row>
    <row r="1364" spans="13:14" x14ac:dyDescent="0.35">
      <c r="M1364" s="64" t="s">
        <v>1606</v>
      </c>
      <c r="N1364" s="61">
        <f>INDEX(Data!$9:$9,1,MATCH(M1364,detail_table[#Headers],0))</f>
        <v>0</v>
      </c>
    </row>
    <row r="1365" spans="13:14" x14ac:dyDescent="0.35">
      <c r="M1365" s="64" t="s">
        <v>1607</v>
      </c>
      <c r="N1365" s="61">
        <f>INDEX(Data!$9:$9,1,MATCH(M1365,detail_table[#Headers],0))</f>
        <v>0</v>
      </c>
    </row>
    <row r="1366" spans="13:14" x14ac:dyDescent="0.35">
      <c r="M1366" s="64" t="s">
        <v>1608</v>
      </c>
      <c r="N1366" s="61">
        <f>INDEX(Data!$9:$9,1,MATCH(M1366,detail_table[#Headers],0))</f>
        <v>0</v>
      </c>
    </row>
    <row r="1367" spans="13:14" x14ac:dyDescent="0.35">
      <c r="M1367" s="64" t="s">
        <v>1609</v>
      </c>
      <c r="N1367" s="61">
        <f>INDEX(Data!$9:$9,1,MATCH(M1367,detail_table[#Headers],0))</f>
        <v>0</v>
      </c>
    </row>
    <row r="1368" spans="13:14" x14ac:dyDescent="0.35">
      <c r="M1368" s="64" t="s">
        <v>1610</v>
      </c>
      <c r="N1368" s="61">
        <f>INDEX(Data!$9:$9,1,MATCH(M1368,detail_table[#Headers],0))</f>
        <v>0</v>
      </c>
    </row>
    <row r="1369" spans="13:14" x14ac:dyDescent="0.35">
      <c r="M1369" s="64" t="s">
        <v>1611</v>
      </c>
      <c r="N1369" s="61">
        <f>INDEX(Data!$9:$9,1,MATCH(M1369,detail_table[#Headers],0))</f>
        <v>0</v>
      </c>
    </row>
    <row r="1370" spans="13:14" x14ac:dyDescent="0.35">
      <c r="M1370" s="64" t="s">
        <v>1612</v>
      </c>
      <c r="N1370" s="61">
        <f>INDEX(Data!$9:$9,1,MATCH(M1370,detail_table[#Headers],0))</f>
        <v>0</v>
      </c>
    </row>
    <row r="1371" spans="13:14" x14ac:dyDescent="0.35">
      <c r="M1371" s="64" t="s">
        <v>1613</v>
      </c>
      <c r="N1371" s="61">
        <f>INDEX(Data!$9:$9,1,MATCH(M1371,detail_table[#Headers],0))</f>
        <v>0</v>
      </c>
    </row>
    <row r="1372" spans="13:14" x14ac:dyDescent="0.35">
      <c r="M1372" s="64" t="s">
        <v>1614</v>
      </c>
      <c r="N1372" s="61">
        <f>INDEX(Data!$9:$9,1,MATCH(M1372,detail_table[#Headers],0))</f>
        <v>0</v>
      </c>
    </row>
    <row r="1373" spans="13:14" x14ac:dyDescent="0.35">
      <c r="M1373" s="64" t="s">
        <v>1615</v>
      </c>
      <c r="N1373" s="61">
        <f>INDEX(Data!$9:$9,1,MATCH(M1373,detail_table[#Headers],0))</f>
        <v>0</v>
      </c>
    </row>
    <row r="1374" spans="13:14" x14ac:dyDescent="0.35">
      <c r="M1374" s="64" t="s">
        <v>1616</v>
      </c>
      <c r="N1374" s="61">
        <f>INDEX(Data!$9:$9,1,MATCH(M1374,detail_table[#Headers],0))</f>
        <v>0</v>
      </c>
    </row>
    <row r="1375" spans="13:14" x14ac:dyDescent="0.35">
      <c r="M1375" s="64" t="s">
        <v>1617</v>
      </c>
      <c r="N1375" s="61">
        <f>INDEX(Data!$9:$9,1,MATCH(M1375,detail_table[#Headers],0))</f>
        <v>0</v>
      </c>
    </row>
    <row r="1376" spans="13:14" x14ac:dyDescent="0.35">
      <c r="M1376" s="64" t="s">
        <v>1618</v>
      </c>
      <c r="N1376" s="61">
        <f>INDEX(Data!$9:$9,1,MATCH(M1376,detail_table[#Headers],0))</f>
        <v>0</v>
      </c>
    </row>
    <row r="1377" spans="13:14" x14ac:dyDescent="0.35">
      <c r="M1377" s="64" t="s">
        <v>1619</v>
      </c>
      <c r="N1377" s="61">
        <f>INDEX(Data!$9:$9,1,MATCH(M1377,detail_table[#Headers],0))</f>
        <v>0</v>
      </c>
    </row>
    <row r="1378" spans="13:14" x14ac:dyDescent="0.35">
      <c r="M1378" s="64" t="s">
        <v>1620</v>
      </c>
      <c r="N1378" s="61">
        <f>INDEX(Data!$9:$9,1,MATCH(M1378,detail_table[#Headers],0))</f>
        <v>0</v>
      </c>
    </row>
    <row r="1379" spans="13:14" x14ac:dyDescent="0.35">
      <c r="M1379" s="64" t="s">
        <v>1621</v>
      </c>
      <c r="N1379" s="61">
        <f>INDEX(Data!$9:$9,1,MATCH(M1379,detail_table[#Headers],0))</f>
        <v>0</v>
      </c>
    </row>
    <row r="1380" spans="13:14" x14ac:dyDescent="0.35">
      <c r="M1380" s="64" t="s">
        <v>1622</v>
      </c>
      <c r="N1380" s="61">
        <f>INDEX(Data!$9:$9,1,MATCH(M1380,detail_table[#Headers],0))</f>
        <v>0</v>
      </c>
    </row>
    <row r="1381" spans="13:14" x14ac:dyDescent="0.35">
      <c r="M1381" s="64" t="s">
        <v>1623</v>
      </c>
      <c r="N1381" s="61">
        <f>INDEX(Data!$9:$9,1,MATCH(M1381,detail_table[#Headers],0))</f>
        <v>0</v>
      </c>
    </row>
    <row r="1382" spans="13:14" x14ac:dyDescent="0.35">
      <c r="M1382" s="64" t="s">
        <v>1624</v>
      </c>
      <c r="N1382" s="61">
        <f>INDEX(Data!$9:$9,1,MATCH(M1382,detail_table[#Headers],0))</f>
        <v>0</v>
      </c>
    </row>
    <row r="1383" spans="13:14" x14ac:dyDescent="0.35">
      <c r="M1383" s="64" t="s">
        <v>1625</v>
      </c>
      <c r="N1383" s="61">
        <f>INDEX(Data!$9:$9,1,MATCH(M1383,detail_table[#Headers],0))</f>
        <v>0</v>
      </c>
    </row>
    <row r="1384" spans="13:14" x14ac:dyDescent="0.35">
      <c r="M1384" s="64" t="s">
        <v>1626</v>
      </c>
      <c r="N1384" s="61">
        <f>INDEX(Data!$9:$9,1,MATCH(M1384,detail_table[#Headers],0))</f>
        <v>0</v>
      </c>
    </row>
    <row r="1385" spans="13:14" x14ac:dyDescent="0.35">
      <c r="M1385" s="64" t="s">
        <v>1627</v>
      </c>
      <c r="N1385" s="61">
        <f>INDEX(Data!$9:$9,1,MATCH(M1385,detail_table[#Headers],0))</f>
        <v>0</v>
      </c>
    </row>
    <row r="1386" spans="13:14" x14ac:dyDescent="0.35">
      <c r="M1386" s="64" t="s">
        <v>1628</v>
      </c>
      <c r="N1386" s="61">
        <f>INDEX(Data!$9:$9,1,MATCH(M1386,detail_table[#Headers],0))</f>
        <v>0</v>
      </c>
    </row>
    <row r="1387" spans="13:14" x14ac:dyDescent="0.35">
      <c r="M1387" s="64" t="s">
        <v>1629</v>
      </c>
      <c r="N1387" s="61">
        <f>INDEX(Data!$9:$9,1,MATCH(M1387,detail_table[#Headers],0))</f>
        <v>0</v>
      </c>
    </row>
    <row r="1388" spans="13:14" x14ac:dyDescent="0.35">
      <c r="M1388" s="64" t="s">
        <v>1630</v>
      </c>
      <c r="N1388" s="61">
        <f>INDEX(Data!$9:$9,1,MATCH(M1388,detail_table[#Headers],0))</f>
        <v>0</v>
      </c>
    </row>
    <row r="1389" spans="13:14" x14ac:dyDescent="0.35">
      <c r="M1389" s="64" t="s">
        <v>1631</v>
      </c>
      <c r="N1389" s="61">
        <f>INDEX(Data!$9:$9,1,MATCH(M1389,detail_table[#Headers],0))</f>
        <v>0</v>
      </c>
    </row>
    <row r="1390" spans="13:14" x14ac:dyDescent="0.35">
      <c r="M1390" s="64" t="s">
        <v>1632</v>
      </c>
      <c r="N1390" s="61">
        <f>INDEX(Data!$9:$9,1,MATCH(M1390,detail_table[#Headers],0))</f>
        <v>0</v>
      </c>
    </row>
    <row r="1391" spans="13:14" x14ac:dyDescent="0.35">
      <c r="M1391" s="64" t="s">
        <v>1633</v>
      </c>
      <c r="N1391" s="61">
        <f>INDEX(Data!$9:$9,1,MATCH(M1391,detail_table[#Headers],0))</f>
        <v>0</v>
      </c>
    </row>
    <row r="1392" spans="13:14" x14ac:dyDescent="0.35">
      <c r="M1392" s="64" t="s">
        <v>1634</v>
      </c>
      <c r="N1392" s="61">
        <f>INDEX(Data!$9:$9,1,MATCH(M1392,detail_table[#Headers],0))</f>
        <v>0</v>
      </c>
    </row>
    <row r="1393" spans="13:14" x14ac:dyDescent="0.35">
      <c r="M1393" s="64" t="s">
        <v>1635</v>
      </c>
      <c r="N1393" s="61">
        <f>INDEX(Data!$9:$9,1,MATCH(M1393,detail_table[#Headers],0))</f>
        <v>0</v>
      </c>
    </row>
    <row r="1394" spans="13:14" x14ac:dyDescent="0.35">
      <c r="M1394" s="64" t="s">
        <v>1636</v>
      </c>
      <c r="N1394" s="61">
        <f>INDEX(Data!$9:$9,1,MATCH(M1394,detail_table[#Headers],0))</f>
        <v>0</v>
      </c>
    </row>
    <row r="1395" spans="13:14" x14ac:dyDescent="0.35">
      <c r="M1395" s="64" t="s">
        <v>1637</v>
      </c>
      <c r="N1395" s="61">
        <f>INDEX(Data!$9:$9,1,MATCH(M1395,detail_table[#Headers],0))</f>
        <v>0</v>
      </c>
    </row>
    <row r="1396" spans="13:14" x14ac:dyDescent="0.35">
      <c r="M1396" s="64" t="s">
        <v>1638</v>
      </c>
      <c r="N1396" s="61">
        <f>INDEX(Data!$9:$9,1,MATCH(M1396,detail_table[#Headers],0))</f>
        <v>0</v>
      </c>
    </row>
    <row r="1397" spans="13:14" x14ac:dyDescent="0.35">
      <c r="M1397" s="64" t="s">
        <v>1639</v>
      </c>
      <c r="N1397" s="61">
        <f>INDEX(Data!$9:$9,1,MATCH(M1397,detail_table[#Headers],0))</f>
        <v>0</v>
      </c>
    </row>
    <row r="1398" spans="13:14" x14ac:dyDescent="0.35">
      <c r="M1398" s="64" t="s">
        <v>1640</v>
      </c>
      <c r="N1398" s="61">
        <f>INDEX(Data!$9:$9,1,MATCH(M1398,detail_table[#Headers],0))</f>
        <v>0</v>
      </c>
    </row>
    <row r="1399" spans="13:14" x14ac:dyDescent="0.35">
      <c r="M1399" s="64" t="s">
        <v>1641</v>
      </c>
      <c r="N1399" s="61">
        <f>INDEX(Data!$9:$9,1,MATCH(M1399,detail_table[#Headers],0))</f>
        <v>0</v>
      </c>
    </row>
    <row r="1400" spans="13:14" x14ac:dyDescent="0.35">
      <c r="M1400" s="64" t="s">
        <v>1642</v>
      </c>
      <c r="N1400" s="61">
        <f>INDEX(Data!$9:$9,1,MATCH(M1400,detail_table[#Headers],0))</f>
        <v>0</v>
      </c>
    </row>
    <row r="1401" spans="13:14" x14ac:dyDescent="0.35">
      <c r="M1401" s="64" t="s">
        <v>1643</v>
      </c>
      <c r="N1401" s="61">
        <f>INDEX(Data!$9:$9,1,MATCH(M1401,detail_table[#Headers],0))</f>
        <v>0</v>
      </c>
    </row>
    <row r="1402" spans="13:14" x14ac:dyDescent="0.35">
      <c r="M1402" s="64" t="s">
        <v>1644</v>
      </c>
      <c r="N1402" s="61">
        <f>INDEX(Data!$9:$9,1,MATCH(M1402,detail_table[#Headers],0))</f>
        <v>0</v>
      </c>
    </row>
    <row r="1403" spans="13:14" x14ac:dyDescent="0.35">
      <c r="M1403" s="64" t="s">
        <v>1645</v>
      </c>
      <c r="N1403" s="61">
        <f>INDEX(Data!$9:$9,1,MATCH(M1403,detail_table[#Headers],0))</f>
        <v>0</v>
      </c>
    </row>
    <row r="1404" spans="13:14" x14ac:dyDescent="0.35">
      <c r="M1404" s="64" t="s">
        <v>1646</v>
      </c>
      <c r="N1404" s="61">
        <f>INDEX(Data!$9:$9,1,MATCH(M1404,detail_table[#Headers],0))</f>
        <v>0</v>
      </c>
    </row>
    <row r="1405" spans="13:14" x14ac:dyDescent="0.35">
      <c r="M1405" s="64" t="s">
        <v>1647</v>
      </c>
      <c r="N1405" s="61">
        <f>INDEX(Data!$9:$9,1,MATCH(M1405,detail_table[#Headers],0))</f>
        <v>0</v>
      </c>
    </row>
    <row r="1406" spans="13:14" x14ac:dyDescent="0.35">
      <c r="M1406" s="64" t="s">
        <v>1648</v>
      </c>
      <c r="N1406" s="61">
        <f>INDEX(Data!$9:$9,1,MATCH(M1406,detail_table[#Headers],0))</f>
        <v>0</v>
      </c>
    </row>
    <row r="1407" spans="13:14" x14ac:dyDescent="0.35">
      <c r="M1407" s="64" t="s">
        <v>1649</v>
      </c>
      <c r="N1407" s="61">
        <f>INDEX(Data!$9:$9,1,MATCH(M1407,detail_table[#Headers],0))</f>
        <v>0</v>
      </c>
    </row>
    <row r="1408" spans="13:14" x14ac:dyDescent="0.35">
      <c r="M1408" s="64" t="s">
        <v>1650</v>
      </c>
      <c r="N1408" s="61">
        <f>INDEX(Data!$9:$9,1,MATCH(M1408,detail_table[#Headers],0))</f>
        <v>0</v>
      </c>
    </row>
    <row r="1409" spans="13:14" x14ac:dyDescent="0.35">
      <c r="M1409" s="64" t="s">
        <v>1651</v>
      </c>
      <c r="N1409" s="61">
        <f>INDEX(Data!$9:$9,1,MATCH(M1409,detail_table[#Headers],0))</f>
        <v>0</v>
      </c>
    </row>
    <row r="1410" spans="13:14" x14ac:dyDescent="0.35">
      <c r="M1410" s="64" t="s">
        <v>1652</v>
      </c>
      <c r="N1410" s="61">
        <f>INDEX(Data!$9:$9,1,MATCH(M1410,detail_table[#Headers],0))</f>
        <v>0</v>
      </c>
    </row>
    <row r="1411" spans="13:14" x14ac:dyDescent="0.35">
      <c r="M1411" s="64" t="s">
        <v>1653</v>
      </c>
      <c r="N1411" s="61">
        <f>INDEX(Data!$9:$9,1,MATCH(M1411,detail_table[#Headers],0))</f>
        <v>0</v>
      </c>
    </row>
    <row r="1412" spans="13:14" x14ac:dyDescent="0.35">
      <c r="M1412" s="64" t="s">
        <v>1654</v>
      </c>
      <c r="N1412" s="61">
        <f>INDEX(Data!$9:$9,1,MATCH(M1412,detail_table[#Headers],0))</f>
        <v>0</v>
      </c>
    </row>
    <row r="1413" spans="13:14" x14ac:dyDescent="0.35">
      <c r="M1413" s="64" t="s">
        <v>1655</v>
      </c>
      <c r="N1413" s="61">
        <f>INDEX(Data!$9:$9,1,MATCH(M1413,detail_table[#Headers],0))</f>
        <v>0</v>
      </c>
    </row>
    <row r="1414" spans="13:14" x14ac:dyDescent="0.35">
      <c r="M1414" s="64" t="s">
        <v>1656</v>
      </c>
      <c r="N1414" s="61">
        <f>INDEX(Data!$9:$9,1,MATCH(M1414,detail_table[#Headers],0))</f>
        <v>0</v>
      </c>
    </row>
    <row r="1415" spans="13:14" x14ac:dyDescent="0.35">
      <c r="M1415" s="64" t="s">
        <v>1657</v>
      </c>
      <c r="N1415" s="61">
        <f>INDEX(Data!$9:$9,1,MATCH(M1415,detail_table[#Headers],0))</f>
        <v>0</v>
      </c>
    </row>
    <row r="1416" spans="13:14" x14ac:dyDescent="0.35">
      <c r="M1416" s="64" t="s">
        <v>1658</v>
      </c>
      <c r="N1416" s="61">
        <f>INDEX(Data!$9:$9,1,MATCH(M1416,detail_table[#Headers],0))</f>
        <v>0</v>
      </c>
    </row>
    <row r="1417" spans="13:14" x14ac:dyDescent="0.35">
      <c r="M1417" s="64" t="s">
        <v>1659</v>
      </c>
      <c r="N1417" s="61">
        <f>INDEX(Data!$9:$9,1,MATCH(M1417,detail_table[#Headers],0))</f>
        <v>0</v>
      </c>
    </row>
    <row r="1418" spans="13:14" x14ac:dyDescent="0.35">
      <c r="M1418" s="64" t="s">
        <v>1660</v>
      </c>
      <c r="N1418" s="61">
        <f>INDEX(Data!$9:$9,1,MATCH(M1418,detail_table[#Headers],0))</f>
        <v>0</v>
      </c>
    </row>
    <row r="1419" spans="13:14" x14ac:dyDescent="0.35">
      <c r="M1419" s="64" t="s">
        <v>2171</v>
      </c>
      <c r="N1419" s="61">
        <f>INDEX(Data!$9:$9,1,MATCH(M1419,detail_table[#Headers],0))</f>
        <v>0</v>
      </c>
    </row>
    <row r="1420" spans="13:14" x14ac:dyDescent="0.35">
      <c r="M1420" s="64" t="s">
        <v>2172</v>
      </c>
      <c r="N1420" s="61">
        <f>INDEX(Data!$9:$9,1,MATCH(M1420,detail_table[#Headers],0))</f>
        <v>0</v>
      </c>
    </row>
    <row r="1421" spans="13:14" x14ac:dyDescent="0.35">
      <c r="M1421" s="64" t="s">
        <v>2173</v>
      </c>
      <c r="N1421" s="61">
        <f>INDEX(Data!$9:$9,1,MATCH(M1421,detail_table[#Headers],0))</f>
        <v>0</v>
      </c>
    </row>
    <row r="1422" spans="13:14" x14ac:dyDescent="0.35">
      <c r="M1422" s="64" t="s">
        <v>2174</v>
      </c>
      <c r="N1422" s="61">
        <f>INDEX(Data!$9:$9,1,MATCH(M1422,detail_table[#Headers],0))</f>
        <v>0</v>
      </c>
    </row>
    <row r="1423" spans="13:14" x14ac:dyDescent="0.35">
      <c r="M1423" s="64" t="s">
        <v>2175</v>
      </c>
      <c r="N1423" s="61">
        <f>INDEX(Data!$9:$9,1,MATCH(M1423,detail_table[#Headers],0))</f>
        <v>0</v>
      </c>
    </row>
    <row r="1424" spans="13:14" x14ac:dyDescent="0.35">
      <c r="M1424" s="64" t="s">
        <v>1661</v>
      </c>
      <c r="N1424" s="61">
        <f>INDEX(Data!$9:$9,1,MATCH(M1424,detail_table[#Headers],0))</f>
        <v>0</v>
      </c>
    </row>
    <row r="1425" spans="13:14" x14ac:dyDescent="0.35">
      <c r="M1425" s="64" t="s">
        <v>1662</v>
      </c>
      <c r="N1425" s="61">
        <f>INDEX(Data!$9:$9,1,MATCH(M1425,detail_table[#Headers],0))</f>
        <v>0</v>
      </c>
    </row>
    <row r="1426" spans="13:14" x14ac:dyDescent="0.35">
      <c r="M1426" s="64" t="s">
        <v>1663</v>
      </c>
      <c r="N1426" s="61">
        <f>INDEX(Data!$9:$9,1,MATCH(M1426,detail_table[#Headers],0))</f>
        <v>0</v>
      </c>
    </row>
    <row r="1427" spans="13:14" x14ac:dyDescent="0.35">
      <c r="M1427" s="64" t="s">
        <v>1664</v>
      </c>
      <c r="N1427" s="61">
        <f>INDEX(Data!$9:$9,1,MATCH(M1427,detail_table[#Headers],0))</f>
        <v>0</v>
      </c>
    </row>
    <row r="1428" spans="13:14" x14ac:dyDescent="0.35">
      <c r="M1428" s="64" t="s">
        <v>1665</v>
      </c>
      <c r="N1428" s="61">
        <f>INDEX(Data!$9:$9,1,MATCH(M1428,detail_table[#Headers],0))</f>
        <v>0</v>
      </c>
    </row>
    <row r="1429" spans="13:14" x14ac:dyDescent="0.35">
      <c r="M1429" s="64" t="s">
        <v>1666</v>
      </c>
      <c r="N1429" s="61">
        <f>INDEX(Data!$9:$9,1,MATCH(M1429,detail_table[#Headers],0))</f>
        <v>0</v>
      </c>
    </row>
    <row r="1430" spans="13:14" x14ac:dyDescent="0.35">
      <c r="M1430" s="64" t="s">
        <v>1667</v>
      </c>
      <c r="N1430" s="61">
        <f>INDEX(Data!$9:$9,1,MATCH(M1430,detail_table[#Headers],0))</f>
        <v>0</v>
      </c>
    </row>
    <row r="1431" spans="13:14" x14ac:dyDescent="0.35">
      <c r="M1431" s="64" t="s">
        <v>1668</v>
      </c>
      <c r="N1431" s="61">
        <f>INDEX(Data!$9:$9,1,MATCH(M1431,detail_table[#Headers],0))</f>
        <v>0</v>
      </c>
    </row>
    <row r="1432" spans="13:14" x14ac:dyDescent="0.35">
      <c r="M1432" s="64" t="s">
        <v>1669</v>
      </c>
      <c r="N1432" s="61">
        <f>INDEX(Data!$9:$9,1,MATCH(M1432,detail_table[#Headers],0))</f>
        <v>0</v>
      </c>
    </row>
    <row r="1433" spans="13:14" x14ac:dyDescent="0.35">
      <c r="M1433" s="64" t="s">
        <v>1670</v>
      </c>
      <c r="N1433" s="61">
        <f>INDEX(Data!$9:$9,1,MATCH(M1433,detail_table[#Headers],0))</f>
        <v>0</v>
      </c>
    </row>
    <row r="1434" spans="13:14" x14ac:dyDescent="0.35">
      <c r="M1434" s="64" t="s">
        <v>2086</v>
      </c>
      <c r="N1434" s="61">
        <f>INDEX(Data!$9:$9,1,MATCH(M1434,detail_table[#Headers],0))</f>
        <v>0</v>
      </c>
    </row>
    <row r="1435" spans="13:14" x14ac:dyDescent="0.35">
      <c r="M1435" s="64" t="s">
        <v>2085</v>
      </c>
      <c r="N1435" s="61">
        <f>INDEX(Data!$9:$9,1,MATCH(M1435,detail_table[#Headers],0))</f>
        <v>0</v>
      </c>
    </row>
    <row r="1436" spans="13:14" x14ac:dyDescent="0.35">
      <c r="M1436" s="64" t="s">
        <v>2084</v>
      </c>
      <c r="N1436" s="61">
        <f>INDEX(Data!$9:$9,1,MATCH(M1436,detail_table[#Headers],0))</f>
        <v>0</v>
      </c>
    </row>
    <row r="1437" spans="13:14" x14ac:dyDescent="0.35">
      <c r="M1437" s="64" t="s">
        <v>2092</v>
      </c>
      <c r="N1437" s="61">
        <f>INDEX(Data!$9:$9,1,MATCH(M1437,detail_table[#Headers],0))</f>
        <v>0</v>
      </c>
    </row>
    <row r="1438" spans="13:14" x14ac:dyDescent="0.35">
      <c r="M1438" s="64" t="s">
        <v>2093</v>
      </c>
      <c r="N1438" s="61">
        <f>INDEX(Data!$9:$9,1,MATCH(M1438,detail_table[#Headers],0))</f>
        <v>0</v>
      </c>
    </row>
    <row r="1439" spans="13:14" x14ac:dyDescent="0.35">
      <c r="M1439" s="64" t="s">
        <v>1671</v>
      </c>
      <c r="N1439" s="61">
        <f>INDEX(Data!$9:$9,1,MATCH(M1439,detail_table[#Headers],0))</f>
        <v>0</v>
      </c>
    </row>
    <row r="1440" spans="13:14" x14ac:dyDescent="0.35">
      <c r="M1440" s="64" t="s">
        <v>1672</v>
      </c>
      <c r="N1440" s="61">
        <f>INDEX(Data!$9:$9,1,MATCH(M1440,detail_table[#Headers],0))</f>
        <v>0</v>
      </c>
    </row>
    <row r="1441" spans="13:14" x14ac:dyDescent="0.35">
      <c r="M1441" s="64" t="s">
        <v>1673</v>
      </c>
      <c r="N1441" s="61">
        <f>INDEX(Data!$9:$9,1,MATCH(M1441,detail_table[#Headers],0))</f>
        <v>0</v>
      </c>
    </row>
    <row r="1442" spans="13:14" x14ac:dyDescent="0.35">
      <c r="M1442" s="64" t="s">
        <v>1674</v>
      </c>
      <c r="N1442" s="61">
        <f>INDEX(Data!$9:$9,1,MATCH(M1442,detail_table[#Headers],0))</f>
        <v>0</v>
      </c>
    </row>
    <row r="1443" spans="13:14" x14ac:dyDescent="0.35">
      <c r="M1443" s="64" t="s">
        <v>1675</v>
      </c>
      <c r="N1443" s="61">
        <f>INDEX(Data!$9:$9,1,MATCH(M1443,detail_table[#Headers],0))</f>
        <v>0</v>
      </c>
    </row>
    <row r="1444" spans="13:14" x14ac:dyDescent="0.35">
      <c r="M1444" s="64" t="s">
        <v>1676</v>
      </c>
      <c r="N1444" s="61">
        <f>INDEX(Data!$9:$9,1,MATCH(M1444,detail_table[#Headers],0))</f>
        <v>0</v>
      </c>
    </row>
    <row r="1445" spans="13:14" x14ac:dyDescent="0.35">
      <c r="M1445" s="64" t="s">
        <v>1677</v>
      </c>
      <c r="N1445" s="61">
        <f>INDEX(Data!$9:$9,1,MATCH(M1445,detail_table[#Headers],0))</f>
        <v>0</v>
      </c>
    </row>
    <row r="1446" spans="13:14" x14ac:dyDescent="0.35">
      <c r="M1446" s="64" t="s">
        <v>1678</v>
      </c>
      <c r="N1446" s="61">
        <f>INDEX(Data!$9:$9,1,MATCH(M1446,detail_table[#Headers],0))</f>
        <v>0</v>
      </c>
    </row>
    <row r="1447" spans="13:14" x14ac:dyDescent="0.35">
      <c r="M1447" s="64" t="s">
        <v>1679</v>
      </c>
      <c r="N1447" s="61">
        <f>INDEX(Data!$9:$9,1,MATCH(M1447,detail_table[#Headers],0))</f>
        <v>0</v>
      </c>
    </row>
    <row r="1448" spans="13:14" x14ac:dyDescent="0.35">
      <c r="M1448" s="64" t="s">
        <v>1680</v>
      </c>
      <c r="N1448" s="61">
        <f>INDEX(Data!$9:$9,1,MATCH(M1448,detail_table[#Headers],0))</f>
        <v>0</v>
      </c>
    </row>
    <row r="1449" spans="13:14" x14ac:dyDescent="0.35">
      <c r="M1449" s="64" t="s">
        <v>1681</v>
      </c>
      <c r="N1449" s="61">
        <f>INDEX(Data!$9:$9,1,MATCH(M1449,detail_table[#Headers],0))</f>
        <v>0</v>
      </c>
    </row>
    <row r="1450" spans="13:14" x14ac:dyDescent="0.35">
      <c r="M1450" s="64" t="s">
        <v>1682</v>
      </c>
      <c r="N1450" s="61">
        <f>INDEX(Data!$9:$9,1,MATCH(M1450,detail_table[#Headers],0))</f>
        <v>0</v>
      </c>
    </row>
    <row r="1451" spans="13:14" x14ac:dyDescent="0.35">
      <c r="M1451" s="64" t="s">
        <v>1683</v>
      </c>
      <c r="N1451" s="61">
        <f>INDEX(Data!$9:$9,1,MATCH(M1451,detail_table[#Headers],0))</f>
        <v>0</v>
      </c>
    </row>
    <row r="1452" spans="13:14" x14ac:dyDescent="0.35">
      <c r="M1452" s="64" t="s">
        <v>1684</v>
      </c>
      <c r="N1452" s="61">
        <f>INDEX(Data!$9:$9,1,MATCH(M1452,detail_table[#Headers],0))</f>
        <v>0</v>
      </c>
    </row>
    <row r="1453" spans="13:14" x14ac:dyDescent="0.35">
      <c r="M1453" s="64" t="s">
        <v>1685</v>
      </c>
      <c r="N1453" s="61">
        <f>INDEX(Data!$9:$9,1,MATCH(M1453,detail_table[#Headers],0))</f>
        <v>0</v>
      </c>
    </row>
    <row r="1454" spans="13:14" x14ac:dyDescent="0.35">
      <c r="M1454" s="64" t="s">
        <v>1686</v>
      </c>
      <c r="N1454" s="61">
        <f>INDEX(Data!$9:$9,1,MATCH(M1454,detail_table[#Headers],0))</f>
        <v>0</v>
      </c>
    </row>
    <row r="1455" spans="13:14" x14ac:dyDescent="0.35">
      <c r="M1455" s="64" t="s">
        <v>1687</v>
      </c>
      <c r="N1455" s="61">
        <f>INDEX(Data!$9:$9,1,MATCH(M1455,detail_table[#Headers],0))</f>
        <v>0</v>
      </c>
    </row>
    <row r="1456" spans="13:14" x14ac:dyDescent="0.35">
      <c r="M1456" s="64" t="s">
        <v>1688</v>
      </c>
      <c r="N1456" s="61">
        <f>INDEX(Data!$9:$9,1,MATCH(M1456,detail_table[#Headers],0))</f>
        <v>0</v>
      </c>
    </row>
    <row r="1457" spans="13:14" x14ac:dyDescent="0.35">
      <c r="M1457" s="64" t="s">
        <v>1689</v>
      </c>
      <c r="N1457" s="61">
        <f>INDEX(Data!$9:$9,1,MATCH(M1457,detail_table[#Headers],0))</f>
        <v>0</v>
      </c>
    </row>
    <row r="1458" spans="13:14" x14ac:dyDescent="0.35">
      <c r="M1458" s="64" t="s">
        <v>1690</v>
      </c>
      <c r="N1458" s="61">
        <f>INDEX(Data!$9:$9,1,MATCH(M1458,detail_table[#Headers],0))</f>
        <v>0</v>
      </c>
    </row>
    <row r="1459" spans="13:14" x14ac:dyDescent="0.35">
      <c r="M1459" s="64" t="s">
        <v>1691</v>
      </c>
      <c r="N1459" s="61">
        <f>INDEX(Data!$9:$9,1,MATCH(M1459,detail_table[#Headers],0))</f>
        <v>0</v>
      </c>
    </row>
    <row r="1460" spans="13:14" x14ac:dyDescent="0.35">
      <c r="M1460" s="64" t="s">
        <v>1692</v>
      </c>
      <c r="N1460" s="61">
        <f>INDEX(Data!$9:$9,1,MATCH(M1460,detail_table[#Headers],0))</f>
        <v>0</v>
      </c>
    </row>
    <row r="1461" spans="13:14" x14ac:dyDescent="0.35">
      <c r="M1461" s="64" t="s">
        <v>1693</v>
      </c>
      <c r="N1461" s="61">
        <f>INDEX(Data!$9:$9,1,MATCH(M1461,detail_table[#Headers],0))</f>
        <v>0</v>
      </c>
    </row>
    <row r="1462" spans="13:14" x14ac:dyDescent="0.35">
      <c r="M1462" s="64" t="s">
        <v>1694</v>
      </c>
      <c r="N1462" s="61">
        <f>INDEX(Data!$9:$9,1,MATCH(M1462,detail_table[#Headers],0))</f>
        <v>0</v>
      </c>
    </row>
    <row r="1463" spans="13:14" x14ac:dyDescent="0.35">
      <c r="M1463" s="64" t="s">
        <v>1695</v>
      </c>
      <c r="N1463" s="61">
        <f>INDEX(Data!$9:$9,1,MATCH(M1463,detail_table[#Headers],0))</f>
        <v>0</v>
      </c>
    </row>
    <row r="1464" spans="13:14" x14ac:dyDescent="0.35">
      <c r="M1464" s="64" t="s">
        <v>1696</v>
      </c>
      <c r="N1464" s="61">
        <f>INDEX(Data!$9:$9,1,MATCH(M1464,detail_table[#Headers],0))</f>
        <v>0</v>
      </c>
    </row>
    <row r="1465" spans="13:14" x14ac:dyDescent="0.35">
      <c r="M1465" s="64" t="s">
        <v>1697</v>
      </c>
      <c r="N1465" s="61">
        <f>INDEX(Data!$9:$9,1,MATCH(M1465,detail_table[#Headers],0))</f>
        <v>0</v>
      </c>
    </row>
    <row r="1466" spans="13:14" x14ac:dyDescent="0.35">
      <c r="M1466" s="64" t="s">
        <v>1698</v>
      </c>
      <c r="N1466" s="61">
        <f>INDEX(Data!$9:$9,1,MATCH(M1466,detail_table[#Headers],0))</f>
        <v>0</v>
      </c>
    </row>
    <row r="1467" spans="13:14" x14ac:dyDescent="0.35">
      <c r="M1467" s="64" t="s">
        <v>1699</v>
      </c>
      <c r="N1467" s="61">
        <f>INDEX(Data!$9:$9,1,MATCH(M1467,detail_table[#Headers],0))</f>
        <v>0</v>
      </c>
    </row>
    <row r="1468" spans="13:14" x14ac:dyDescent="0.35">
      <c r="M1468" s="64" t="s">
        <v>1700</v>
      </c>
      <c r="N1468" s="61">
        <f>INDEX(Data!$9:$9,1,MATCH(M1468,detail_table[#Headers],0))</f>
        <v>0</v>
      </c>
    </row>
    <row r="1469" spans="13:14" x14ac:dyDescent="0.35">
      <c r="M1469" s="64" t="s">
        <v>1701</v>
      </c>
      <c r="N1469" s="61">
        <f>INDEX(Data!$9:$9,1,MATCH(M1469,detail_table[#Headers],0))</f>
        <v>0</v>
      </c>
    </row>
    <row r="1470" spans="13:14" x14ac:dyDescent="0.35">
      <c r="M1470" s="64" t="s">
        <v>1702</v>
      </c>
      <c r="N1470" s="61">
        <f>INDEX(Data!$9:$9,1,MATCH(M1470,detail_table[#Headers],0))</f>
        <v>0</v>
      </c>
    </row>
    <row r="1471" spans="13:14" x14ac:dyDescent="0.35">
      <c r="M1471" s="64" t="s">
        <v>1703</v>
      </c>
      <c r="N1471" s="61">
        <f>INDEX(Data!$9:$9,1,MATCH(M1471,detail_table[#Headers],0))</f>
        <v>0</v>
      </c>
    </row>
    <row r="1472" spans="13:14" x14ac:dyDescent="0.35">
      <c r="M1472" s="64" t="s">
        <v>1704</v>
      </c>
      <c r="N1472" s="61">
        <f>INDEX(Data!$9:$9,1,MATCH(M1472,detail_table[#Headers],0))</f>
        <v>0</v>
      </c>
    </row>
    <row r="1473" spans="13:14" x14ac:dyDescent="0.35">
      <c r="M1473" s="64" t="s">
        <v>1705</v>
      </c>
      <c r="N1473" s="61">
        <f>INDEX(Data!$9:$9,1,MATCH(M1473,detail_table[#Headers],0))</f>
        <v>0</v>
      </c>
    </row>
    <row r="1474" spans="13:14" x14ac:dyDescent="0.35">
      <c r="M1474" s="64" t="s">
        <v>1706</v>
      </c>
      <c r="N1474" s="61">
        <f>INDEX(Data!$9:$9,1,MATCH(M1474,detail_table[#Headers],0))</f>
        <v>0</v>
      </c>
    </row>
    <row r="1475" spans="13:14" x14ac:dyDescent="0.35">
      <c r="M1475" s="64" t="s">
        <v>1707</v>
      </c>
      <c r="N1475" s="61">
        <f>INDEX(Data!$9:$9,1,MATCH(M1475,detail_table[#Headers],0))</f>
        <v>0</v>
      </c>
    </row>
    <row r="1476" spans="13:14" x14ac:dyDescent="0.35">
      <c r="M1476" s="64" t="s">
        <v>1708</v>
      </c>
      <c r="N1476" s="61">
        <f>INDEX(Data!$9:$9,1,MATCH(M1476,detail_table[#Headers],0))</f>
        <v>0</v>
      </c>
    </row>
    <row r="1477" spans="13:14" x14ac:dyDescent="0.35">
      <c r="M1477" s="64" t="s">
        <v>1709</v>
      </c>
      <c r="N1477" s="61">
        <f>INDEX(Data!$9:$9,1,MATCH(M1477,detail_table[#Headers],0))</f>
        <v>0</v>
      </c>
    </row>
    <row r="1478" spans="13:14" x14ac:dyDescent="0.35">
      <c r="M1478" s="64" t="s">
        <v>1710</v>
      </c>
      <c r="N1478" s="61">
        <f>INDEX(Data!$9:$9,1,MATCH(M1478,detail_table[#Headers],0))</f>
        <v>0</v>
      </c>
    </row>
    <row r="1479" spans="13:14" x14ac:dyDescent="0.35">
      <c r="M1479" s="64" t="s">
        <v>1711</v>
      </c>
      <c r="N1479" s="61">
        <f>INDEX(Data!$9:$9,1,MATCH(M1479,detail_table[#Headers],0))</f>
        <v>0</v>
      </c>
    </row>
    <row r="1480" spans="13:14" x14ac:dyDescent="0.35">
      <c r="M1480" s="64" t="s">
        <v>1712</v>
      </c>
      <c r="N1480" s="61">
        <f>INDEX(Data!$9:$9,1,MATCH(M1480,detail_table[#Headers],0))</f>
        <v>0</v>
      </c>
    </row>
    <row r="1481" spans="13:14" x14ac:dyDescent="0.35">
      <c r="M1481" s="64" t="s">
        <v>1713</v>
      </c>
      <c r="N1481" s="61">
        <f>INDEX(Data!$9:$9,1,MATCH(M1481,detail_table[#Headers],0))</f>
        <v>0</v>
      </c>
    </row>
    <row r="1482" spans="13:14" x14ac:dyDescent="0.35">
      <c r="M1482" s="64" t="s">
        <v>1714</v>
      </c>
      <c r="N1482" s="61">
        <f>INDEX(Data!$9:$9,1,MATCH(M1482,detail_table[#Headers],0))</f>
        <v>0</v>
      </c>
    </row>
    <row r="1483" spans="13:14" x14ac:dyDescent="0.35">
      <c r="M1483" s="64" t="s">
        <v>1715</v>
      </c>
      <c r="N1483" s="61">
        <f>INDEX(Data!$9:$9,1,MATCH(M1483,detail_table[#Headers],0))</f>
        <v>0</v>
      </c>
    </row>
    <row r="1484" spans="13:14" x14ac:dyDescent="0.35">
      <c r="M1484" s="64" t="s">
        <v>1716</v>
      </c>
      <c r="N1484" s="61">
        <f>INDEX(Data!$9:$9,1,MATCH(M1484,detail_table[#Headers],0))</f>
        <v>0</v>
      </c>
    </row>
    <row r="1485" spans="13:14" x14ac:dyDescent="0.35">
      <c r="M1485" s="64" t="s">
        <v>1717</v>
      </c>
      <c r="N1485" s="61">
        <f>INDEX(Data!$9:$9,1,MATCH(M1485,detail_table[#Headers],0))</f>
        <v>0</v>
      </c>
    </row>
    <row r="1486" spans="13:14" x14ac:dyDescent="0.35">
      <c r="M1486" s="64" t="s">
        <v>1718</v>
      </c>
      <c r="N1486" s="61">
        <f>INDEX(Data!$9:$9,1,MATCH(M1486,detail_table[#Headers],0))</f>
        <v>0</v>
      </c>
    </row>
    <row r="1487" spans="13:14" x14ac:dyDescent="0.35">
      <c r="M1487" s="64" t="s">
        <v>1719</v>
      </c>
      <c r="N1487" s="61">
        <f>INDEX(Data!$9:$9,1,MATCH(M1487,detail_table[#Headers],0))</f>
        <v>0</v>
      </c>
    </row>
    <row r="1488" spans="13:14" x14ac:dyDescent="0.35">
      <c r="M1488" s="64" t="s">
        <v>1720</v>
      </c>
      <c r="N1488" s="61">
        <f>INDEX(Data!$9:$9,1,MATCH(M1488,detail_table[#Headers],0))</f>
        <v>0</v>
      </c>
    </row>
    <row r="1489" spans="13:14" x14ac:dyDescent="0.35">
      <c r="M1489" s="64" t="s">
        <v>1721</v>
      </c>
      <c r="N1489" s="61">
        <f>INDEX(Data!$9:$9,1,MATCH(M1489,detail_table[#Headers],0))</f>
        <v>0</v>
      </c>
    </row>
    <row r="1490" spans="13:14" x14ac:dyDescent="0.35">
      <c r="M1490" s="64" t="s">
        <v>1722</v>
      </c>
      <c r="N1490" s="61">
        <f>INDEX(Data!$9:$9,1,MATCH(M1490,detail_table[#Headers],0))</f>
        <v>0</v>
      </c>
    </row>
    <row r="1491" spans="13:14" x14ac:dyDescent="0.35">
      <c r="M1491" s="64" t="s">
        <v>1723</v>
      </c>
      <c r="N1491" s="61">
        <f>INDEX(Data!$9:$9,1,MATCH(M1491,detail_table[#Headers],0))</f>
        <v>0</v>
      </c>
    </row>
    <row r="1492" spans="13:14" x14ac:dyDescent="0.35">
      <c r="M1492" s="64" t="s">
        <v>1724</v>
      </c>
      <c r="N1492" s="61">
        <f>INDEX(Data!$9:$9,1,MATCH(M1492,detail_table[#Headers],0))</f>
        <v>0</v>
      </c>
    </row>
    <row r="1493" spans="13:14" x14ac:dyDescent="0.35">
      <c r="M1493" s="64" t="s">
        <v>1725</v>
      </c>
      <c r="N1493" s="61">
        <f>INDEX(Data!$9:$9,1,MATCH(M1493,detail_table[#Headers],0))</f>
        <v>0</v>
      </c>
    </row>
    <row r="1494" spans="13:14" x14ac:dyDescent="0.35">
      <c r="M1494" s="64" t="s">
        <v>1726</v>
      </c>
      <c r="N1494" s="61">
        <f>INDEX(Data!$9:$9,1,MATCH(M1494,detail_table[#Headers],0))</f>
        <v>0</v>
      </c>
    </row>
    <row r="1495" spans="13:14" x14ac:dyDescent="0.35">
      <c r="M1495" s="64" t="s">
        <v>1727</v>
      </c>
      <c r="N1495" s="61">
        <f>INDEX(Data!$9:$9,1,MATCH(M1495,detail_table[#Headers],0))</f>
        <v>0</v>
      </c>
    </row>
    <row r="1496" spans="13:14" x14ac:dyDescent="0.35">
      <c r="M1496" s="64" t="s">
        <v>1728</v>
      </c>
      <c r="N1496" s="61">
        <f>INDEX(Data!$9:$9,1,MATCH(M1496,detail_table[#Headers],0))</f>
        <v>0</v>
      </c>
    </row>
    <row r="1497" spans="13:14" x14ac:dyDescent="0.35">
      <c r="M1497" s="64" t="s">
        <v>1729</v>
      </c>
      <c r="N1497" s="61">
        <f>INDEX(Data!$9:$9,1,MATCH(M1497,detail_table[#Headers],0))</f>
        <v>0</v>
      </c>
    </row>
    <row r="1498" spans="13:14" x14ac:dyDescent="0.35">
      <c r="M1498" s="64" t="s">
        <v>1730</v>
      </c>
      <c r="N1498" s="61">
        <f>INDEX(Data!$9:$9,1,MATCH(M1498,detail_table[#Headers],0))</f>
        <v>0</v>
      </c>
    </row>
    <row r="1499" spans="13:14" x14ac:dyDescent="0.35">
      <c r="M1499" s="64" t="s">
        <v>1731</v>
      </c>
      <c r="N1499" s="61">
        <f>INDEX(Data!$9:$9,1,MATCH(M1499,detail_table[#Headers],0))</f>
        <v>0</v>
      </c>
    </row>
    <row r="1500" spans="13:14" x14ac:dyDescent="0.35">
      <c r="M1500" s="64" t="s">
        <v>1732</v>
      </c>
      <c r="N1500" s="61">
        <f>INDEX(Data!$9:$9,1,MATCH(M1500,detail_table[#Headers],0))</f>
        <v>0</v>
      </c>
    </row>
    <row r="1501" spans="13:14" x14ac:dyDescent="0.35">
      <c r="M1501" s="64" t="s">
        <v>1733</v>
      </c>
      <c r="N1501" s="61">
        <f>INDEX(Data!$9:$9,1,MATCH(M1501,detail_table[#Headers],0))</f>
        <v>0</v>
      </c>
    </row>
    <row r="1502" spans="13:14" x14ac:dyDescent="0.35">
      <c r="M1502" s="64" t="s">
        <v>1734</v>
      </c>
      <c r="N1502" s="61">
        <f>INDEX(Data!$9:$9,1,MATCH(M1502,detail_table[#Headers],0))</f>
        <v>0</v>
      </c>
    </row>
    <row r="1503" spans="13:14" x14ac:dyDescent="0.35">
      <c r="M1503" s="64" t="s">
        <v>1735</v>
      </c>
      <c r="N1503" s="61">
        <f>INDEX(Data!$9:$9,1,MATCH(M1503,detail_table[#Headers],0))</f>
        <v>0</v>
      </c>
    </row>
    <row r="1504" spans="13:14" x14ac:dyDescent="0.35">
      <c r="M1504" s="64" t="s">
        <v>1736</v>
      </c>
      <c r="N1504" s="61">
        <f>INDEX(Data!$9:$9,1,MATCH(M1504,detail_table[#Headers],0))</f>
        <v>0</v>
      </c>
    </row>
    <row r="1505" spans="13:14" x14ac:dyDescent="0.35">
      <c r="M1505" s="64" t="s">
        <v>1737</v>
      </c>
      <c r="N1505" s="61">
        <f>INDEX(Data!$9:$9,1,MATCH(M1505,detail_table[#Headers],0))</f>
        <v>0</v>
      </c>
    </row>
    <row r="1506" spans="13:14" x14ac:dyDescent="0.35">
      <c r="M1506" s="64" t="s">
        <v>1738</v>
      </c>
      <c r="N1506" s="61">
        <f>INDEX(Data!$9:$9,1,MATCH(M1506,detail_table[#Headers],0))</f>
        <v>0</v>
      </c>
    </row>
    <row r="1507" spans="13:14" x14ac:dyDescent="0.35">
      <c r="M1507" s="64" t="s">
        <v>1739</v>
      </c>
      <c r="N1507" s="61">
        <f>INDEX(Data!$9:$9,1,MATCH(M1507,detail_table[#Headers],0))</f>
        <v>0</v>
      </c>
    </row>
    <row r="1508" spans="13:14" x14ac:dyDescent="0.35">
      <c r="M1508" s="64" t="s">
        <v>1740</v>
      </c>
      <c r="N1508" s="61">
        <f>INDEX(Data!$9:$9,1,MATCH(M1508,detail_table[#Headers],0))</f>
        <v>0</v>
      </c>
    </row>
    <row r="1509" spans="13:14" x14ac:dyDescent="0.35">
      <c r="M1509" s="64" t="s">
        <v>1741</v>
      </c>
      <c r="N1509" s="61">
        <f>INDEX(Data!$9:$9,1,MATCH(M1509,detail_table[#Headers],0))</f>
        <v>0</v>
      </c>
    </row>
    <row r="1510" spans="13:14" x14ac:dyDescent="0.35">
      <c r="M1510" s="64" t="s">
        <v>1742</v>
      </c>
      <c r="N1510" s="61">
        <f>INDEX(Data!$9:$9,1,MATCH(M1510,detail_table[#Headers],0))</f>
        <v>0</v>
      </c>
    </row>
    <row r="1511" spans="13:14" x14ac:dyDescent="0.35">
      <c r="M1511" s="64" t="s">
        <v>1743</v>
      </c>
      <c r="N1511" s="61">
        <f>INDEX(Data!$9:$9,1,MATCH(M1511,detail_table[#Headers],0))</f>
        <v>0</v>
      </c>
    </row>
    <row r="1512" spans="13:14" x14ac:dyDescent="0.35">
      <c r="M1512" s="64" t="s">
        <v>1744</v>
      </c>
      <c r="N1512" s="61">
        <f>INDEX(Data!$9:$9,1,MATCH(M1512,detail_table[#Headers],0))</f>
        <v>0</v>
      </c>
    </row>
    <row r="1513" spans="13:14" x14ac:dyDescent="0.35">
      <c r="M1513" s="64" t="s">
        <v>1745</v>
      </c>
      <c r="N1513" s="61">
        <f>INDEX(Data!$9:$9,1,MATCH(M1513,detail_table[#Headers],0))</f>
        <v>0</v>
      </c>
    </row>
    <row r="1514" spans="13:14" x14ac:dyDescent="0.35">
      <c r="M1514" s="64" t="s">
        <v>1746</v>
      </c>
      <c r="N1514" s="61">
        <f>INDEX(Data!$9:$9,1,MATCH(M1514,detail_table[#Headers],0))</f>
        <v>0</v>
      </c>
    </row>
    <row r="1515" spans="13:14" x14ac:dyDescent="0.35">
      <c r="M1515" s="64" t="s">
        <v>1747</v>
      </c>
      <c r="N1515" s="61">
        <f>INDEX(Data!$9:$9,1,MATCH(M1515,detail_table[#Headers],0))</f>
        <v>0</v>
      </c>
    </row>
    <row r="1516" spans="13:14" x14ac:dyDescent="0.35">
      <c r="M1516" s="64" t="s">
        <v>1748</v>
      </c>
      <c r="N1516" s="61">
        <f>INDEX(Data!$9:$9,1,MATCH(M1516,detail_table[#Headers],0))</f>
        <v>0</v>
      </c>
    </row>
    <row r="1517" spans="13:14" x14ac:dyDescent="0.35">
      <c r="M1517" s="64" t="s">
        <v>1749</v>
      </c>
      <c r="N1517" s="61">
        <f>INDEX(Data!$9:$9,1,MATCH(M1517,detail_table[#Headers],0))</f>
        <v>0</v>
      </c>
    </row>
    <row r="1518" spans="13:14" x14ac:dyDescent="0.35">
      <c r="M1518" s="64" t="s">
        <v>1750</v>
      </c>
      <c r="N1518" s="61">
        <f>INDEX(Data!$9:$9,1,MATCH(M1518,detail_table[#Headers],0))</f>
        <v>0</v>
      </c>
    </row>
    <row r="1519" spans="13:14" x14ac:dyDescent="0.35">
      <c r="M1519" s="64" t="s">
        <v>1751</v>
      </c>
      <c r="N1519" s="61">
        <f>INDEX(Data!$9:$9,1,MATCH(M1519,detail_table[#Headers],0))</f>
        <v>0</v>
      </c>
    </row>
    <row r="1520" spans="13:14" x14ac:dyDescent="0.35">
      <c r="M1520" s="64" t="s">
        <v>1752</v>
      </c>
      <c r="N1520" s="61">
        <f>INDEX(Data!$9:$9,1,MATCH(M1520,detail_table[#Headers],0))</f>
        <v>0</v>
      </c>
    </row>
    <row r="1521" spans="13:14" x14ac:dyDescent="0.35">
      <c r="M1521" s="64" t="s">
        <v>1753</v>
      </c>
      <c r="N1521" s="61">
        <f>INDEX(Data!$9:$9,1,MATCH(M1521,detail_table[#Headers],0))</f>
        <v>0</v>
      </c>
    </row>
    <row r="1522" spans="13:14" x14ac:dyDescent="0.35">
      <c r="M1522" s="64" t="s">
        <v>1754</v>
      </c>
      <c r="N1522" s="61">
        <f>INDEX(Data!$9:$9,1,MATCH(M1522,detail_table[#Headers],0))</f>
        <v>0</v>
      </c>
    </row>
    <row r="1523" spans="13:14" x14ac:dyDescent="0.35">
      <c r="M1523" s="64" t="s">
        <v>1755</v>
      </c>
      <c r="N1523" s="61">
        <f>INDEX(Data!$9:$9,1,MATCH(M1523,detail_table[#Headers],0))</f>
        <v>0</v>
      </c>
    </row>
    <row r="1524" spans="13:14" x14ac:dyDescent="0.35">
      <c r="M1524" s="64" t="s">
        <v>1756</v>
      </c>
      <c r="N1524" s="61">
        <f>INDEX(Data!$9:$9,1,MATCH(M1524,detail_table[#Headers],0))</f>
        <v>0</v>
      </c>
    </row>
    <row r="1525" spans="13:14" x14ac:dyDescent="0.35">
      <c r="M1525" s="64" t="s">
        <v>1757</v>
      </c>
      <c r="N1525" s="61">
        <f>INDEX(Data!$9:$9,1,MATCH(M1525,detail_table[#Headers],0))</f>
        <v>0</v>
      </c>
    </row>
    <row r="1526" spans="13:14" x14ac:dyDescent="0.35">
      <c r="M1526" s="64" t="s">
        <v>1758</v>
      </c>
      <c r="N1526" s="61">
        <f>INDEX(Data!$9:$9,1,MATCH(M1526,detail_table[#Headers],0))</f>
        <v>0</v>
      </c>
    </row>
    <row r="1527" spans="13:14" x14ac:dyDescent="0.35">
      <c r="M1527" s="64" t="s">
        <v>1759</v>
      </c>
      <c r="N1527" s="61">
        <f>INDEX(Data!$9:$9,1,MATCH(M1527,detail_table[#Headers],0))</f>
        <v>0</v>
      </c>
    </row>
    <row r="1528" spans="13:14" x14ac:dyDescent="0.35">
      <c r="M1528" s="64" t="s">
        <v>1760</v>
      </c>
      <c r="N1528" s="61">
        <f>INDEX(Data!$9:$9,1,MATCH(M1528,detail_table[#Headers],0))</f>
        <v>0</v>
      </c>
    </row>
    <row r="1529" spans="13:14" x14ac:dyDescent="0.35">
      <c r="M1529" s="64" t="s">
        <v>1956</v>
      </c>
      <c r="N1529" s="61">
        <f>INDEX(Data!$9:$9,1,MATCH(M1529,detail_table[#Headers],0))</f>
        <v>0</v>
      </c>
    </row>
    <row r="1530" spans="13:14" x14ac:dyDescent="0.35">
      <c r="M1530" s="64" t="s">
        <v>1957</v>
      </c>
      <c r="N1530" s="61">
        <f>INDEX(Data!$9:$9,1,MATCH(M1530,detail_table[#Headers],0))</f>
        <v>0</v>
      </c>
    </row>
    <row r="1531" spans="13:14" x14ac:dyDescent="0.35">
      <c r="M1531" s="64" t="s">
        <v>1958</v>
      </c>
      <c r="N1531" s="61">
        <f>INDEX(Data!$9:$9,1,MATCH(M1531,detail_table[#Headers],0))</f>
        <v>0</v>
      </c>
    </row>
    <row r="1532" spans="13:14" x14ac:dyDescent="0.35">
      <c r="M1532" s="64" t="s">
        <v>1959</v>
      </c>
      <c r="N1532" s="61">
        <f>INDEX(Data!$9:$9,1,MATCH(M1532,detail_table[#Headers],0))</f>
        <v>0</v>
      </c>
    </row>
    <row r="1533" spans="13:14" x14ac:dyDescent="0.35">
      <c r="M1533" s="64" t="s">
        <v>1960</v>
      </c>
      <c r="N1533" s="61">
        <f>INDEX(Data!$9:$9,1,MATCH(M1533,detail_table[#Headers],0))</f>
        <v>0</v>
      </c>
    </row>
    <row r="1534" spans="13:14" x14ac:dyDescent="0.35">
      <c r="M1534" s="64" t="s">
        <v>1761</v>
      </c>
      <c r="N1534" s="61">
        <f>INDEX(Data!$9:$9,1,MATCH(M1534,detail_table[#Headers],0))</f>
        <v>0</v>
      </c>
    </row>
    <row r="1535" spans="13:14" x14ac:dyDescent="0.35">
      <c r="M1535" s="64" t="s">
        <v>1762</v>
      </c>
      <c r="N1535" s="61">
        <f>INDEX(Data!$9:$9,1,MATCH(M1535,detail_table[#Headers],0))</f>
        <v>0</v>
      </c>
    </row>
    <row r="1536" spans="13:14" x14ac:dyDescent="0.35">
      <c r="M1536" s="64" t="s">
        <v>1763</v>
      </c>
      <c r="N1536" s="61">
        <f>INDEX(Data!$9:$9,1,MATCH(M1536,detail_table[#Headers],0))</f>
        <v>0</v>
      </c>
    </row>
    <row r="1537" spans="13:14" x14ac:dyDescent="0.35">
      <c r="M1537" s="64" t="s">
        <v>1764</v>
      </c>
      <c r="N1537" s="61">
        <f>INDEX(Data!$9:$9,1,MATCH(M1537,detail_table[#Headers],0))</f>
        <v>0</v>
      </c>
    </row>
    <row r="1538" spans="13:14" x14ac:dyDescent="0.35">
      <c r="M1538" s="64" t="s">
        <v>1765</v>
      </c>
      <c r="N1538" s="61">
        <f>INDEX(Data!$9:$9,1,MATCH(M1538,detail_table[#Headers],0))</f>
        <v>0</v>
      </c>
    </row>
    <row r="1539" spans="13:14" x14ac:dyDescent="0.35">
      <c r="M1539" s="64" t="s">
        <v>1766</v>
      </c>
      <c r="N1539" s="61">
        <f>INDEX(Data!$9:$9,1,MATCH(M1539,detail_table[#Headers],0))</f>
        <v>0</v>
      </c>
    </row>
    <row r="1540" spans="13:14" x14ac:dyDescent="0.35">
      <c r="M1540" s="64" t="s">
        <v>1767</v>
      </c>
      <c r="N1540" s="61">
        <f>INDEX(Data!$9:$9,1,MATCH(M1540,detail_table[#Headers],0))</f>
        <v>0</v>
      </c>
    </row>
    <row r="1541" spans="13:14" x14ac:dyDescent="0.35">
      <c r="M1541" s="64" t="s">
        <v>1768</v>
      </c>
      <c r="N1541" s="61">
        <f>INDEX(Data!$9:$9,1,MATCH(M1541,detail_table[#Headers],0))</f>
        <v>0</v>
      </c>
    </row>
    <row r="1542" spans="13:14" x14ac:dyDescent="0.35">
      <c r="M1542" s="64" t="s">
        <v>1769</v>
      </c>
      <c r="N1542" s="61">
        <f>INDEX(Data!$9:$9,1,MATCH(M1542,detail_table[#Headers],0))</f>
        <v>0</v>
      </c>
    </row>
    <row r="1543" spans="13:14" x14ac:dyDescent="0.35">
      <c r="M1543" s="64" t="s">
        <v>1770</v>
      </c>
      <c r="N1543" s="61">
        <f>INDEX(Data!$9:$9,1,MATCH(M1543,detail_table[#Headers],0))</f>
        <v>0</v>
      </c>
    </row>
    <row r="1544" spans="13:14" x14ac:dyDescent="0.35">
      <c r="M1544" s="64" t="s">
        <v>1771</v>
      </c>
      <c r="N1544" s="61">
        <f>INDEX(Data!$9:$9,1,MATCH(M1544,detail_table[#Headers],0))</f>
        <v>0</v>
      </c>
    </row>
    <row r="1545" spans="13:14" x14ac:dyDescent="0.35">
      <c r="M1545" s="64" t="s">
        <v>1772</v>
      </c>
      <c r="N1545" s="61">
        <f>INDEX(Data!$9:$9,1,MATCH(M1545,detail_table[#Headers],0))</f>
        <v>0</v>
      </c>
    </row>
    <row r="1546" spans="13:14" x14ac:dyDescent="0.35">
      <c r="M1546" s="64" t="s">
        <v>1773</v>
      </c>
      <c r="N1546" s="61">
        <f>INDEX(Data!$9:$9,1,MATCH(M1546,detail_table[#Headers],0))</f>
        <v>0</v>
      </c>
    </row>
    <row r="1547" spans="13:14" x14ac:dyDescent="0.35">
      <c r="M1547" s="64" t="s">
        <v>1774</v>
      </c>
      <c r="N1547" s="61">
        <f>INDEX(Data!$9:$9,1,MATCH(M1547,detail_table[#Headers],0))</f>
        <v>0</v>
      </c>
    </row>
    <row r="1548" spans="13:14" x14ac:dyDescent="0.35">
      <c r="M1548" s="64" t="s">
        <v>1775</v>
      </c>
      <c r="N1548" s="61">
        <f>INDEX(Data!$9:$9,1,MATCH(M1548,detail_table[#Headers],0))</f>
        <v>0</v>
      </c>
    </row>
    <row r="1549" spans="13:14" x14ac:dyDescent="0.35">
      <c r="M1549" s="64" t="s">
        <v>1776</v>
      </c>
      <c r="N1549" s="61">
        <f>INDEX(Data!$9:$9,1,MATCH(M1549,detail_table[#Headers],0))</f>
        <v>0</v>
      </c>
    </row>
    <row r="1550" spans="13:14" x14ac:dyDescent="0.35">
      <c r="M1550" s="64" t="s">
        <v>1777</v>
      </c>
      <c r="N1550" s="61">
        <f>INDEX(Data!$9:$9,1,MATCH(M1550,detail_table[#Headers],0))</f>
        <v>0</v>
      </c>
    </row>
    <row r="1551" spans="13:14" x14ac:dyDescent="0.35">
      <c r="M1551" s="64" t="s">
        <v>1778</v>
      </c>
      <c r="N1551" s="61">
        <f>INDEX(Data!$9:$9,1,MATCH(M1551,detail_table[#Headers],0))</f>
        <v>0</v>
      </c>
    </row>
    <row r="1552" spans="13:14" x14ac:dyDescent="0.35">
      <c r="M1552" s="64" t="s">
        <v>1779</v>
      </c>
      <c r="N1552" s="61">
        <f>INDEX(Data!$9:$9,1,MATCH(M1552,detail_table[#Headers],0))</f>
        <v>0</v>
      </c>
    </row>
    <row r="1553" spans="13:14" x14ac:dyDescent="0.35">
      <c r="M1553" s="64" t="s">
        <v>1780</v>
      </c>
      <c r="N1553" s="61">
        <f>INDEX(Data!$9:$9,1,MATCH(M1553,detail_table[#Headers],0))</f>
        <v>0</v>
      </c>
    </row>
    <row r="1554" spans="13:14" x14ac:dyDescent="0.35">
      <c r="M1554" s="64" t="s">
        <v>1781</v>
      </c>
      <c r="N1554" s="61">
        <f>INDEX(Data!$9:$9,1,MATCH(M1554,detail_table[#Headers],0))</f>
        <v>0</v>
      </c>
    </row>
    <row r="1555" spans="13:14" x14ac:dyDescent="0.35">
      <c r="M1555" s="64" t="s">
        <v>1782</v>
      </c>
      <c r="N1555" s="61">
        <f>INDEX(Data!$9:$9,1,MATCH(M1555,detail_table[#Headers],0))</f>
        <v>0</v>
      </c>
    </row>
    <row r="1556" spans="13:14" x14ac:dyDescent="0.35">
      <c r="M1556" s="64" t="s">
        <v>1783</v>
      </c>
      <c r="N1556" s="61">
        <f>INDEX(Data!$9:$9,1,MATCH(M1556,detail_table[#Headers],0))</f>
        <v>0</v>
      </c>
    </row>
    <row r="1557" spans="13:14" x14ac:dyDescent="0.35">
      <c r="M1557" s="64" t="s">
        <v>1784</v>
      </c>
      <c r="N1557" s="61">
        <f>INDEX(Data!$9:$9,1,MATCH(M1557,detail_table[#Headers],0))</f>
        <v>0</v>
      </c>
    </row>
    <row r="1558" spans="13:14" x14ac:dyDescent="0.35">
      <c r="M1558" s="64" t="s">
        <v>1785</v>
      </c>
      <c r="N1558" s="61">
        <f>INDEX(Data!$9:$9,1,MATCH(M1558,detail_table[#Headers],0))</f>
        <v>0</v>
      </c>
    </row>
    <row r="1559" spans="13:14" x14ac:dyDescent="0.35">
      <c r="M1559" s="64" t="s">
        <v>1786</v>
      </c>
      <c r="N1559" s="61">
        <f>INDEX(Data!$9:$9,1,MATCH(M1559,detail_table[#Headers],0))</f>
        <v>0</v>
      </c>
    </row>
    <row r="1560" spans="13:14" x14ac:dyDescent="0.35">
      <c r="M1560" s="64" t="s">
        <v>1787</v>
      </c>
      <c r="N1560" s="61">
        <f>INDEX(Data!$9:$9,1,MATCH(M1560,detail_table[#Headers],0))</f>
        <v>0</v>
      </c>
    </row>
    <row r="1561" spans="13:14" x14ac:dyDescent="0.35">
      <c r="M1561" s="64" t="s">
        <v>1788</v>
      </c>
      <c r="N1561" s="61">
        <f>INDEX(Data!$9:$9,1,MATCH(M1561,detail_table[#Headers],0))</f>
        <v>0</v>
      </c>
    </row>
    <row r="1562" spans="13:14" x14ac:dyDescent="0.35">
      <c r="M1562" s="64" t="s">
        <v>1789</v>
      </c>
      <c r="N1562" s="61">
        <f>INDEX(Data!$9:$9,1,MATCH(M1562,detail_table[#Headers],0))</f>
        <v>0</v>
      </c>
    </row>
    <row r="1563" spans="13:14" x14ac:dyDescent="0.35">
      <c r="M1563" s="64" t="s">
        <v>1790</v>
      </c>
      <c r="N1563" s="61">
        <f>INDEX(Data!$9:$9,1,MATCH(M1563,detail_table[#Headers],0))</f>
        <v>0</v>
      </c>
    </row>
    <row r="1564" spans="13:14" x14ac:dyDescent="0.35">
      <c r="M1564" s="64" t="s">
        <v>1791</v>
      </c>
      <c r="N1564" s="61">
        <f>INDEX(Data!$9:$9,1,MATCH(M1564,detail_table[#Headers],0))</f>
        <v>0</v>
      </c>
    </row>
    <row r="1565" spans="13:14" x14ac:dyDescent="0.35">
      <c r="M1565" s="64" t="s">
        <v>1792</v>
      </c>
      <c r="N1565" s="61">
        <f>INDEX(Data!$9:$9,1,MATCH(M1565,detail_table[#Headers],0))</f>
        <v>0</v>
      </c>
    </row>
    <row r="1566" spans="13:14" x14ac:dyDescent="0.35">
      <c r="M1566" s="64" t="s">
        <v>1793</v>
      </c>
      <c r="N1566" s="61">
        <f>INDEX(Data!$9:$9,1,MATCH(M1566,detail_table[#Headers],0))</f>
        <v>0</v>
      </c>
    </row>
    <row r="1567" spans="13:14" x14ac:dyDescent="0.35">
      <c r="M1567" s="64" t="s">
        <v>1794</v>
      </c>
      <c r="N1567" s="61">
        <f>INDEX(Data!$9:$9,1,MATCH(M1567,detail_table[#Headers],0))</f>
        <v>0</v>
      </c>
    </row>
    <row r="1568" spans="13:14" x14ac:dyDescent="0.35">
      <c r="M1568" s="64" t="s">
        <v>1795</v>
      </c>
      <c r="N1568" s="61">
        <f>INDEX(Data!$9:$9,1,MATCH(M1568,detail_table[#Headers],0))</f>
        <v>0</v>
      </c>
    </row>
    <row r="1569" spans="13:14" x14ac:dyDescent="0.35">
      <c r="M1569" s="64" t="s">
        <v>1796</v>
      </c>
      <c r="N1569" s="61">
        <f>INDEX(Data!$9:$9,1,MATCH(M1569,detail_table[#Headers],0))</f>
        <v>0</v>
      </c>
    </row>
    <row r="1570" spans="13:14" x14ac:dyDescent="0.35">
      <c r="M1570" s="64" t="s">
        <v>1797</v>
      </c>
      <c r="N1570" s="61">
        <f>INDEX(Data!$9:$9,1,MATCH(M1570,detail_table[#Headers],0))</f>
        <v>0</v>
      </c>
    </row>
    <row r="1571" spans="13:14" x14ac:dyDescent="0.35">
      <c r="M1571" s="64" t="s">
        <v>1798</v>
      </c>
      <c r="N1571" s="61">
        <f>INDEX(Data!$9:$9,1,MATCH(M1571,detail_table[#Headers],0))</f>
        <v>0</v>
      </c>
    </row>
    <row r="1572" spans="13:14" x14ac:dyDescent="0.35">
      <c r="M1572" s="64" t="s">
        <v>1799</v>
      </c>
      <c r="N1572" s="61">
        <f>INDEX(Data!$9:$9,1,MATCH(M1572,detail_table[#Headers],0))</f>
        <v>0</v>
      </c>
    </row>
    <row r="1573" spans="13:14" x14ac:dyDescent="0.35">
      <c r="M1573" s="64" t="s">
        <v>1800</v>
      </c>
      <c r="N1573" s="61">
        <f>INDEX(Data!$9:$9,1,MATCH(M1573,detail_table[#Headers],0))</f>
        <v>0</v>
      </c>
    </row>
    <row r="1574" spans="13:14" x14ac:dyDescent="0.35">
      <c r="M1574" s="64" t="s">
        <v>1801</v>
      </c>
      <c r="N1574" s="61">
        <f>INDEX(Data!$9:$9,1,MATCH(M1574,detail_table[#Headers],0))</f>
        <v>0</v>
      </c>
    </row>
    <row r="1575" spans="13:14" x14ac:dyDescent="0.35">
      <c r="M1575" s="64" t="s">
        <v>1802</v>
      </c>
      <c r="N1575" s="61">
        <f>INDEX(Data!$9:$9,1,MATCH(M1575,detail_table[#Headers],0))</f>
        <v>0</v>
      </c>
    </row>
    <row r="1576" spans="13:14" x14ac:dyDescent="0.35">
      <c r="M1576" s="64" t="s">
        <v>1803</v>
      </c>
      <c r="N1576" s="61">
        <f>INDEX(Data!$9:$9,1,MATCH(M1576,detail_table[#Headers],0))</f>
        <v>0</v>
      </c>
    </row>
    <row r="1577" spans="13:14" x14ac:dyDescent="0.35">
      <c r="M1577" s="64" t="s">
        <v>1804</v>
      </c>
      <c r="N1577" s="61">
        <f>INDEX(Data!$9:$9,1,MATCH(M1577,detail_table[#Headers],0))</f>
        <v>0</v>
      </c>
    </row>
    <row r="1578" spans="13:14" x14ac:dyDescent="0.35">
      <c r="M1578" s="64" t="s">
        <v>1805</v>
      </c>
      <c r="N1578" s="61">
        <f>INDEX(Data!$9:$9,1,MATCH(M1578,detail_table[#Headers],0))</f>
        <v>0</v>
      </c>
    </row>
    <row r="1579" spans="13:14" x14ac:dyDescent="0.35">
      <c r="M1579" s="64" t="s">
        <v>1806</v>
      </c>
      <c r="N1579" s="61">
        <f>INDEX(Data!$9:$9,1,MATCH(M1579,detail_table[#Headers],0))</f>
        <v>0</v>
      </c>
    </row>
    <row r="1580" spans="13:14" x14ac:dyDescent="0.35">
      <c r="M1580" s="64" t="s">
        <v>1807</v>
      </c>
      <c r="N1580" s="61">
        <f>INDEX(Data!$9:$9,1,MATCH(M1580,detail_table[#Headers],0))</f>
        <v>0</v>
      </c>
    </row>
    <row r="1581" spans="13:14" x14ac:dyDescent="0.35">
      <c r="M1581" s="64" t="s">
        <v>1808</v>
      </c>
      <c r="N1581" s="61">
        <f>INDEX(Data!$9:$9,1,MATCH(M1581,detail_table[#Headers],0))</f>
        <v>0</v>
      </c>
    </row>
    <row r="1582" spans="13:14" x14ac:dyDescent="0.35">
      <c r="M1582" s="64" t="s">
        <v>1809</v>
      </c>
      <c r="N1582" s="61">
        <f>INDEX(Data!$9:$9,1,MATCH(M1582,detail_table[#Headers],0))</f>
        <v>0</v>
      </c>
    </row>
    <row r="1583" spans="13:14" x14ac:dyDescent="0.35">
      <c r="M1583" s="64" t="s">
        <v>1810</v>
      </c>
      <c r="N1583" s="61">
        <f>INDEX(Data!$9:$9,1,MATCH(M1583,detail_table[#Headers],0))</f>
        <v>0</v>
      </c>
    </row>
    <row r="1584" spans="13:14" x14ac:dyDescent="0.35">
      <c r="M1584" s="64" t="s">
        <v>1811</v>
      </c>
      <c r="N1584" s="61">
        <f>INDEX(Data!$9:$9,1,MATCH(M1584,detail_table[#Headers],0))</f>
        <v>0</v>
      </c>
    </row>
    <row r="1585" spans="13:14" x14ac:dyDescent="0.35">
      <c r="M1585" s="64" t="s">
        <v>1812</v>
      </c>
      <c r="N1585" s="61">
        <f>INDEX(Data!$9:$9,1,MATCH(M1585,detail_table[#Headers],0))</f>
        <v>0</v>
      </c>
    </row>
    <row r="1586" spans="13:14" x14ac:dyDescent="0.35">
      <c r="M1586" s="64" t="s">
        <v>1813</v>
      </c>
      <c r="N1586" s="61">
        <f>INDEX(Data!$9:$9,1,MATCH(M1586,detail_table[#Headers],0))</f>
        <v>0</v>
      </c>
    </row>
    <row r="1587" spans="13:14" x14ac:dyDescent="0.35">
      <c r="M1587" s="64" t="s">
        <v>1814</v>
      </c>
      <c r="N1587" s="61">
        <f>INDEX(Data!$9:$9,1,MATCH(M1587,detail_table[#Headers],0))</f>
        <v>0</v>
      </c>
    </row>
    <row r="1588" spans="13:14" x14ac:dyDescent="0.35">
      <c r="M1588" s="64" t="s">
        <v>1815</v>
      </c>
      <c r="N1588" s="61">
        <f>INDEX(Data!$9:$9,1,MATCH(M1588,detail_table[#Headers],0))</f>
        <v>0</v>
      </c>
    </row>
    <row r="1589" spans="13:14" x14ac:dyDescent="0.35">
      <c r="M1589" s="64" t="s">
        <v>1816</v>
      </c>
      <c r="N1589" s="61">
        <f>INDEX(Data!$9:$9,1,MATCH(M1589,detail_table[#Headers],0))</f>
        <v>0</v>
      </c>
    </row>
    <row r="1590" spans="13:14" x14ac:dyDescent="0.35">
      <c r="M1590" s="64" t="s">
        <v>1817</v>
      </c>
      <c r="N1590" s="61">
        <f>INDEX(Data!$9:$9,1,MATCH(M1590,detail_table[#Headers],0))</f>
        <v>0</v>
      </c>
    </row>
    <row r="1591" spans="13:14" x14ac:dyDescent="0.35">
      <c r="M1591" s="64" t="s">
        <v>1818</v>
      </c>
      <c r="N1591" s="61">
        <f>INDEX(Data!$9:$9,1,MATCH(M1591,detail_table[#Headers],0))</f>
        <v>0</v>
      </c>
    </row>
    <row r="1592" spans="13:14" x14ac:dyDescent="0.35">
      <c r="M1592" s="64" t="s">
        <v>1819</v>
      </c>
      <c r="N1592" s="61">
        <f>INDEX(Data!$9:$9,1,MATCH(M1592,detail_table[#Headers],0))</f>
        <v>0</v>
      </c>
    </row>
    <row r="1593" spans="13:14" x14ac:dyDescent="0.35">
      <c r="M1593" s="64" t="s">
        <v>1820</v>
      </c>
      <c r="N1593" s="61">
        <f>INDEX(Data!$9:$9,1,MATCH(M1593,detail_table[#Headers],0))</f>
        <v>0</v>
      </c>
    </row>
    <row r="1594" spans="13:14" x14ac:dyDescent="0.35">
      <c r="M1594" s="64" t="s">
        <v>1821</v>
      </c>
      <c r="N1594" s="61">
        <f>INDEX(Data!$9:$9,1,MATCH(M1594,detail_table[#Headers],0))</f>
        <v>0</v>
      </c>
    </row>
    <row r="1595" spans="13:14" x14ac:dyDescent="0.35">
      <c r="M1595" s="64" t="s">
        <v>1822</v>
      </c>
      <c r="N1595" s="61">
        <f>INDEX(Data!$9:$9,1,MATCH(M1595,detail_table[#Headers],0))</f>
        <v>0</v>
      </c>
    </row>
    <row r="1596" spans="13:14" x14ac:dyDescent="0.35">
      <c r="M1596" s="64" t="s">
        <v>1823</v>
      </c>
      <c r="N1596" s="61">
        <f>INDEX(Data!$9:$9,1,MATCH(M1596,detail_table[#Headers],0))</f>
        <v>0</v>
      </c>
    </row>
    <row r="1597" spans="13:14" x14ac:dyDescent="0.35">
      <c r="M1597" s="64" t="s">
        <v>1824</v>
      </c>
      <c r="N1597" s="61">
        <f>INDEX(Data!$9:$9,1,MATCH(M1597,detail_table[#Headers],0))</f>
        <v>0</v>
      </c>
    </row>
    <row r="1598" spans="13:14" x14ac:dyDescent="0.35">
      <c r="M1598" s="64" t="s">
        <v>1825</v>
      </c>
      <c r="N1598" s="61">
        <f>INDEX(Data!$9:$9,1,MATCH(M1598,detail_table[#Headers],0))</f>
        <v>0</v>
      </c>
    </row>
    <row r="1599" spans="13:14" x14ac:dyDescent="0.35">
      <c r="M1599" s="64" t="s">
        <v>1826</v>
      </c>
      <c r="N1599" s="61">
        <f>INDEX(Data!$9:$9,1,MATCH(M1599,detail_table[#Headers],0))</f>
        <v>0</v>
      </c>
    </row>
    <row r="1600" spans="13:14" x14ac:dyDescent="0.35">
      <c r="M1600" s="64" t="s">
        <v>1827</v>
      </c>
      <c r="N1600" s="61">
        <f>INDEX(Data!$9:$9,1,MATCH(M1600,detail_table[#Headers],0))</f>
        <v>0</v>
      </c>
    </row>
    <row r="1601" spans="13:14" x14ac:dyDescent="0.35">
      <c r="M1601" s="64" t="s">
        <v>1828</v>
      </c>
      <c r="N1601" s="61">
        <f>INDEX(Data!$9:$9,1,MATCH(M1601,detail_table[#Headers],0))</f>
        <v>0</v>
      </c>
    </row>
    <row r="1602" spans="13:14" x14ac:dyDescent="0.35">
      <c r="M1602" s="64" t="s">
        <v>1829</v>
      </c>
      <c r="N1602" s="61">
        <f>INDEX(Data!$9:$9,1,MATCH(M1602,detail_table[#Headers],0))</f>
        <v>0</v>
      </c>
    </row>
    <row r="1603" spans="13:14" x14ac:dyDescent="0.35">
      <c r="M1603" s="64" t="s">
        <v>1830</v>
      </c>
      <c r="N1603" s="61">
        <f>INDEX(Data!$9:$9,1,MATCH(M1603,detail_table[#Headers],0))</f>
        <v>0</v>
      </c>
    </row>
    <row r="1604" spans="13:14" x14ac:dyDescent="0.35">
      <c r="M1604" s="64" t="s">
        <v>1831</v>
      </c>
      <c r="N1604" s="61">
        <f>INDEX(Data!$9:$9,1,MATCH(M1604,detail_table[#Headers],0))</f>
        <v>0</v>
      </c>
    </row>
    <row r="1605" spans="13:14" x14ac:dyDescent="0.35">
      <c r="M1605" s="64" t="s">
        <v>1832</v>
      </c>
      <c r="N1605" s="61">
        <f>INDEX(Data!$9:$9,1,MATCH(M1605,detail_table[#Headers],0))</f>
        <v>0</v>
      </c>
    </row>
    <row r="1606" spans="13:14" x14ac:dyDescent="0.35">
      <c r="M1606" s="64" t="s">
        <v>1833</v>
      </c>
      <c r="N1606" s="61">
        <f>INDEX(Data!$9:$9,1,MATCH(M1606,detail_table[#Headers],0))</f>
        <v>0</v>
      </c>
    </row>
    <row r="1607" spans="13:14" x14ac:dyDescent="0.35">
      <c r="M1607" s="64" t="s">
        <v>1834</v>
      </c>
      <c r="N1607" s="61">
        <f>INDEX(Data!$9:$9,1,MATCH(M1607,detail_table[#Headers],0))</f>
        <v>0</v>
      </c>
    </row>
    <row r="1608" spans="13:14" x14ac:dyDescent="0.35">
      <c r="M1608" s="64" t="s">
        <v>1835</v>
      </c>
      <c r="N1608" s="61">
        <f>INDEX(Data!$9:$9,1,MATCH(M1608,detail_table[#Headers],0))</f>
        <v>0</v>
      </c>
    </row>
    <row r="1609" spans="13:14" x14ac:dyDescent="0.35">
      <c r="M1609" s="64" t="s">
        <v>1836</v>
      </c>
      <c r="N1609" s="61">
        <f>INDEX(Data!$9:$9,1,MATCH(M1609,detail_table[#Headers],0))</f>
        <v>0</v>
      </c>
    </row>
    <row r="1610" spans="13:14" x14ac:dyDescent="0.35">
      <c r="M1610" s="64" t="s">
        <v>1837</v>
      </c>
      <c r="N1610" s="61">
        <f>INDEX(Data!$9:$9,1,MATCH(M1610,detail_table[#Headers],0))</f>
        <v>0</v>
      </c>
    </row>
    <row r="1611" spans="13:14" x14ac:dyDescent="0.35">
      <c r="M1611" s="64" t="s">
        <v>1838</v>
      </c>
      <c r="N1611" s="61">
        <f>INDEX(Data!$9:$9,1,MATCH(M1611,detail_table[#Headers],0))</f>
        <v>0</v>
      </c>
    </row>
    <row r="1612" spans="13:14" x14ac:dyDescent="0.35">
      <c r="M1612" s="64" t="s">
        <v>1839</v>
      </c>
      <c r="N1612" s="61">
        <f>INDEX(Data!$9:$9,1,MATCH(M1612,detail_table[#Headers],0))</f>
        <v>0</v>
      </c>
    </row>
    <row r="1613" spans="13:14" x14ac:dyDescent="0.35">
      <c r="M1613" s="64" t="s">
        <v>1840</v>
      </c>
      <c r="N1613" s="61">
        <f>INDEX(Data!$9:$9,1,MATCH(M1613,detail_table[#Headers],0))</f>
        <v>0</v>
      </c>
    </row>
    <row r="1614" spans="13:14" x14ac:dyDescent="0.35">
      <c r="M1614" s="64" t="s">
        <v>1841</v>
      </c>
      <c r="N1614" s="61">
        <f>INDEX(Data!$9:$9,1,MATCH(M1614,detail_table[#Headers],0))</f>
        <v>0</v>
      </c>
    </row>
    <row r="1615" spans="13:14" x14ac:dyDescent="0.35">
      <c r="M1615" s="64" t="s">
        <v>1842</v>
      </c>
      <c r="N1615" s="61">
        <f>INDEX(Data!$9:$9,1,MATCH(M1615,detail_table[#Headers],0))</f>
        <v>0</v>
      </c>
    </row>
    <row r="1616" spans="13:14" x14ac:dyDescent="0.35">
      <c r="M1616" s="64" t="s">
        <v>1843</v>
      </c>
      <c r="N1616" s="61">
        <f>INDEX(Data!$9:$9,1,MATCH(M1616,detail_table[#Headers],0))</f>
        <v>0</v>
      </c>
    </row>
    <row r="1617" spans="13:14" x14ac:dyDescent="0.35">
      <c r="M1617" s="64" t="s">
        <v>1844</v>
      </c>
      <c r="N1617" s="61">
        <f>INDEX(Data!$9:$9,1,MATCH(M1617,detail_table[#Headers],0))</f>
        <v>0</v>
      </c>
    </row>
    <row r="1618" spans="13:14" x14ac:dyDescent="0.35">
      <c r="M1618" s="64" t="s">
        <v>1845</v>
      </c>
      <c r="N1618" s="61">
        <f>INDEX(Data!$9:$9,1,MATCH(M1618,detail_table[#Headers],0))</f>
        <v>0</v>
      </c>
    </row>
    <row r="1619" spans="13:14" x14ac:dyDescent="0.35">
      <c r="M1619" s="64" t="s">
        <v>1846</v>
      </c>
      <c r="N1619" s="61">
        <f>INDEX(Data!$9:$9,1,MATCH(M1619,detail_table[#Headers],0))</f>
        <v>0</v>
      </c>
    </row>
    <row r="1620" spans="13:14" x14ac:dyDescent="0.35">
      <c r="M1620" s="64" t="s">
        <v>1847</v>
      </c>
      <c r="N1620" s="61">
        <f>INDEX(Data!$9:$9,1,MATCH(M1620,detail_table[#Headers],0))</f>
        <v>0</v>
      </c>
    </row>
    <row r="1621" spans="13:14" x14ac:dyDescent="0.35">
      <c r="M1621" s="64" t="s">
        <v>1848</v>
      </c>
      <c r="N1621" s="61">
        <f>INDEX(Data!$9:$9,1,MATCH(M1621,detail_table[#Headers],0))</f>
        <v>0</v>
      </c>
    </row>
    <row r="1622" spans="13:14" x14ac:dyDescent="0.35">
      <c r="M1622" s="64" t="s">
        <v>1849</v>
      </c>
      <c r="N1622" s="61">
        <f>INDEX(Data!$9:$9,1,MATCH(M1622,detail_table[#Headers],0))</f>
        <v>0</v>
      </c>
    </row>
    <row r="1623" spans="13:14" x14ac:dyDescent="0.35">
      <c r="M1623" s="64" t="s">
        <v>1850</v>
      </c>
      <c r="N1623" s="61">
        <f>INDEX(Data!$9:$9,1,MATCH(M1623,detail_table[#Headers],0))</f>
        <v>0</v>
      </c>
    </row>
    <row r="1624" spans="13:14" x14ac:dyDescent="0.35">
      <c r="M1624" s="64" t="s">
        <v>1851</v>
      </c>
      <c r="N1624" s="61">
        <f>INDEX(Data!$9:$9,1,MATCH(M1624,detail_table[#Headers],0))</f>
        <v>0</v>
      </c>
    </row>
    <row r="1625" spans="13:14" x14ac:dyDescent="0.35">
      <c r="M1625" s="64" t="s">
        <v>1852</v>
      </c>
      <c r="N1625" s="61">
        <f>INDEX(Data!$9:$9,1,MATCH(M1625,detail_table[#Headers],0))</f>
        <v>0</v>
      </c>
    </row>
    <row r="1626" spans="13:14" x14ac:dyDescent="0.35">
      <c r="M1626" s="64" t="s">
        <v>1853</v>
      </c>
      <c r="N1626" s="61">
        <f>INDEX(Data!$9:$9,1,MATCH(M1626,detail_table[#Headers],0))</f>
        <v>0</v>
      </c>
    </row>
    <row r="1627" spans="13:14" x14ac:dyDescent="0.35">
      <c r="M1627" s="64" t="s">
        <v>1854</v>
      </c>
      <c r="N1627" s="61">
        <f>INDEX(Data!$9:$9,1,MATCH(M1627,detail_table[#Headers],0))</f>
        <v>0</v>
      </c>
    </row>
    <row r="1628" spans="13:14" x14ac:dyDescent="0.35">
      <c r="M1628" s="64" t="s">
        <v>1855</v>
      </c>
      <c r="N1628" s="61">
        <f>INDEX(Data!$9:$9,1,MATCH(M1628,detail_table[#Headers],0))</f>
        <v>0</v>
      </c>
    </row>
    <row r="1629" spans="13:14" x14ac:dyDescent="0.35">
      <c r="M1629" s="64" t="s">
        <v>1856</v>
      </c>
      <c r="N1629" s="61">
        <f>INDEX(Data!$9:$9,1,MATCH(M1629,detail_table[#Headers],0))</f>
        <v>0</v>
      </c>
    </row>
    <row r="1630" spans="13:14" x14ac:dyDescent="0.35">
      <c r="M1630" s="64" t="s">
        <v>1857</v>
      </c>
      <c r="N1630" s="61">
        <f>INDEX(Data!$9:$9,1,MATCH(M1630,detail_table[#Headers],0))</f>
        <v>0</v>
      </c>
    </row>
    <row r="1631" spans="13:14" x14ac:dyDescent="0.35">
      <c r="M1631" s="64" t="s">
        <v>1858</v>
      </c>
      <c r="N1631" s="61">
        <f>INDEX(Data!$9:$9,1,MATCH(M1631,detail_table[#Headers],0))</f>
        <v>0</v>
      </c>
    </row>
    <row r="1632" spans="13:14" x14ac:dyDescent="0.35">
      <c r="M1632" s="64" t="s">
        <v>1859</v>
      </c>
      <c r="N1632" s="61">
        <f>INDEX(Data!$9:$9,1,MATCH(M1632,detail_table[#Headers],0))</f>
        <v>0</v>
      </c>
    </row>
    <row r="1633" spans="13:14" x14ac:dyDescent="0.35">
      <c r="M1633" s="64" t="s">
        <v>1860</v>
      </c>
      <c r="N1633" s="61">
        <f>INDEX(Data!$9:$9,1,MATCH(M1633,detail_table[#Headers],0))</f>
        <v>0</v>
      </c>
    </row>
    <row r="1634" spans="13:14" x14ac:dyDescent="0.35">
      <c r="M1634" s="64" t="s">
        <v>1861</v>
      </c>
      <c r="N1634" s="61">
        <f>INDEX(Data!$9:$9,1,MATCH(M1634,detail_table[#Headers],0))</f>
        <v>0</v>
      </c>
    </row>
    <row r="1635" spans="13:14" x14ac:dyDescent="0.35">
      <c r="M1635" s="64" t="s">
        <v>1862</v>
      </c>
      <c r="N1635" s="61">
        <f>INDEX(Data!$9:$9,1,MATCH(M1635,detail_table[#Headers],0))</f>
        <v>0</v>
      </c>
    </row>
    <row r="1636" spans="13:14" x14ac:dyDescent="0.35">
      <c r="M1636" s="64" t="s">
        <v>1863</v>
      </c>
      <c r="N1636" s="61">
        <f>INDEX(Data!$9:$9,1,MATCH(M1636,detail_table[#Headers],0))</f>
        <v>0</v>
      </c>
    </row>
    <row r="1637" spans="13:14" x14ac:dyDescent="0.35">
      <c r="M1637" s="64" t="s">
        <v>1864</v>
      </c>
      <c r="N1637" s="61">
        <f>INDEX(Data!$9:$9,1,MATCH(M1637,detail_table[#Headers],0))</f>
        <v>0</v>
      </c>
    </row>
    <row r="1638" spans="13:14" x14ac:dyDescent="0.35">
      <c r="M1638" s="64" t="s">
        <v>1865</v>
      </c>
      <c r="N1638" s="61">
        <f>INDEX(Data!$9:$9,1,MATCH(M1638,detail_table[#Headers],0))</f>
        <v>0</v>
      </c>
    </row>
    <row r="1639" spans="13:14" x14ac:dyDescent="0.35">
      <c r="M1639" s="64" t="s">
        <v>1866</v>
      </c>
      <c r="N1639" s="61">
        <f>INDEX(Data!$9:$9,1,MATCH(M1639,detail_table[#Headers],0))</f>
        <v>0</v>
      </c>
    </row>
    <row r="1640" spans="13:14" x14ac:dyDescent="0.35">
      <c r="M1640" s="64" t="s">
        <v>1867</v>
      </c>
      <c r="N1640" s="61">
        <f>INDEX(Data!$9:$9,1,MATCH(M1640,detail_table[#Headers],0))</f>
        <v>0</v>
      </c>
    </row>
    <row r="1641" spans="13:14" x14ac:dyDescent="0.35">
      <c r="M1641" s="64" t="s">
        <v>1868</v>
      </c>
      <c r="N1641" s="61">
        <f>INDEX(Data!$9:$9,1,MATCH(M1641,detail_table[#Headers],0))</f>
        <v>0</v>
      </c>
    </row>
    <row r="1642" spans="13:14" x14ac:dyDescent="0.35">
      <c r="M1642" s="64" t="s">
        <v>1869</v>
      </c>
      <c r="N1642" s="61">
        <f>INDEX(Data!$9:$9,1,MATCH(M1642,detail_table[#Headers],0))</f>
        <v>0</v>
      </c>
    </row>
    <row r="1643" spans="13:14" x14ac:dyDescent="0.35">
      <c r="M1643" s="64" t="s">
        <v>1870</v>
      </c>
      <c r="N1643" s="61">
        <f>INDEX(Data!$9:$9,1,MATCH(M1643,detail_table[#Headers],0))</f>
        <v>0</v>
      </c>
    </row>
    <row r="1644" spans="13:14" x14ac:dyDescent="0.35">
      <c r="M1644" s="64" t="s">
        <v>1871</v>
      </c>
      <c r="N1644" s="61">
        <f>INDEX(Data!$9:$9,1,MATCH(M1644,detail_table[#Headers],0))</f>
        <v>0</v>
      </c>
    </row>
    <row r="1645" spans="13:14" x14ac:dyDescent="0.35">
      <c r="M1645" s="64" t="s">
        <v>1872</v>
      </c>
      <c r="N1645" s="61">
        <f>INDEX(Data!$9:$9,1,MATCH(M1645,detail_table[#Headers],0))</f>
        <v>0</v>
      </c>
    </row>
    <row r="1646" spans="13:14" x14ac:dyDescent="0.35">
      <c r="M1646" s="64" t="s">
        <v>1873</v>
      </c>
      <c r="N1646" s="61">
        <f>INDEX(Data!$9:$9,1,MATCH(M1646,detail_table[#Headers],0))</f>
        <v>0</v>
      </c>
    </row>
    <row r="1647" spans="13:14" x14ac:dyDescent="0.35">
      <c r="M1647" s="64" t="s">
        <v>1874</v>
      </c>
      <c r="N1647" s="61">
        <f>INDEX(Data!$9:$9,1,MATCH(M1647,detail_table[#Headers],0))</f>
        <v>0</v>
      </c>
    </row>
    <row r="1648" spans="13:14" x14ac:dyDescent="0.35">
      <c r="M1648" s="64" t="s">
        <v>1875</v>
      </c>
      <c r="N1648" s="61">
        <f>INDEX(Data!$9:$9,1,MATCH(M1648,detail_table[#Headers],0))</f>
        <v>0</v>
      </c>
    </row>
    <row r="1649" spans="13:14" x14ac:dyDescent="0.35">
      <c r="M1649" s="64" t="s">
        <v>1876</v>
      </c>
      <c r="N1649" s="61">
        <f>INDEX(Data!$9:$9,1,MATCH(M1649,detail_table[#Headers],0))</f>
        <v>0</v>
      </c>
    </row>
    <row r="1650" spans="13:14" x14ac:dyDescent="0.35">
      <c r="M1650" s="64" t="s">
        <v>1877</v>
      </c>
      <c r="N1650" s="61">
        <f>INDEX(Data!$9:$9,1,MATCH(M1650,detail_table[#Headers],0))</f>
        <v>0</v>
      </c>
    </row>
    <row r="1651" spans="13:14" x14ac:dyDescent="0.35">
      <c r="M1651" s="64" t="s">
        <v>1878</v>
      </c>
      <c r="N1651" s="61">
        <f>INDEX(Data!$9:$9,1,MATCH(M1651,detail_table[#Headers],0))</f>
        <v>0</v>
      </c>
    </row>
    <row r="1652" spans="13:14" x14ac:dyDescent="0.35">
      <c r="M1652" s="64" t="s">
        <v>1879</v>
      </c>
      <c r="N1652" s="61">
        <f>INDEX(Data!$9:$9,1,MATCH(M1652,detail_table[#Headers],0))</f>
        <v>0</v>
      </c>
    </row>
    <row r="1653" spans="13:14" x14ac:dyDescent="0.35">
      <c r="M1653" s="64" t="s">
        <v>1880</v>
      </c>
      <c r="N1653" s="61">
        <f>INDEX(Data!$9:$9,1,MATCH(M1653,detail_table[#Headers],0))</f>
        <v>0</v>
      </c>
    </row>
    <row r="1654" spans="13:14" x14ac:dyDescent="0.35">
      <c r="M1654" s="64" t="s">
        <v>1881</v>
      </c>
      <c r="N1654" s="61">
        <f>INDEX(Data!$9:$9,1,MATCH(M1654,detail_table[#Headers],0))</f>
        <v>0</v>
      </c>
    </row>
    <row r="1655" spans="13:14" x14ac:dyDescent="0.35">
      <c r="M1655" s="64" t="s">
        <v>1882</v>
      </c>
      <c r="N1655" s="61">
        <f>INDEX(Data!$9:$9,1,MATCH(M1655,detail_table[#Headers],0))</f>
        <v>0</v>
      </c>
    </row>
    <row r="1656" spans="13:14" x14ac:dyDescent="0.35">
      <c r="M1656" s="64" t="s">
        <v>1883</v>
      </c>
      <c r="N1656" s="61">
        <f>INDEX(Data!$9:$9,1,MATCH(M1656,detail_table[#Headers],0))</f>
        <v>0</v>
      </c>
    </row>
    <row r="1657" spans="13:14" x14ac:dyDescent="0.35">
      <c r="M1657" s="64" t="s">
        <v>1884</v>
      </c>
      <c r="N1657" s="61">
        <f>INDEX(Data!$9:$9,1,MATCH(M1657,detail_table[#Headers],0))</f>
        <v>0</v>
      </c>
    </row>
    <row r="1658" spans="13:14" x14ac:dyDescent="0.35">
      <c r="M1658" s="64" t="s">
        <v>1885</v>
      </c>
      <c r="N1658" s="61">
        <f>INDEX(Data!$9:$9,1,MATCH(M1658,detail_table[#Headers],0))</f>
        <v>0</v>
      </c>
    </row>
    <row r="1659" spans="13:14" x14ac:dyDescent="0.35">
      <c r="M1659" s="64" t="s">
        <v>1886</v>
      </c>
      <c r="N1659" s="61">
        <f>INDEX(Data!$9:$9,1,MATCH(M1659,detail_table[#Headers],0))</f>
        <v>0</v>
      </c>
    </row>
    <row r="1660" spans="13:14" x14ac:dyDescent="0.35">
      <c r="M1660" s="64" t="s">
        <v>1887</v>
      </c>
      <c r="N1660" s="61">
        <f>INDEX(Data!$9:$9,1,MATCH(M1660,detail_table[#Headers],0))</f>
        <v>0</v>
      </c>
    </row>
    <row r="1661" spans="13:14" x14ac:dyDescent="0.35">
      <c r="M1661" s="64" t="s">
        <v>1888</v>
      </c>
      <c r="N1661" s="61">
        <f>INDEX(Data!$9:$9,1,MATCH(M1661,detail_table[#Headers],0))</f>
        <v>0</v>
      </c>
    </row>
    <row r="1662" spans="13:14" x14ac:dyDescent="0.35">
      <c r="M1662" s="64" t="s">
        <v>1889</v>
      </c>
      <c r="N1662" s="61">
        <f>INDEX(Data!$9:$9,1,MATCH(M1662,detail_table[#Headers],0))</f>
        <v>0</v>
      </c>
    </row>
    <row r="1663" spans="13:14" x14ac:dyDescent="0.35">
      <c r="M1663" s="64" t="s">
        <v>1890</v>
      </c>
      <c r="N1663" s="61">
        <f>INDEX(Data!$9:$9,1,MATCH(M1663,detail_table[#Headers],0))</f>
        <v>0</v>
      </c>
    </row>
    <row r="1664" spans="13:14" x14ac:dyDescent="0.35">
      <c r="M1664" s="64" t="s">
        <v>1891</v>
      </c>
      <c r="N1664" s="61">
        <f>INDEX(Data!$9:$9,1,MATCH(M1664,detail_table[#Headers],0))</f>
        <v>0</v>
      </c>
    </row>
    <row r="1665" spans="13:14" x14ac:dyDescent="0.35">
      <c r="M1665" s="64" t="s">
        <v>1892</v>
      </c>
      <c r="N1665" s="61">
        <f>INDEX(Data!$9:$9,1,MATCH(M1665,detail_table[#Headers],0))</f>
        <v>0</v>
      </c>
    </row>
    <row r="1666" spans="13:14" x14ac:dyDescent="0.35">
      <c r="M1666" s="64" t="s">
        <v>1893</v>
      </c>
      <c r="N1666" s="61">
        <f>INDEX(Data!$9:$9,1,MATCH(M1666,detail_table[#Headers],0))</f>
        <v>0</v>
      </c>
    </row>
    <row r="1667" spans="13:14" x14ac:dyDescent="0.35">
      <c r="M1667" s="64" t="s">
        <v>1894</v>
      </c>
      <c r="N1667" s="61">
        <f>INDEX(Data!$9:$9,1,MATCH(M1667,detail_table[#Headers],0))</f>
        <v>0</v>
      </c>
    </row>
    <row r="1668" spans="13:14" x14ac:dyDescent="0.35">
      <c r="M1668" s="64" t="s">
        <v>1895</v>
      </c>
      <c r="N1668" s="61">
        <f>INDEX(Data!$9:$9,1,MATCH(M1668,detail_table[#Headers],0))</f>
        <v>0</v>
      </c>
    </row>
    <row r="1669" spans="13:14" x14ac:dyDescent="0.35">
      <c r="M1669" s="64" t="s">
        <v>1896</v>
      </c>
      <c r="N1669" s="61">
        <f>INDEX(Data!$9:$9,1,MATCH(M1669,detail_table[#Headers],0))</f>
        <v>0</v>
      </c>
    </row>
    <row r="1670" spans="13:14" x14ac:dyDescent="0.35">
      <c r="M1670" s="64" t="s">
        <v>1897</v>
      </c>
      <c r="N1670" s="61">
        <f>INDEX(Data!$9:$9,1,MATCH(M1670,detail_table[#Headers],0))</f>
        <v>0</v>
      </c>
    </row>
    <row r="1671" spans="13:14" x14ac:dyDescent="0.35">
      <c r="M1671" s="64" t="s">
        <v>1898</v>
      </c>
      <c r="N1671" s="61">
        <f>INDEX(Data!$9:$9,1,MATCH(M1671,detail_table[#Headers],0))</f>
        <v>0</v>
      </c>
    </row>
    <row r="1672" spans="13:14" x14ac:dyDescent="0.35">
      <c r="M1672" s="64" t="s">
        <v>1899</v>
      </c>
      <c r="N1672" s="61">
        <f>INDEX(Data!$9:$9,1,MATCH(M1672,detail_table[#Headers],0))</f>
        <v>0</v>
      </c>
    </row>
    <row r="1673" spans="13:14" x14ac:dyDescent="0.35">
      <c r="M1673" s="64" t="s">
        <v>2091</v>
      </c>
      <c r="N1673" s="61">
        <f>INDEX(Data!$9:$9,1,MATCH(M1673,detail_table[#Headers],0))</f>
        <v>0</v>
      </c>
    </row>
    <row r="1674" spans="13:14" x14ac:dyDescent="0.35">
      <c r="M1674" s="64" t="s">
        <v>2090</v>
      </c>
      <c r="N1674" s="61">
        <f>INDEX(Data!$9:$9,1,MATCH(M1674,detail_table[#Headers],0))</f>
        <v>0</v>
      </c>
    </row>
    <row r="1675" spans="13:14" x14ac:dyDescent="0.35">
      <c r="M1675" s="64" t="s">
        <v>2089</v>
      </c>
      <c r="N1675" s="61">
        <f>INDEX(Data!$9:$9,1,MATCH(M1675,detail_table[#Headers],0))</f>
        <v>0</v>
      </c>
    </row>
    <row r="1676" spans="13:14" x14ac:dyDescent="0.35">
      <c r="M1676" s="64" t="s">
        <v>2088</v>
      </c>
      <c r="N1676" s="61">
        <f>INDEX(Data!$9:$9,1,MATCH(M1676,detail_table[#Headers],0))</f>
        <v>0</v>
      </c>
    </row>
    <row r="1677" spans="13:14" x14ac:dyDescent="0.35">
      <c r="M1677" s="64" t="s">
        <v>2087</v>
      </c>
      <c r="N1677" s="61">
        <f>INDEX(Data!$9:$9,1,MATCH(M1677,detail_table[#Headers],0))</f>
        <v>0</v>
      </c>
    </row>
    <row r="1678" spans="13:14" x14ac:dyDescent="0.35">
      <c r="M1678" s="64" t="s">
        <v>1900</v>
      </c>
      <c r="N1678" s="61">
        <f>INDEX(Data!$9:$9,1,MATCH(M1678,detail_table[#Headers],0))</f>
        <v>0</v>
      </c>
    </row>
    <row r="1679" spans="13:14" x14ac:dyDescent="0.35">
      <c r="M1679" s="64" t="s">
        <v>1901</v>
      </c>
      <c r="N1679" s="61">
        <f>INDEX(Data!$9:$9,1,MATCH(M1679,detail_table[#Headers],0))</f>
        <v>0</v>
      </c>
    </row>
    <row r="1680" spans="13:14" x14ac:dyDescent="0.35">
      <c r="M1680" s="64" t="s">
        <v>1902</v>
      </c>
      <c r="N1680" s="61">
        <f>INDEX(Data!$9:$9,1,MATCH(M1680,detail_table[#Headers],0))</f>
        <v>0</v>
      </c>
    </row>
    <row r="1681" spans="13:14" x14ac:dyDescent="0.35">
      <c r="M1681" s="64" t="s">
        <v>1903</v>
      </c>
      <c r="N1681" s="61">
        <f>INDEX(Data!$9:$9,1,MATCH(M1681,detail_table[#Headers],0))</f>
        <v>0</v>
      </c>
    </row>
    <row r="1682" spans="13:14" x14ac:dyDescent="0.35">
      <c r="M1682" s="64" t="s">
        <v>1904</v>
      </c>
      <c r="N1682" s="61">
        <f>INDEX(Data!$9:$9,1,MATCH(M1682,detail_table[#Headers],0))</f>
        <v>0</v>
      </c>
    </row>
    <row r="1683" spans="13:14" x14ac:dyDescent="0.35">
      <c r="M1683" s="64" t="s">
        <v>1905</v>
      </c>
      <c r="N1683" s="61">
        <f>INDEX(Data!$9:$9,1,MATCH(M1683,detail_table[#Headers],0))</f>
        <v>0</v>
      </c>
    </row>
    <row r="1684" spans="13:14" x14ac:dyDescent="0.35">
      <c r="M1684" s="64" t="s">
        <v>1906</v>
      </c>
      <c r="N1684" s="61">
        <f>INDEX(Data!$9:$9,1,MATCH(M1684,detail_table[#Headers],0))</f>
        <v>0</v>
      </c>
    </row>
    <row r="1685" spans="13:14" x14ac:dyDescent="0.35">
      <c r="M1685" s="64" t="s">
        <v>1907</v>
      </c>
      <c r="N1685" s="61">
        <f>INDEX(Data!$9:$9,1,MATCH(M1685,detail_table[#Headers],0))</f>
        <v>0</v>
      </c>
    </row>
    <row r="1686" spans="13:14" x14ac:dyDescent="0.35">
      <c r="M1686" s="64" t="s">
        <v>1908</v>
      </c>
      <c r="N1686" s="61">
        <f>INDEX(Data!$9:$9,1,MATCH(M1686,detail_table[#Headers],0))</f>
        <v>0</v>
      </c>
    </row>
    <row r="1687" spans="13:14" x14ac:dyDescent="0.35">
      <c r="M1687" s="64" t="s">
        <v>1909</v>
      </c>
      <c r="N1687" s="61">
        <f>INDEX(Data!$9:$9,1,MATCH(M1687,detail_table[#Headers],0))</f>
        <v>0</v>
      </c>
    </row>
  </sheetData>
  <sheetProtection algorithmName="SHA-512" hashValue="xy3sqgkHXfJL4Ychq1PjPVv2ZDl6wGTA2/y6Y7VIe7QTxBrCP3y1CXC8UX/ot7Lj5/WuW4ZReC2Qgrbj7K9NAg==" saltValue="Amgb5Ai0tHX/hIVf6QpMrA==" spinCount="100000" sheet="1" objects="1" scenarios="1"/>
  <mergeCells count="6">
    <mergeCell ref="E6:H6"/>
    <mergeCell ref="E2:H5"/>
    <mergeCell ref="E7:H10"/>
    <mergeCell ref="E1:H1"/>
    <mergeCell ref="A267:D267"/>
    <mergeCell ref="A155:F155"/>
  </mergeCells>
  <hyperlinks>
    <hyperlink ref="E1" location="Data!A1" display="Change filters"/>
  </hyperlinks>
  <pageMargins left="0.7" right="0.7" top="0.75" bottom="0.75" header="0.3" footer="0.3"/>
  <pageSetup fitToHeight="0" orientation="portrait" r:id="rId1"/>
  <headerFooter>
    <oddHeader>&amp;A</oddHeader>
    <oddFooter>&amp;A&amp;RPage &amp;P</oddFooter>
  </headerFooter>
  <rowBreaks count="24" manualBreakCount="24">
    <brk id="18" max="16383" man="1"/>
    <brk id="43" max="16383" man="1"/>
    <brk id="64" max="16383" man="1"/>
    <brk id="85" max="16383" man="1"/>
    <brk id="107" max="16383" man="1"/>
    <brk id="133" max="16383" man="1"/>
    <brk id="154" max="16383" man="1"/>
    <brk id="177" max="16383" man="1"/>
    <brk id="205" max="16383" man="1"/>
    <brk id="222" max="16383" man="1"/>
    <brk id="249" max="16383" man="1"/>
    <brk id="266" max="16383" man="1"/>
    <brk id="298" max="16383" man="1"/>
    <brk id="316" max="16383" man="1"/>
    <brk id="330" max="16383" man="1"/>
    <brk id="348" max="16383" man="1"/>
    <brk id="357" max="16383" man="1"/>
    <brk id="371" max="16383" man="1"/>
    <brk id="389" max="16383" man="1"/>
    <brk id="398" max="16383" man="1"/>
    <brk id="411" max="16383" man="1"/>
    <brk id="416" max="16383" man="1"/>
    <brk id="430" max="16383" man="1"/>
    <brk id="448" max="16383" man="1"/>
  </rowBreak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S1687"/>
  <sheetViews>
    <sheetView showGridLines="0" zoomScaleNormal="100" workbookViewId="0">
      <selection activeCell="I136" sqref="I1:S1048576"/>
    </sheetView>
  </sheetViews>
  <sheetFormatPr defaultColWidth="9.1796875" defaultRowHeight="14.5" x14ac:dyDescent="0.35"/>
  <cols>
    <col min="1" max="1" width="18.6328125" style="61" customWidth="1"/>
    <col min="2" max="3" width="10.08984375" style="61" customWidth="1"/>
    <col min="4" max="4" width="10.1796875" style="61" customWidth="1"/>
    <col min="5" max="8" width="10.08984375" style="61" customWidth="1"/>
    <col min="9" max="10" width="9.1796875" style="61" hidden="1" customWidth="1"/>
    <col min="11" max="11" width="13.1796875" style="61" hidden="1" customWidth="1"/>
    <col min="12" max="12" width="9.1796875" style="61" hidden="1" customWidth="1"/>
    <col min="13" max="13" width="83.81640625" style="61" hidden="1" customWidth="1"/>
    <col min="14" max="14" width="10.81640625" style="61" hidden="1" customWidth="1"/>
    <col min="15" max="19" width="9.1796875" style="61" hidden="1" customWidth="1"/>
    <col min="20" max="16384" width="9.1796875" style="61"/>
  </cols>
  <sheetData>
    <row r="1" spans="1:18" ht="26" customHeight="1" x14ac:dyDescent="0.45">
      <c r="A1" s="227" t="s">
        <v>51</v>
      </c>
      <c r="B1" s="227"/>
      <c r="C1" s="227"/>
      <c r="D1" s="63"/>
      <c r="E1" s="200"/>
      <c r="F1" s="63"/>
      <c r="G1" s="63"/>
      <c r="H1" s="63"/>
      <c r="R1" s="61" t="s">
        <v>370</v>
      </c>
    </row>
    <row r="2" spans="1:18" ht="39.5" thickBot="1" x14ac:dyDescent="0.4">
      <c r="A2" s="186" t="s">
        <v>105</v>
      </c>
      <c r="B2" s="153" t="s">
        <v>103</v>
      </c>
      <c r="C2" s="153"/>
      <c r="D2" s="63"/>
      <c r="E2" s="201"/>
      <c r="F2" s="63"/>
      <c r="G2" s="63"/>
      <c r="H2" s="63"/>
      <c r="M2" s="64" t="s">
        <v>382</v>
      </c>
      <c r="N2" s="61">
        <f>SUMIFS(INDEX(detail_table[],,MATCH(M2,detail_table[#Headers],0)),detail_table[Project Type],"&lt;&gt;"&amp;"")</f>
        <v>0</v>
      </c>
    </row>
    <row r="3" spans="1:18" ht="65.5" thickBot="1" x14ac:dyDescent="0.4">
      <c r="A3" s="3" t="s">
        <v>15</v>
      </c>
      <c r="B3" s="4" t="s">
        <v>342</v>
      </c>
      <c r="C3" s="4" t="s">
        <v>22</v>
      </c>
      <c r="D3" s="63"/>
      <c r="E3" s="201"/>
      <c r="F3" s="63"/>
      <c r="G3" s="63"/>
      <c r="H3" s="63"/>
      <c r="M3" s="64" t="s">
        <v>383</v>
      </c>
      <c r="N3" s="61">
        <f>SUMIFS(INDEX(detail_table[],,MATCH(M3,detail_table[#Headers],0)),detail_table[Project Type],"&lt;&gt;"&amp;"")</f>
        <v>0</v>
      </c>
      <c r="R3" s="61" t="s">
        <v>36</v>
      </c>
    </row>
    <row r="4" spans="1:18" ht="15" thickBot="1" x14ac:dyDescent="0.4">
      <c r="A4" s="52" t="s">
        <v>70</v>
      </c>
      <c r="B4" s="179">
        <f t="shared" ref="B4:C17" si="0">INDEX($N$2:$N$1687,MATCH($B$2&amp;" | "&amp;$A4&amp;" | "&amp;B$3,$M$2:$M$1687,0))</f>
        <v>0</v>
      </c>
      <c r="C4" s="179">
        <f t="shared" si="0"/>
        <v>0</v>
      </c>
      <c r="D4" s="63"/>
      <c r="E4" s="201"/>
      <c r="F4" s="63"/>
      <c r="G4" s="63"/>
      <c r="H4" s="63"/>
      <c r="M4" s="64" t="s">
        <v>384</v>
      </c>
      <c r="N4" s="61">
        <f>SUMIFS(INDEX(detail_table[],,MATCH(M4,detail_table[#Headers],0)),detail_table[Project Type],"&lt;&gt;"&amp;"")</f>
        <v>0</v>
      </c>
      <c r="R4" s="61" t="s">
        <v>33</v>
      </c>
    </row>
    <row r="5" spans="1:18" ht="15" thickBot="1" x14ac:dyDescent="0.4">
      <c r="A5" s="52" t="s">
        <v>71</v>
      </c>
      <c r="B5" s="179">
        <f t="shared" si="0"/>
        <v>0</v>
      </c>
      <c r="C5" s="179">
        <f t="shared" si="0"/>
        <v>0</v>
      </c>
      <c r="D5" s="63"/>
      <c r="E5" s="201"/>
      <c r="F5" s="63"/>
      <c r="G5" s="63"/>
      <c r="H5" s="63"/>
      <c r="M5" s="64" t="s">
        <v>385</v>
      </c>
      <c r="N5" s="61">
        <f>SUMIFS(INDEX(detail_table[],,MATCH(M5,detail_table[#Headers],0)),detail_table[Project Type],"&lt;&gt;"&amp;"")</f>
        <v>0</v>
      </c>
      <c r="R5" s="61" t="s">
        <v>34</v>
      </c>
    </row>
    <row r="6" spans="1:18" ht="15" thickBot="1" x14ac:dyDescent="0.4">
      <c r="A6" s="52" t="s">
        <v>16</v>
      </c>
      <c r="B6" s="179">
        <f t="shared" si="0"/>
        <v>0</v>
      </c>
      <c r="C6" s="179">
        <f t="shared" si="0"/>
        <v>0</v>
      </c>
      <c r="D6" s="63"/>
      <c r="E6" s="201"/>
      <c r="F6" s="63"/>
      <c r="G6" s="63"/>
      <c r="H6" s="63"/>
      <c r="M6" s="64" t="s">
        <v>386</v>
      </c>
      <c r="N6" s="61">
        <f>SUMIFS(INDEX(detail_table[],,MATCH(M6,detail_table[#Headers],0)),detail_table[Project Type],"&lt;&gt;"&amp;"")</f>
        <v>0</v>
      </c>
      <c r="R6" s="61" t="s">
        <v>35</v>
      </c>
    </row>
    <row r="7" spans="1:18" ht="15" thickBot="1" x14ac:dyDescent="0.4">
      <c r="A7" s="52" t="s">
        <v>17</v>
      </c>
      <c r="B7" s="179">
        <f t="shared" si="0"/>
        <v>0</v>
      </c>
      <c r="C7" s="179">
        <f t="shared" si="0"/>
        <v>0</v>
      </c>
      <c r="D7" s="63"/>
      <c r="E7" s="201"/>
      <c r="F7" s="63"/>
      <c r="G7" s="63"/>
      <c r="H7" s="63"/>
      <c r="M7" s="64" t="s">
        <v>387</v>
      </c>
      <c r="N7" s="61">
        <f>SUMIFS(INDEX(detail_table[],,MATCH(M7,detail_table[#Headers],0)),detail_table[Project Type],"&lt;&gt;"&amp;"")</f>
        <v>0</v>
      </c>
      <c r="R7" s="61" t="s">
        <v>32</v>
      </c>
    </row>
    <row r="8" spans="1:18" ht="15" thickBot="1" x14ac:dyDescent="0.4">
      <c r="A8" s="52" t="s">
        <v>6</v>
      </c>
      <c r="B8" s="179">
        <f t="shared" si="0"/>
        <v>0</v>
      </c>
      <c r="C8" s="179">
        <f t="shared" si="0"/>
        <v>0</v>
      </c>
      <c r="D8" s="63"/>
      <c r="E8" s="201"/>
      <c r="F8" s="63"/>
      <c r="G8" s="63"/>
      <c r="H8" s="63"/>
      <c r="M8" s="64" t="s">
        <v>388</v>
      </c>
      <c r="N8" s="61">
        <f>SUMIFS(INDEX(detail_table[],,MATCH(M8,detail_table[#Headers],0)),detail_table[Project Type],"&lt;&gt;"&amp;"")</f>
        <v>0</v>
      </c>
      <c r="R8" s="61" t="s">
        <v>37</v>
      </c>
    </row>
    <row r="9" spans="1:18" ht="15" thickBot="1" x14ac:dyDescent="0.4">
      <c r="A9" s="52" t="s">
        <v>5</v>
      </c>
      <c r="B9" s="179">
        <f t="shared" si="0"/>
        <v>0</v>
      </c>
      <c r="C9" s="179">
        <f t="shared" si="0"/>
        <v>0</v>
      </c>
      <c r="D9" s="63"/>
      <c r="E9" s="63"/>
      <c r="F9" s="63"/>
      <c r="G9" s="63"/>
      <c r="H9" s="63"/>
      <c r="M9" s="64" t="s">
        <v>389</v>
      </c>
      <c r="N9" s="61">
        <f>SUMIFS(INDEX(detail_table[],,MATCH(M9,detail_table[#Headers],0)),detail_table[Project Type],"&lt;&gt;"&amp;"")</f>
        <v>0</v>
      </c>
    </row>
    <row r="10" spans="1:18" ht="15" thickBot="1" x14ac:dyDescent="0.4">
      <c r="A10" s="52" t="s">
        <v>4</v>
      </c>
      <c r="B10" s="179">
        <f t="shared" si="0"/>
        <v>0</v>
      </c>
      <c r="C10" s="179">
        <f t="shared" si="0"/>
        <v>0</v>
      </c>
      <c r="D10" s="63"/>
      <c r="E10" s="63"/>
      <c r="F10" s="63"/>
      <c r="G10" s="63"/>
      <c r="H10" s="63"/>
      <c r="M10" s="64" t="s">
        <v>390</v>
      </c>
      <c r="N10" s="61">
        <f>SUMIFS(INDEX(detail_table[],,MATCH(M10,detail_table[#Headers],0)),detail_table[Project Type],"&lt;&gt;"&amp;"")</f>
        <v>0</v>
      </c>
    </row>
    <row r="11" spans="1:18" ht="15" thickBot="1" x14ac:dyDescent="0.4">
      <c r="A11" s="52" t="s">
        <v>18</v>
      </c>
      <c r="B11" s="179">
        <f t="shared" si="0"/>
        <v>0</v>
      </c>
      <c r="C11" s="179">
        <f t="shared" si="0"/>
        <v>0</v>
      </c>
      <c r="D11" s="63"/>
      <c r="E11" s="63"/>
      <c r="F11" s="63"/>
      <c r="G11" s="63"/>
      <c r="H11" s="63"/>
      <c r="M11" s="64" t="s">
        <v>391</v>
      </c>
      <c r="N11" s="61">
        <f>SUMIFS(INDEX(detail_table[],,MATCH(M11,detail_table[#Headers],0)),detail_table[Project Type],"&lt;&gt;"&amp;"")</f>
        <v>0</v>
      </c>
    </row>
    <row r="12" spans="1:18" ht="15" thickBot="1" x14ac:dyDescent="0.4">
      <c r="A12" s="52" t="s">
        <v>72</v>
      </c>
      <c r="B12" s="179">
        <f t="shared" si="0"/>
        <v>0</v>
      </c>
      <c r="C12" s="179">
        <f t="shared" si="0"/>
        <v>0</v>
      </c>
      <c r="D12" s="63"/>
      <c r="E12" s="63"/>
      <c r="F12" s="63"/>
      <c r="G12" s="63"/>
      <c r="H12" s="63"/>
      <c r="M12" s="64" t="s">
        <v>392</v>
      </c>
      <c r="N12" s="61">
        <f>SUMIFS(INDEX(detail_table[],,MATCH(M12,detail_table[#Headers],0)),detail_table[Project Type],"&lt;&gt;"&amp;"")</f>
        <v>0</v>
      </c>
    </row>
    <row r="13" spans="1:18" ht="26.5" thickBot="1" x14ac:dyDescent="0.4">
      <c r="A13" s="52" t="s">
        <v>19</v>
      </c>
      <c r="B13" s="179">
        <f t="shared" si="0"/>
        <v>0</v>
      </c>
      <c r="C13" s="179">
        <f t="shared" si="0"/>
        <v>0</v>
      </c>
      <c r="D13" s="153"/>
      <c r="E13" s="153"/>
      <c r="F13" s="153"/>
      <c r="G13" s="153"/>
      <c r="H13" s="153"/>
      <c r="M13" s="64" t="s">
        <v>393</v>
      </c>
      <c r="N13" s="61">
        <f>SUMIFS(INDEX(detail_table[],,MATCH(M13,detail_table[#Headers],0)),detail_table[Project Type],"&lt;&gt;"&amp;"")</f>
        <v>0</v>
      </c>
    </row>
    <row r="14" spans="1:18" ht="26.5" thickBot="1" x14ac:dyDescent="0.4">
      <c r="A14" s="52" t="s">
        <v>52</v>
      </c>
      <c r="B14" s="179">
        <f t="shared" si="0"/>
        <v>0</v>
      </c>
      <c r="C14" s="179">
        <f t="shared" si="0"/>
        <v>0</v>
      </c>
      <c r="D14" s="153"/>
      <c r="E14" s="153"/>
      <c r="F14" s="153"/>
      <c r="G14" s="153"/>
      <c r="H14" s="153"/>
      <c r="M14" s="64" t="s">
        <v>394</v>
      </c>
      <c r="N14" s="61">
        <f>SUMIFS(INDEX(detail_table[],,MATCH(M14,detail_table[#Headers],0)),detail_table[Project Type],"&lt;&gt;"&amp;"")</f>
        <v>0</v>
      </c>
    </row>
    <row r="15" spans="1:18" ht="15" thickBot="1" x14ac:dyDescent="0.4">
      <c r="A15" s="52" t="s">
        <v>9</v>
      </c>
      <c r="B15" s="179">
        <f t="shared" si="0"/>
        <v>0</v>
      </c>
      <c r="C15" s="179">
        <f t="shared" si="0"/>
        <v>0</v>
      </c>
      <c r="D15" s="153"/>
      <c r="E15" s="153"/>
      <c r="F15" s="153"/>
      <c r="G15" s="153"/>
      <c r="H15" s="153"/>
      <c r="M15" s="64" t="s">
        <v>395</v>
      </c>
      <c r="N15" s="61">
        <f>SUMIFS(INDEX(detail_table[],,MATCH(M15,detail_table[#Headers],0)),detail_table[Project Type],"&lt;&gt;"&amp;"")</f>
        <v>0</v>
      </c>
    </row>
    <row r="16" spans="1:18" ht="26.5" thickBot="1" x14ac:dyDescent="0.4">
      <c r="A16" s="52" t="s">
        <v>73</v>
      </c>
      <c r="B16" s="179">
        <f t="shared" si="0"/>
        <v>0</v>
      </c>
      <c r="C16" s="179">
        <f t="shared" si="0"/>
        <v>0</v>
      </c>
      <c r="D16" s="153"/>
      <c r="E16" s="153"/>
      <c r="F16" s="153"/>
      <c r="G16" s="153"/>
      <c r="H16" s="153"/>
      <c r="M16" s="64" t="s">
        <v>396</v>
      </c>
      <c r="N16" s="61">
        <f>SUMIFS(INDEX(detail_table[],,MATCH(M16,detail_table[#Headers],0)),detail_table[Project Type],"&lt;&gt;"&amp;"")</f>
        <v>0</v>
      </c>
    </row>
    <row r="17" spans="1:14" ht="26.5" thickBot="1" x14ac:dyDescent="0.4">
      <c r="A17" s="52" t="s">
        <v>74</v>
      </c>
      <c r="B17" s="179">
        <f t="shared" si="0"/>
        <v>0</v>
      </c>
      <c r="C17" s="179">
        <f t="shared" si="0"/>
        <v>0</v>
      </c>
      <c r="D17" s="153"/>
      <c r="E17" s="153"/>
      <c r="F17" s="153"/>
      <c r="G17" s="153"/>
      <c r="H17" s="153"/>
      <c r="M17" s="64" t="s">
        <v>397</v>
      </c>
      <c r="N17" s="61">
        <f>SUMIFS(INDEX(detail_table[],,MATCH(M17,detail_table[#Headers],0)),detail_table[Project Type],"&lt;&gt;"&amp;"")</f>
        <v>0</v>
      </c>
    </row>
    <row r="18" spans="1:14" x14ac:dyDescent="0.35">
      <c r="A18" s="56"/>
      <c r="B18" s="38"/>
      <c r="C18" s="38"/>
      <c r="D18" s="153"/>
      <c r="E18" s="153"/>
      <c r="F18" s="153"/>
      <c r="G18" s="153"/>
      <c r="H18" s="153"/>
      <c r="M18" s="64" t="s">
        <v>398</v>
      </c>
      <c r="N18" s="61">
        <f>SUMIFS(INDEX(detail_table[],,MATCH(M18,detail_table[#Headers],0)),detail_table[Project Type],"&lt;&gt;"&amp;"")</f>
        <v>0</v>
      </c>
    </row>
    <row r="19" spans="1:14" x14ac:dyDescent="0.35">
      <c r="A19" s="227" t="s">
        <v>53</v>
      </c>
      <c r="B19" s="153"/>
      <c r="C19" s="153"/>
      <c r="D19" s="153"/>
      <c r="E19" s="153"/>
      <c r="F19" s="153"/>
      <c r="G19" s="153"/>
      <c r="H19" s="153"/>
      <c r="M19" s="64" t="s">
        <v>399</v>
      </c>
      <c r="N19" s="61">
        <f>SUMIFS(INDEX(detail_table[],,MATCH(M19,detail_table[#Headers],0)),detail_table[Project Type],"&lt;&gt;"&amp;"")</f>
        <v>0</v>
      </c>
    </row>
    <row r="20" spans="1:14" ht="26.5" thickBot="1" x14ac:dyDescent="0.4">
      <c r="A20" s="192" t="s">
        <v>106</v>
      </c>
      <c r="B20" s="193" t="s">
        <v>96</v>
      </c>
      <c r="C20" s="153"/>
      <c r="D20" s="153"/>
      <c r="E20" s="153"/>
      <c r="F20" s="153"/>
      <c r="G20" s="153"/>
      <c r="H20" s="153"/>
      <c r="M20" s="64" t="s">
        <v>400</v>
      </c>
      <c r="N20" s="61">
        <f>SUMIFS(INDEX(detail_table[],,MATCH(M20,detail_table[#Headers],0)),detail_table[Project Type],"&lt;&gt;"&amp;"")</f>
        <v>0</v>
      </c>
    </row>
    <row r="21" spans="1:14" ht="27" thickBot="1" x14ac:dyDescent="0.4">
      <c r="A21" s="187" t="s">
        <v>1911</v>
      </c>
      <c r="B21" s="152">
        <f t="shared" ref="B21:B34" si="1">INDEX($N$2:$N$1687,MATCH($B$20&amp;" | "&amp;$A21,$M$2:$M$1687,0))</f>
        <v>0</v>
      </c>
      <c r="C21" s="153"/>
      <c r="D21" s="153"/>
      <c r="E21" s="153"/>
      <c r="F21" s="153"/>
      <c r="G21" s="153"/>
      <c r="H21" s="153"/>
      <c r="M21" s="64" t="s">
        <v>401</v>
      </c>
      <c r="N21" s="61">
        <f>SUMIFS(INDEX(detail_table[],,MATCH(M21,detail_table[#Headers],0)),detail_table[Project Type],"&lt;&gt;"&amp;"")</f>
        <v>0</v>
      </c>
    </row>
    <row r="22" spans="1:14" ht="27" thickBot="1" x14ac:dyDescent="0.4">
      <c r="A22" s="187" t="s">
        <v>167</v>
      </c>
      <c r="B22" s="152">
        <f t="shared" si="1"/>
        <v>0</v>
      </c>
      <c r="C22" s="153"/>
      <c r="D22" s="153"/>
      <c r="E22" s="153"/>
      <c r="F22" s="153"/>
      <c r="G22" s="153"/>
      <c r="H22" s="153"/>
      <c r="M22" s="64" t="s">
        <v>402</v>
      </c>
      <c r="N22" s="61">
        <f>SUMIFS(INDEX(detail_table[],,MATCH(M22,detail_table[#Headers],0)),detail_table[Project Type],"&lt;&gt;"&amp;"")</f>
        <v>0</v>
      </c>
    </row>
    <row r="23" spans="1:14" ht="27" thickBot="1" x14ac:dyDescent="0.4">
      <c r="A23" s="187" t="s">
        <v>168</v>
      </c>
      <c r="B23" s="152">
        <f t="shared" si="1"/>
        <v>0</v>
      </c>
      <c r="C23" s="153"/>
      <c r="D23" s="153"/>
      <c r="E23" s="153"/>
      <c r="F23" s="153"/>
      <c r="G23" s="153"/>
      <c r="H23" s="153"/>
      <c r="M23" s="64" t="s">
        <v>403</v>
      </c>
      <c r="N23" s="61">
        <f>SUMIFS(INDEX(detail_table[],,MATCH(M23,detail_table[#Headers],0)),detail_table[Project Type],"&lt;&gt;"&amp;"")</f>
        <v>0</v>
      </c>
    </row>
    <row r="24" spans="1:14" ht="27" thickBot="1" x14ac:dyDescent="0.4">
      <c r="A24" s="187" t="s">
        <v>169</v>
      </c>
      <c r="B24" s="152">
        <f t="shared" si="1"/>
        <v>0</v>
      </c>
      <c r="C24" s="153"/>
      <c r="D24" s="153"/>
      <c r="E24" s="153"/>
      <c r="F24" s="153"/>
      <c r="G24" s="153"/>
      <c r="H24" s="153"/>
      <c r="M24" s="64" t="s">
        <v>404</v>
      </c>
      <c r="N24" s="61">
        <f>SUMIFS(INDEX(detail_table[],,MATCH(M24,detail_table[#Headers],0)),detail_table[Project Type],"&lt;&gt;"&amp;"")</f>
        <v>0</v>
      </c>
    </row>
    <row r="25" spans="1:14" ht="27" thickBot="1" x14ac:dyDescent="0.4">
      <c r="A25" s="187" t="s">
        <v>170</v>
      </c>
      <c r="B25" s="152">
        <f t="shared" si="1"/>
        <v>0</v>
      </c>
      <c r="C25" s="153"/>
      <c r="D25" s="153"/>
      <c r="E25" s="153"/>
      <c r="F25" s="153"/>
      <c r="G25" s="153"/>
      <c r="H25" s="153"/>
      <c r="M25" s="64" t="s">
        <v>405</v>
      </c>
      <c r="N25" s="61">
        <f>SUMIFS(INDEX(detail_table[],,MATCH(M25,detail_table[#Headers],0)),detail_table[Project Type],"&lt;&gt;"&amp;"")</f>
        <v>0</v>
      </c>
    </row>
    <row r="26" spans="1:14" ht="27" thickBot="1" x14ac:dyDescent="0.4">
      <c r="A26" s="187" t="s">
        <v>171</v>
      </c>
      <c r="B26" s="152">
        <f t="shared" si="1"/>
        <v>0</v>
      </c>
      <c r="C26" s="153"/>
      <c r="D26" s="153"/>
      <c r="E26" s="153"/>
      <c r="F26" s="153"/>
      <c r="G26" s="153"/>
      <c r="H26" s="153"/>
      <c r="M26" s="64" t="s">
        <v>406</v>
      </c>
      <c r="N26" s="61">
        <f>SUMIFS(INDEX(detail_table[],,MATCH(M26,detail_table[#Headers],0)),detail_table[Project Type],"&lt;&gt;"&amp;"")</f>
        <v>0</v>
      </c>
    </row>
    <row r="27" spans="1:14" ht="27" thickBot="1" x14ac:dyDescent="0.4">
      <c r="A27" s="187" t="s">
        <v>172</v>
      </c>
      <c r="B27" s="152">
        <f t="shared" si="1"/>
        <v>0</v>
      </c>
      <c r="C27" s="153"/>
      <c r="D27" s="153"/>
      <c r="E27" s="153"/>
      <c r="F27" s="153"/>
      <c r="G27" s="153"/>
      <c r="H27" s="153"/>
      <c r="M27" s="64" t="s">
        <v>407</v>
      </c>
      <c r="N27" s="61">
        <f>SUMIFS(INDEX(detail_table[],,MATCH(M27,detail_table[#Headers],0)),detail_table[Project Type],"&lt;&gt;"&amp;"")</f>
        <v>0</v>
      </c>
    </row>
    <row r="28" spans="1:14" ht="27" thickBot="1" x14ac:dyDescent="0.4">
      <c r="A28" s="187" t="s">
        <v>173</v>
      </c>
      <c r="B28" s="152">
        <f t="shared" si="1"/>
        <v>0</v>
      </c>
      <c r="C28" s="153"/>
      <c r="D28" s="153"/>
      <c r="E28" s="153"/>
      <c r="F28" s="153"/>
      <c r="G28" s="153"/>
      <c r="H28" s="153"/>
      <c r="M28" s="64" t="s">
        <v>408</v>
      </c>
      <c r="N28" s="61">
        <f>SUMIFS(INDEX(detail_table[],,MATCH(M28,detail_table[#Headers],0)),detail_table[Project Type],"&lt;&gt;"&amp;"")</f>
        <v>0</v>
      </c>
    </row>
    <row r="29" spans="1:14" ht="15" thickBot="1" x14ac:dyDescent="0.4">
      <c r="A29" s="187" t="s">
        <v>174</v>
      </c>
      <c r="B29" s="152">
        <f t="shared" si="1"/>
        <v>0</v>
      </c>
      <c r="C29" s="153"/>
      <c r="D29" s="153"/>
      <c r="E29" s="153"/>
      <c r="F29" s="153"/>
      <c r="G29" s="153"/>
      <c r="H29" s="153"/>
      <c r="M29" s="64" t="s">
        <v>409</v>
      </c>
      <c r="N29" s="61">
        <f>SUMIFS(INDEX(detail_table[],,MATCH(M29,detail_table[#Headers],0)),detail_table[Project Type],"&lt;&gt;"&amp;"")</f>
        <v>0</v>
      </c>
    </row>
    <row r="30" spans="1:14" ht="40" thickBot="1" x14ac:dyDescent="0.4">
      <c r="A30" s="187" t="s">
        <v>175</v>
      </c>
      <c r="B30" s="152">
        <f t="shared" si="1"/>
        <v>0</v>
      </c>
      <c r="C30" s="153"/>
      <c r="D30" s="153"/>
      <c r="E30" s="153"/>
      <c r="F30" s="153"/>
      <c r="G30" s="153"/>
      <c r="H30" s="153"/>
      <c r="M30" s="64" t="s">
        <v>1929</v>
      </c>
      <c r="N30" s="61">
        <f>SUMIFS(INDEX(detail_table[],,MATCH(M30,detail_table[#Headers],0)),detail_table[Project Type],"&lt;&gt;"&amp;"")</f>
        <v>0</v>
      </c>
    </row>
    <row r="31" spans="1:14" ht="27" thickBot="1" x14ac:dyDescent="0.4">
      <c r="A31" s="187" t="s">
        <v>176</v>
      </c>
      <c r="B31" s="152">
        <f t="shared" si="1"/>
        <v>0</v>
      </c>
      <c r="C31" s="153"/>
      <c r="D31" s="153"/>
      <c r="E31" s="153"/>
      <c r="F31" s="153"/>
      <c r="G31" s="153"/>
      <c r="H31" s="153"/>
      <c r="M31" s="64" t="s">
        <v>1913</v>
      </c>
      <c r="N31" s="61">
        <f>SUMIFS(INDEX(detail_table[],,MATCH(M31,detail_table[#Headers],0)),detail_table[Project Type],"&lt;&gt;"&amp;"")</f>
        <v>0</v>
      </c>
    </row>
    <row r="32" spans="1:14" ht="27" thickBot="1" x14ac:dyDescent="0.4">
      <c r="A32" s="187" t="s">
        <v>2001</v>
      </c>
      <c r="B32" s="152">
        <f t="shared" si="1"/>
        <v>0</v>
      </c>
      <c r="C32" s="153"/>
      <c r="D32" s="153"/>
      <c r="E32" s="153"/>
      <c r="F32" s="153"/>
      <c r="G32" s="153"/>
      <c r="H32" s="153"/>
      <c r="M32" s="64" t="s">
        <v>1914</v>
      </c>
      <c r="N32" s="61">
        <f>SUMIFS(INDEX(detail_table[],,MATCH(M32,detail_table[#Headers],0)),detail_table[Project Type],"&lt;&gt;"&amp;"")</f>
        <v>0</v>
      </c>
    </row>
    <row r="33" spans="1:14" ht="40" thickBot="1" x14ac:dyDescent="0.4">
      <c r="A33" s="187" t="s">
        <v>2002</v>
      </c>
      <c r="B33" s="152">
        <f t="shared" si="1"/>
        <v>0</v>
      </c>
      <c r="C33" s="153"/>
      <c r="D33" s="153"/>
      <c r="E33" s="153"/>
      <c r="F33" s="153"/>
      <c r="G33" s="153"/>
      <c r="H33" s="153"/>
      <c r="M33" s="64" t="s">
        <v>1915</v>
      </c>
      <c r="N33" s="61">
        <f>SUMIFS(INDEX(detail_table[],,MATCH(M33,detail_table[#Headers],0)),detail_table[Project Type],"&lt;&gt;"&amp;"")</f>
        <v>0</v>
      </c>
    </row>
    <row r="34" spans="1:14" ht="40" thickBot="1" x14ac:dyDescent="0.4">
      <c r="A34" s="187" t="s">
        <v>2003</v>
      </c>
      <c r="B34" s="152">
        <f t="shared" si="1"/>
        <v>0</v>
      </c>
      <c r="C34" s="153"/>
      <c r="D34" s="153"/>
      <c r="E34" s="153"/>
      <c r="F34" s="153"/>
      <c r="G34" s="153"/>
      <c r="H34" s="153"/>
      <c r="M34" s="64" t="s">
        <v>1916</v>
      </c>
      <c r="N34" s="61">
        <f>SUMIFS(INDEX(detail_table[],,MATCH(M34,detail_table[#Headers],0)),detail_table[Project Type],"&lt;&gt;"&amp;"")</f>
        <v>0</v>
      </c>
    </row>
    <row r="35" spans="1:14" x14ac:dyDescent="0.35">
      <c r="A35" s="153"/>
      <c r="B35" s="38"/>
      <c r="C35" s="153"/>
      <c r="D35" s="153"/>
      <c r="E35" s="153"/>
      <c r="F35" s="153"/>
      <c r="G35" s="153"/>
      <c r="H35" s="153"/>
      <c r="M35" s="64" t="s">
        <v>1917</v>
      </c>
      <c r="N35" s="61">
        <f>SUMIFS(INDEX(detail_table[],,MATCH(M35,detail_table[#Headers],0)),detail_table[Project Type],"&lt;&gt;"&amp;"")</f>
        <v>0</v>
      </c>
    </row>
    <row r="36" spans="1:14" ht="26.5" thickBot="1" x14ac:dyDescent="0.4">
      <c r="A36" s="186" t="s">
        <v>107</v>
      </c>
      <c r="B36" s="153" t="s">
        <v>97</v>
      </c>
      <c r="C36" s="153"/>
      <c r="D36" s="153"/>
      <c r="E36" s="153"/>
      <c r="F36" s="153"/>
      <c r="G36" s="153"/>
      <c r="H36" s="153"/>
      <c r="M36" s="64" t="s">
        <v>1918</v>
      </c>
      <c r="N36" s="61">
        <f>SUMIFS(INDEX(detail_table[],,MATCH(M36,detail_table[#Headers],0)),detail_table[Project Type],"&lt;&gt;"&amp;"")</f>
        <v>0</v>
      </c>
    </row>
    <row r="37" spans="1:14" ht="52.5" thickBot="1" x14ac:dyDescent="0.4">
      <c r="A37" s="23"/>
      <c r="B37" s="3" t="s">
        <v>8</v>
      </c>
      <c r="C37" s="4" t="s">
        <v>0</v>
      </c>
      <c r="D37" s="4" t="s">
        <v>1</v>
      </c>
      <c r="E37" s="3" t="s">
        <v>2</v>
      </c>
      <c r="F37" s="3" t="s">
        <v>3</v>
      </c>
      <c r="G37" s="153"/>
      <c r="H37" s="153"/>
      <c r="M37" s="64" t="s">
        <v>1919</v>
      </c>
      <c r="N37" s="61">
        <f>SUMIFS(INDEX(detail_table[],,MATCH(M37,detail_table[#Headers],0)),detail_table[Project Type],"&lt;&gt;"&amp;"")</f>
        <v>0</v>
      </c>
    </row>
    <row r="38" spans="1:14" ht="15" thickBot="1" x14ac:dyDescent="0.4">
      <c r="A38" s="52" t="s">
        <v>155</v>
      </c>
      <c r="B38" s="182">
        <f t="shared" ref="B38:F42" si="2">INDEX($N$2:$N$1687,MATCH($B$36&amp;" | "&amp;$A38&amp;" | "&amp;B$37,$M$2:$M$1687,0))</f>
        <v>0</v>
      </c>
      <c r="C38" s="183">
        <f t="shared" si="2"/>
        <v>0</v>
      </c>
      <c r="D38" s="183">
        <f t="shared" si="2"/>
        <v>0</v>
      </c>
      <c r="E38" s="183">
        <f t="shared" si="2"/>
        <v>0</v>
      </c>
      <c r="F38" s="183">
        <f t="shared" si="2"/>
        <v>0</v>
      </c>
      <c r="G38" s="153"/>
      <c r="H38" s="153"/>
      <c r="M38" s="64" t="s">
        <v>1920</v>
      </c>
      <c r="N38" s="61">
        <f>SUMIFS(INDEX(detail_table[],,MATCH(M38,detail_table[#Headers],0)),detail_table[Project Type],"&lt;&gt;"&amp;"")</f>
        <v>0</v>
      </c>
    </row>
    <row r="39" spans="1:14" ht="15" thickBot="1" x14ac:dyDescent="0.4">
      <c r="A39" s="52" t="s">
        <v>156</v>
      </c>
      <c r="B39" s="182">
        <f t="shared" si="2"/>
        <v>0</v>
      </c>
      <c r="C39" s="183">
        <f t="shared" si="2"/>
        <v>0</v>
      </c>
      <c r="D39" s="183">
        <f t="shared" si="2"/>
        <v>0</v>
      </c>
      <c r="E39" s="183">
        <f t="shared" si="2"/>
        <v>0</v>
      </c>
      <c r="F39" s="183">
        <f t="shared" si="2"/>
        <v>0</v>
      </c>
      <c r="G39" s="153"/>
      <c r="H39" s="153"/>
      <c r="M39" s="64" t="s">
        <v>1921</v>
      </c>
      <c r="N39" s="61">
        <f>SUMIFS(INDEX(detail_table[],,MATCH(M39,detail_table[#Headers],0)),detail_table[Project Type],"&lt;&gt;"&amp;"")</f>
        <v>0</v>
      </c>
    </row>
    <row r="40" spans="1:14" ht="15" thickBot="1" x14ac:dyDescent="0.4">
      <c r="A40" s="52" t="s">
        <v>157</v>
      </c>
      <c r="B40" s="182">
        <f t="shared" si="2"/>
        <v>0</v>
      </c>
      <c r="C40" s="183">
        <f t="shared" si="2"/>
        <v>0</v>
      </c>
      <c r="D40" s="183">
        <f t="shared" si="2"/>
        <v>0</v>
      </c>
      <c r="E40" s="183">
        <f t="shared" si="2"/>
        <v>0</v>
      </c>
      <c r="F40" s="183">
        <f t="shared" si="2"/>
        <v>0</v>
      </c>
      <c r="G40" s="153"/>
      <c r="H40" s="153"/>
      <c r="M40" s="64" t="s">
        <v>1922</v>
      </c>
      <c r="N40" s="61">
        <f>SUMIFS(INDEX(detail_table[],,MATCH(M40,detail_table[#Headers],0)),detail_table[Project Type],"&lt;&gt;"&amp;"")</f>
        <v>0</v>
      </c>
    </row>
    <row r="41" spans="1:14" ht="15" thickBot="1" x14ac:dyDescent="0.4">
      <c r="A41" s="52" t="s">
        <v>143</v>
      </c>
      <c r="B41" s="182">
        <f t="shared" si="2"/>
        <v>0</v>
      </c>
      <c r="C41" s="183">
        <f t="shared" si="2"/>
        <v>0</v>
      </c>
      <c r="D41" s="183">
        <f t="shared" si="2"/>
        <v>0</v>
      </c>
      <c r="E41" s="183">
        <f t="shared" si="2"/>
        <v>0</v>
      </c>
      <c r="F41" s="183">
        <f t="shared" si="2"/>
        <v>0</v>
      </c>
      <c r="G41" s="153"/>
      <c r="H41" s="153"/>
      <c r="M41" s="64" t="s">
        <v>1998</v>
      </c>
      <c r="N41" s="61">
        <f>SUMIFS(INDEX(detail_table[],,MATCH(M41,detail_table[#Headers],0)),detail_table[Project Type],"&lt;&gt;"&amp;"")</f>
        <v>0</v>
      </c>
    </row>
    <row r="42" spans="1:14" ht="15" thickBot="1" x14ac:dyDescent="0.4">
      <c r="A42" s="2" t="s">
        <v>144</v>
      </c>
      <c r="B42" s="182">
        <f t="shared" si="2"/>
        <v>0</v>
      </c>
      <c r="C42" s="182">
        <f t="shared" si="2"/>
        <v>0</v>
      </c>
      <c r="D42" s="182">
        <f t="shared" si="2"/>
        <v>0</v>
      </c>
      <c r="E42" s="182">
        <f t="shared" si="2"/>
        <v>0</v>
      </c>
      <c r="F42" s="182">
        <f t="shared" si="2"/>
        <v>0</v>
      </c>
      <c r="G42" s="153"/>
      <c r="H42" s="153"/>
      <c r="M42" s="64" t="s">
        <v>1999</v>
      </c>
      <c r="N42" s="61">
        <f>SUMIFS(INDEX(detail_table[],,MATCH(M42,detail_table[#Headers],0)),detail_table[Project Type],"&lt;&gt;"&amp;"")</f>
        <v>0</v>
      </c>
    </row>
    <row r="43" spans="1:14" x14ac:dyDescent="0.35">
      <c r="A43" s="38"/>
      <c r="B43" s="205"/>
      <c r="C43" s="205"/>
      <c r="D43" s="205"/>
      <c r="E43" s="205"/>
      <c r="F43" s="205"/>
      <c r="G43" s="153"/>
      <c r="H43" s="153"/>
      <c r="M43" s="64" t="s">
        <v>2000</v>
      </c>
      <c r="N43" s="61">
        <f>SUMIFS(INDEX(detail_table[],,MATCH(M43,detail_table[#Headers],0)),detail_table[Project Type],"&lt;&gt;"&amp;"")</f>
        <v>0</v>
      </c>
    </row>
    <row r="44" spans="1:14" x14ac:dyDescent="0.35">
      <c r="A44" s="227" t="s">
        <v>1912</v>
      </c>
      <c r="B44" s="153"/>
      <c r="C44" s="153"/>
      <c r="D44" s="153"/>
      <c r="E44" s="153"/>
      <c r="F44" s="153"/>
      <c r="G44" s="153"/>
      <c r="H44" s="153"/>
      <c r="M44" s="64" t="s">
        <v>410</v>
      </c>
      <c r="N44" s="61">
        <f>SUMIFS(INDEX(detail_table[],,MATCH(M44,detail_table[#Headers],0)),detail_table[Project Type],"&lt;&gt;"&amp;"")</f>
        <v>0</v>
      </c>
    </row>
    <row r="45" spans="1:14" ht="26.5" thickBot="1" x14ac:dyDescent="0.4">
      <c r="A45" s="186" t="s">
        <v>108</v>
      </c>
      <c r="B45" s="153" t="s">
        <v>98</v>
      </c>
      <c r="C45" s="153"/>
      <c r="D45" s="153"/>
      <c r="E45" s="153"/>
      <c r="F45" s="153"/>
      <c r="G45" s="153"/>
      <c r="H45" s="153"/>
      <c r="M45" s="64" t="s">
        <v>411</v>
      </c>
      <c r="N45" s="61">
        <f>SUMIFS(INDEX(detail_table[],,MATCH(M45,detail_table[#Headers],0)),detail_table[Project Type],"&lt;&gt;"&amp;"")</f>
        <v>0</v>
      </c>
    </row>
    <row r="46" spans="1:14" ht="52.5" thickBot="1" x14ac:dyDescent="0.4">
      <c r="A46" s="23"/>
      <c r="B46" s="3" t="s">
        <v>8</v>
      </c>
      <c r="C46" s="3" t="s">
        <v>0</v>
      </c>
      <c r="D46" s="4" t="s">
        <v>1</v>
      </c>
      <c r="E46" s="3" t="s">
        <v>2</v>
      </c>
      <c r="F46" s="3" t="s">
        <v>3</v>
      </c>
      <c r="G46" s="153"/>
      <c r="H46" s="153"/>
      <c r="M46" s="64" t="s">
        <v>412</v>
      </c>
      <c r="N46" s="61">
        <f>SUMIFS(INDEX(detail_table[],,MATCH(M46,detail_table[#Headers],0)),detail_table[Project Type],"&lt;&gt;"&amp;"")</f>
        <v>0</v>
      </c>
    </row>
    <row r="47" spans="1:14" ht="15" thickBot="1" x14ac:dyDescent="0.4">
      <c r="A47" s="17" t="s">
        <v>54</v>
      </c>
      <c r="B47" s="182">
        <f>INDEX($N$2:$N$1687,MATCH($B$45&amp;" | "&amp;$A47&amp;" | "&amp;B$46,$M$2:$M$1687,0))</f>
        <v>0</v>
      </c>
      <c r="C47" s="183">
        <f>INDEX($N$2:$N$1687,MATCH($B$45&amp;" | "&amp;$A47&amp;" | "&amp;C$46,$M$2:$M$1687,0))</f>
        <v>0</v>
      </c>
      <c r="D47" s="183">
        <f>INDEX($N$2:$N$1687,MATCH($B$45&amp;" | "&amp;$A47&amp;" | "&amp;D$46,$M$2:$M$1687,0))</f>
        <v>0</v>
      </c>
      <c r="E47" s="183">
        <f>INDEX($N$2:$N$1687,MATCH($B$45&amp;" | "&amp;$A47&amp;" | "&amp;E$46,$M$2:$M$1687,0))</f>
        <v>0</v>
      </c>
      <c r="F47" s="183">
        <f>INDEX($N$2:$N$1687,MATCH($B$45&amp;" | "&amp;$A47&amp;" | "&amp;F$46,$M$2:$M$1687,0))</f>
        <v>0</v>
      </c>
      <c r="G47" s="153"/>
      <c r="H47" s="153"/>
      <c r="M47" s="64" t="s">
        <v>413</v>
      </c>
      <c r="N47" s="61">
        <f>SUMIFS(INDEX(detail_table[],,MATCH(M47,detail_table[#Headers],0)),detail_table[Project Type],"&lt;&gt;"&amp;"")</f>
        <v>0</v>
      </c>
    </row>
    <row r="48" spans="1:14" x14ac:dyDescent="0.35">
      <c r="A48" s="55"/>
      <c r="B48" s="57"/>
      <c r="C48" s="56"/>
      <c r="D48" s="56"/>
      <c r="E48" s="56"/>
      <c r="F48" s="56"/>
      <c r="G48" s="153"/>
      <c r="H48" s="153"/>
      <c r="M48" s="64" t="s">
        <v>414</v>
      </c>
      <c r="N48" s="61">
        <f>SUMIFS(INDEX(detail_table[],,MATCH(M48,detail_table[#Headers],0)),detail_table[Project Type],"&lt;&gt;"&amp;"")</f>
        <v>0</v>
      </c>
    </row>
    <row r="49" spans="1:18" ht="52.5" thickBot="1" x14ac:dyDescent="0.4">
      <c r="A49" s="186" t="s">
        <v>109</v>
      </c>
      <c r="B49" s="153" t="s">
        <v>99</v>
      </c>
      <c r="C49" s="153"/>
      <c r="D49" s="153"/>
      <c r="E49" s="153"/>
      <c r="F49" s="153"/>
      <c r="G49" s="153"/>
      <c r="H49" s="153"/>
      <c r="M49" s="64" t="s">
        <v>415</v>
      </c>
      <c r="N49" s="61">
        <f>SUMIFS(INDEX(detail_table[],,MATCH(M49,detail_table[#Headers],0)),detail_table[Project Type],"&lt;&gt;"&amp;"")</f>
        <v>0</v>
      </c>
    </row>
    <row r="50" spans="1:18" ht="52.5" thickBot="1" x14ac:dyDescent="0.4">
      <c r="A50" s="23"/>
      <c r="B50" s="3" t="s">
        <v>8</v>
      </c>
      <c r="C50" s="3" t="s">
        <v>0</v>
      </c>
      <c r="D50" s="4" t="s">
        <v>1</v>
      </c>
      <c r="E50" s="4" t="s">
        <v>2</v>
      </c>
      <c r="F50" s="103" t="s">
        <v>3</v>
      </c>
      <c r="G50" s="153"/>
      <c r="H50" s="153"/>
      <c r="M50" s="64" t="s">
        <v>416</v>
      </c>
      <c r="N50" s="61">
        <f>SUMIFS(INDEX(detail_table[],,MATCH(M50,detail_table[#Headers],0)),detail_table[Project Type],"&lt;&gt;"&amp;"")</f>
        <v>0</v>
      </c>
    </row>
    <row r="51" spans="1:18" ht="15" thickBot="1" x14ac:dyDescent="0.4">
      <c r="A51" s="54" t="s">
        <v>55</v>
      </c>
      <c r="B51" s="185">
        <f t="shared" ref="B51:F54" si="3">INDEX($N$2:$N$1687,MATCH($B$49&amp;" | "&amp;$A51&amp;" | "&amp;B$50,$M$2:$M$1687,0))</f>
        <v>0</v>
      </c>
      <c r="C51" s="183">
        <f t="shared" si="3"/>
        <v>0</v>
      </c>
      <c r="D51" s="183">
        <f t="shared" si="3"/>
        <v>0</v>
      </c>
      <c r="E51" s="183">
        <f t="shared" si="3"/>
        <v>0</v>
      </c>
      <c r="F51" s="183">
        <f t="shared" si="3"/>
        <v>0</v>
      </c>
      <c r="G51" s="153"/>
      <c r="H51" s="153"/>
      <c r="M51" s="64" t="s">
        <v>417</v>
      </c>
      <c r="N51" s="61">
        <f>SUMIFS(INDEX(detail_table[],,MATCH(M51,detail_table[#Headers],0)),detail_table[Project Type],"&lt;&gt;"&amp;"")</f>
        <v>0</v>
      </c>
    </row>
    <row r="52" spans="1:18" ht="15" thickBot="1" x14ac:dyDescent="0.4">
      <c r="A52" s="54" t="s">
        <v>56</v>
      </c>
      <c r="B52" s="185">
        <f t="shared" si="3"/>
        <v>0</v>
      </c>
      <c r="C52" s="183">
        <f t="shared" si="3"/>
        <v>0</v>
      </c>
      <c r="D52" s="183">
        <f t="shared" si="3"/>
        <v>0</v>
      </c>
      <c r="E52" s="183">
        <f t="shared" si="3"/>
        <v>0</v>
      </c>
      <c r="F52" s="183">
        <f t="shared" si="3"/>
        <v>0</v>
      </c>
      <c r="G52" s="153"/>
      <c r="H52" s="153"/>
      <c r="M52" s="64" t="s">
        <v>418</v>
      </c>
      <c r="N52" s="61">
        <f>SUMIFS(INDEX(detail_table[],,MATCH(M52,detail_table[#Headers],0)),detail_table[Project Type],"&lt;&gt;"&amp;"")</f>
        <v>0</v>
      </c>
    </row>
    <row r="53" spans="1:18" ht="15" thickBot="1" x14ac:dyDescent="0.4">
      <c r="A53" s="54" t="s">
        <v>57</v>
      </c>
      <c r="B53" s="185">
        <f t="shared" si="3"/>
        <v>0</v>
      </c>
      <c r="C53" s="183">
        <f t="shared" si="3"/>
        <v>0</v>
      </c>
      <c r="D53" s="183">
        <f t="shared" si="3"/>
        <v>0</v>
      </c>
      <c r="E53" s="183">
        <f t="shared" si="3"/>
        <v>0</v>
      </c>
      <c r="F53" s="183">
        <f t="shared" si="3"/>
        <v>0</v>
      </c>
      <c r="G53" s="153"/>
      <c r="H53" s="153"/>
      <c r="M53" s="64" t="s">
        <v>419</v>
      </c>
      <c r="N53" s="61">
        <f>SUMIFS(INDEX(detail_table[],,MATCH(M53,detail_table[#Headers],0)),detail_table[Project Type],"&lt;&gt;"&amp;"")</f>
        <v>0</v>
      </c>
    </row>
    <row r="54" spans="1:18" ht="15" thickBot="1" x14ac:dyDescent="0.4">
      <c r="A54" s="54" t="s">
        <v>58</v>
      </c>
      <c r="B54" s="185">
        <f t="shared" si="3"/>
        <v>0</v>
      </c>
      <c r="C54" s="183">
        <f t="shared" si="3"/>
        <v>0</v>
      </c>
      <c r="D54" s="183">
        <f t="shared" si="3"/>
        <v>0</v>
      </c>
      <c r="E54" s="183">
        <f t="shared" si="3"/>
        <v>0</v>
      </c>
      <c r="F54" s="183">
        <f t="shared" si="3"/>
        <v>0</v>
      </c>
      <c r="G54" s="153"/>
      <c r="H54" s="153"/>
      <c r="M54" s="64" t="s">
        <v>420</v>
      </c>
      <c r="N54" s="61">
        <f>SUMIFS(INDEX(detail_table[],,MATCH(M54,detail_table[#Headers],0)),detail_table[Project Type],"&lt;&gt;"&amp;"")</f>
        <v>0</v>
      </c>
    </row>
    <row r="55" spans="1:18" x14ac:dyDescent="0.35">
      <c r="A55" s="58"/>
      <c r="B55" s="57"/>
      <c r="C55" s="59"/>
      <c r="D55" s="59"/>
      <c r="E55" s="59"/>
      <c r="F55" s="59"/>
      <c r="G55" s="153"/>
      <c r="H55" s="153"/>
      <c r="M55" s="64" t="s">
        <v>421</v>
      </c>
      <c r="N55" s="61">
        <f>SUMIFS(INDEX(detail_table[],,MATCH(M55,detail_table[#Headers],0)),detail_table[Project Type],"&lt;&gt;"&amp;"")</f>
        <v>0</v>
      </c>
    </row>
    <row r="56" spans="1:18" ht="14.5" customHeight="1" x14ac:dyDescent="0.35">
      <c r="A56" s="227" t="s">
        <v>110</v>
      </c>
      <c r="B56" s="227"/>
      <c r="C56" s="227"/>
      <c r="D56" s="227"/>
      <c r="E56" s="227"/>
      <c r="F56" s="227"/>
      <c r="G56" s="153"/>
      <c r="H56" s="153"/>
      <c r="M56" s="64" t="s">
        <v>422</v>
      </c>
      <c r="N56" s="61">
        <f>SUMIFS(INDEX(detail_table[],,MATCH(M56,detail_table[#Headers],0)),detail_table[Project Type],"&lt;&gt;"&amp;"")</f>
        <v>0</v>
      </c>
    </row>
    <row r="57" spans="1:18" ht="26.5" thickBot="1" x14ac:dyDescent="0.4">
      <c r="A57" s="186" t="s">
        <v>111</v>
      </c>
      <c r="B57" s="153" t="s">
        <v>100</v>
      </c>
      <c r="C57" s="153"/>
      <c r="D57" s="153"/>
      <c r="E57" s="153"/>
      <c r="F57" s="153"/>
      <c r="G57" s="153"/>
      <c r="H57" s="153"/>
      <c r="M57" s="64" t="s">
        <v>423</v>
      </c>
      <c r="N57" s="61">
        <f>SUMIFS(INDEX(detail_table[],,MATCH(M57,detail_table[#Headers],0)),detail_table[Project Type],"&lt;&gt;"&amp;"")</f>
        <v>0</v>
      </c>
    </row>
    <row r="58" spans="1:18" ht="78.5" thickBot="1" x14ac:dyDescent="0.4">
      <c r="A58" s="23"/>
      <c r="B58" s="4" t="s">
        <v>8</v>
      </c>
      <c r="C58" s="3" t="s">
        <v>145</v>
      </c>
      <c r="D58" s="3" t="s">
        <v>368</v>
      </c>
      <c r="E58" s="3" t="s">
        <v>369</v>
      </c>
      <c r="F58" s="3" t="s">
        <v>146</v>
      </c>
      <c r="G58" s="153"/>
      <c r="H58" s="153"/>
      <c r="M58" s="64" t="s">
        <v>424</v>
      </c>
      <c r="N58" s="61">
        <f>SUMIFS(INDEX(detail_table[],,MATCH(M58,detail_table[#Headers],0)),detail_table[Project Type],"&lt;&gt;"&amp;"")</f>
        <v>0</v>
      </c>
    </row>
    <row r="59" spans="1:18" ht="15" thickBot="1" x14ac:dyDescent="0.4">
      <c r="A59" s="52" t="s">
        <v>159</v>
      </c>
      <c r="B59" s="102">
        <f t="shared" ref="B59:F63" si="4">INDEX($N$2:$N$1687,MATCH($B$57&amp;" | "&amp;$A59&amp;" | "&amp;B$58,$M$2:$M$1687,0))</f>
        <v>0</v>
      </c>
      <c r="C59" s="71">
        <f t="shared" si="4"/>
        <v>0</v>
      </c>
      <c r="D59" s="71">
        <f t="shared" si="4"/>
        <v>0</v>
      </c>
      <c r="E59" s="71">
        <f t="shared" si="4"/>
        <v>0</v>
      </c>
      <c r="F59" s="71">
        <f t="shared" si="4"/>
        <v>0</v>
      </c>
      <c r="G59" s="153"/>
      <c r="H59" s="153"/>
      <c r="M59" s="64" t="s">
        <v>425</v>
      </c>
      <c r="N59" s="61">
        <f>SUMIFS(INDEX(detail_table[],,MATCH(M59,detail_table[#Headers],0)),detail_table[Project Type],"&lt;&gt;"&amp;"")</f>
        <v>0</v>
      </c>
    </row>
    <row r="60" spans="1:18" ht="26.5" thickBot="1" x14ac:dyDescent="0.4">
      <c r="A60" s="52" t="s">
        <v>160</v>
      </c>
      <c r="B60" s="102">
        <f t="shared" si="4"/>
        <v>0</v>
      </c>
      <c r="C60" s="71">
        <f t="shared" si="4"/>
        <v>0</v>
      </c>
      <c r="D60" s="71">
        <f t="shared" si="4"/>
        <v>0</v>
      </c>
      <c r="E60" s="71">
        <f t="shared" si="4"/>
        <v>0</v>
      </c>
      <c r="F60" s="71">
        <f t="shared" si="4"/>
        <v>0</v>
      </c>
      <c r="G60" s="153"/>
      <c r="H60" s="153"/>
      <c r="M60" s="64" t="s">
        <v>426</v>
      </c>
      <c r="N60" s="61">
        <f>SUMIFS(INDEX(detail_table[],,MATCH(M60,detail_table[#Headers],0)),detail_table[Project Type],"&lt;&gt;"&amp;"")</f>
        <v>0</v>
      </c>
    </row>
    <row r="61" spans="1:18" ht="26.5" thickBot="1" x14ac:dyDescent="0.4">
      <c r="A61" s="19" t="s">
        <v>161</v>
      </c>
      <c r="B61" s="102">
        <f t="shared" si="4"/>
        <v>0</v>
      </c>
      <c r="C61" s="71">
        <f t="shared" si="4"/>
        <v>0</v>
      </c>
      <c r="D61" s="71">
        <f t="shared" si="4"/>
        <v>0</v>
      </c>
      <c r="E61" s="71">
        <f t="shared" si="4"/>
        <v>0</v>
      </c>
      <c r="F61" s="71">
        <f t="shared" si="4"/>
        <v>0</v>
      </c>
      <c r="G61" s="153"/>
      <c r="H61" s="153"/>
      <c r="M61" s="64" t="s">
        <v>427</v>
      </c>
      <c r="N61" s="61">
        <f>SUMIFS(INDEX(detail_table[],,MATCH(M61,detail_table[#Headers],0)),detail_table[Project Type],"&lt;&gt;"&amp;"")</f>
        <v>0</v>
      </c>
    </row>
    <row r="62" spans="1:18" ht="26.5" thickBot="1" x14ac:dyDescent="0.4">
      <c r="A62" s="20" t="s">
        <v>147</v>
      </c>
      <c r="B62" s="102">
        <f t="shared" si="4"/>
        <v>0</v>
      </c>
      <c r="C62" s="71">
        <f t="shared" si="4"/>
        <v>0</v>
      </c>
      <c r="D62" s="71">
        <f t="shared" si="4"/>
        <v>0</v>
      </c>
      <c r="E62" s="71">
        <f t="shared" si="4"/>
        <v>0</v>
      </c>
      <c r="F62" s="71">
        <f t="shared" si="4"/>
        <v>0</v>
      </c>
      <c r="G62" s="153"/>
      <c r="H62" s="153"/>
      <c r="M62" s="64" t="s">
        <v>428</v>
      </c>
      <c r="N62" s="61">
        <f>SUMIFS(INDEX(detail_table[],,MATCH(M62,detail_table[#Headers],0)),detail_table[Project Type],"&lt;&gt;"&amp;"")</f>
        <v>0</v>
      </c>
    </row>
    <row r="63" spans="1:18" ht="26.5" thickBot="1" x14ac:dyDescent="0.4">
      <c r="A63" s="5" t="s">
        <v>148</v>
      </c>
      <c r="B63" s="102">
        <f t="shared" si="4"/>
        <v>0</v>
      </c>
      <c r="C63" s="102">
        <f t="shared" si="4"/>
        <v>0</v>
      </c>
      <c r="D63" s="102">
        <f t="shared" si="4"/>
        <v>0</v>
      </c>
      <c r="E63" s="102">
        <f t="shared" si="4"/>
        <v>0</v>
      </c>
      <c r="F63" s="102">
        <f t="shared" si="4"/>
        <v>0</v>
      </c>
      <c r="G63" s="153"/>
      <c r="H63" s="153"/>
      <c r="M63" s="64" t="s">
        <v>429</v>
      </c>
      <c r="N63" s="61">
        <f>SUMIFS(INDEX(detail_table[],,MATCH(M63,detail_table[#Headers],0)),detail_table[Project Type],"&lt;&gt;"&amp;"")</f>
        <v>0</v>
      </c>
    </row>
    <row r="64" spans="1:18" x14ac:dyDescent="0.35">
      <c r="A64" s="38"/>
      <c r="B64" s="59"/>
      <c r="C64" s="59"/>
      <c r="D64" s="59"/>
      <c r="E64" s="59"/>
      <c r="F64" s="59"/>
      <c r="G64" s="153"/>
      <c r="H64" s="153"/>
      <c r="M64" s="64" t="s">
        <v>430</v>
      </c>
      <c r="N64" s="61">
        <f>SUMIFS(INDEX(detail_table[],,MATCH(M64,detail_table[#Headers],0)),detail_table[Project Type],"&lt;&gt;"&amp;"")</f>
        <v>0</v>
      </c>
      <c r="R64" s="62"/>
    </row>
    <row r="65" spans="1:18" ht="26.5" thickBot="1" x14ac:dyDescent="0.4">
      <c r="A65" s="186" t="s">
        <v>112</v>
      </c>
      <c r="B65" s="153" t="s">
        <v>101</v>
      </c>
      <c r="C65" s="153"/>
      <c r="D65" s="153"/>
      <c r="E65" s="153"/>
      <c r="F65" s="153"/>
      <c r="G65" s="153"/>
      <c r="H65" s="153"/>
      <c r="M65" s="64" t="s">
        <v>431</v>
      </c>
      <c r="N65" s="61">
        <f>SUMIFS(INDEX(detail_table[],,MATCH(M65,detail_table[#Headers],0)),detail_table[Project Type],"&lt;&gt;"&amp;"")</f>
        <v>0</v>
      </c>
      <c r="Q65" s="63"/>
    </row>
    <row r="66" spans="1:18" s="62" customFormat="1" ht="78.5" thickBot="1" x14ac:dyDescent="0.4">
      <c r="A66" s="23"/>
      <c r="B66" s="4" t="s">
        <v>8</v>
      </c>
      <c r="C66" s="3" t="s">
        <v>145</v>
      </c>
      <c r="D66" s="3" t="s">
        <v>368</v>
      </c>
      <c r="E66" s="3" t="s">
        <v>369</v>
      </c>
      <c r="F66" s="3" t="s">
        <v>146</v>
      </c>
      <c r="G66" s="153"/>
      <c r="H66" s="153"/>
      <c r="K66" s="63"/>
      <c r="L66" s="63"/>
      <c r="M66" s="64" t="s">
        <v>432</v>
      </c>
      <c r="N66" s="61">
        <f>SUMIFS(INDEX(detail_table[],,MATCH(M66,detail_table[#Headers],0)),detail_table[Project Type],"&lt;&gt;"&amp;"")</f>
        <v>0</v>
      </c>
      <c r="O66" s="63"/>
      <c r="P66" s="63"/>
      <c r="Q66" s="61"/>
      <c r="R66" s="61"/>
    </row>
    <row r="67" spans="1:18" ht="26.5" thickBot="1" x14ac:dyDescent="0.4">
      <c r="A67" s="52" t="s">
        <v>162</v>
      </c>
      <c r="B67" s="102">
        <f t="shared" ref="B67:F72" si="5">INDEX($N$2:$N$1687,MATCH($B$65&amp;" | "&amp;$A67&amp;" | "&amp;B$66,$M$2:$M$1687,0))</f>
        <v>0</v>
      </c>
      <c r="C67" s="71">
        <f t="shared" si="5"/>
        <v>0</v>
      </c>
      <c r="D67" s="71">
        <f t="shared" si="5"/>
        <v>0</v>
      </c>
      <c r="E67" s="71">
        <f t="shared" si="5"/>
        <v>0</v>
      </c>
      <c r="F67" s="71">
        <f t="shared" si="5"/>
        <v>0</v>
      </c>
      <c r="G67" s="194"/>
      <c r="H67" s="194"/>
      <c r="M67" s="64" t="s">
        <v>433</v>
      </c>
      <c r="N67" s="61">
        <f>SUMIFS(INDEX(detail_table[],,MATCH(M67,detail_table[#Headers],0)),detail_table[Project Type],"&lt;&gt;"&amp;"")</f>
        <v>0</v>
      </c>
      <c r="R67" s="63"/>
    </row>
    <row r="68" spans="1:18" ht="26.5" thickBot="1" x14ac:dyDescent="0.4">
      <c r="A68" s="52" t="s">
        <v>163</v>
      </c>
      <c r="B68" s="102">
        <f t="shared" si="5"/>
        <v>0</v>
      </c>
      <c r="C68" s="71">
        <f t="shared" si="5"/>
        <v>0</v>
      </c>
      <c r="D68" s="71">
        <f t="shared" si="5"/>
        <v>0</v>
      </c>
      <c r="E68" s="71">
        <f t="shared" si="5"/>
        <v>0</v>
      </c>
      <c r="F68" s="71">
        <f t="shared" si="5"/>
        <v>0</v>
      </c>
      <c r="G68" s="153"/>
      <c r="H68" s="153"/>
      <c r="M68" s="64" t="s">
        <v>434</v>
      </c>
      <c r="N68" s="61">
        <f>SUMIFS(INDEX(detail_table[],,MATCH(M68,detail_table[#Headers],0)),detail_table[Project Type],"&lt;&gt;"&amp;"")</f>
        <v>0</v>
      </c>
    </row>
    <row r="69" spans="1:18" s="63" customFormat="1" ht="26.5" thickBot="1" x14ac:dyDescent="0.4">
      <c r="A69" s="52" t="s">
        <v>164</v>
      </c>
      <c r="B69" s="102">
        <f t="shared" si="5"/>
        <v>0</v>
      </c>
      <c r="C69" s="71">
        <f t="shared" si="5"/>
        <v>0</v>
      </c>
      <c r="D69" s="71">
        <f t="shared" si="5"/>
        <v>0</v>
      </c>
      <c r="E69" s="71">
        <f t="shared" si="5"/>
        <v>0</v>
      </c>
      <c r="F69" s="71">
        <f t="shared" si="5"/>
        <v>0</v>
      </c>
      <c r="G69" s="153"/>
      <c r="H69" s="153"/>
      <c r="K69" s="61"/>
      <c r="L69" s="61"/>
      <c r="M69" s="64" t="s">
        <v>435</v>
      </c>
      <c r="N69" s="61">
        <f>SUMIFS(INDEX(detail_table[],,MATCH(M69,detail_table[#Headers],0)),detail_table[Project Type],"&lt;&gt;"&amp;"")</f>
        <v>0</v>
      </c>
      <c r="O69" s="61"/>
      <c r="P69" s="61"/>
      <c r="Q69" s="61"/>
      <c r="R69" s="61"/>
    </row>
    <row r="70" spans="1:18" ht="26.5" thickBot="1" x14ac:dyDescent="0.4">
      <c r="A70" s="52" t="s">
        <v>149</v>
      </c>
      <c r="B70" s="102">
        <f t="shared" si="5"/>
        <v>0</v>
      </c>
      <c r="C70" s="71">
        <f t="shared" si="5"/>
        <v>0</v>
      </c>
      <c r="D70" s="71">
        <f t="shared" si="5"/>
        <v>0</v>
      </c>
      <c r="E70" s="71">
        <f t="shared" si="5"/>
        <v>0</v>
      </c>
      <c r="F70" s="71">
        <f t="shared" si="5"/>
        <v>0</v>
      </c>
      <c r="G70" s="153"/>
      <c r="H70" s="153"/>
      <c r="M70" s="64" t="s">
        <v>436</v>
      </c>
      <c r="N70" s="61">
        <f>SUMIFS(INDEX(detail_table[],,MATCH(M70,detail_table[#Headers],0)),detail_table[Project Type],"&lt;&gt;"&amp;"")</f>
        <v>0</v>
      </c>
    </row>
    <row r="71" spans="1:18" ht="26.5" thickBot="1" x14ac:dyDescent="0.4">
      <c r="A71" s="2" t="s">
        <v>150</v>
      </c>
      <c r="B71" s="102">
        <f t="shared" si="5"/>
        <v>0</v>
      </c>
      <c r="C71" s="102">
        <f t="shared" si="5"/>
        <v>0</v>
      </c>
      <c r="D71" s="102">
        <f t="shared" si="5"/>
        <v>0</v>
      </c>
      <c r="E71" s="102">
        <f t="shared" si="5"/>
        <v>0</v>
      </c>
      <c r="F71" s="102">
        <f t="shared" si="5"/>
        <v>0</v>
      </c>
      <c r="G71" s="153"/>
      <c r="H71" s="153"/>
      <c r="M71" s="64" t="s">
        <v>437</v>
      </c>
      <c r="N71" s="61">
        <f>SUMIFS(INDEX(detail_table[],,MATCH(M71,detail_table[#Headers],0)),detail_table[Project Type],"&lt;&gt;"&amp;"")</f>
        <v>0</v>
      </c>
    </row>
    <row r="72" spans="1:18" ht="26.5" thickBot="1" x14ac:dyDescent="0.4">
      <c r="A72" s="2" t="s">
        <v>151</v>
      </c>
      <c r="B72" s="178" t="str">
        <f t="shared" si="5"/>
        <v>N/A</v>
      </c>
      <c r="C72" s="178" t="str">
        <f t="shared" si="5"/>
        <v>N/A</v>
      </c>
      <c r="D72" s="178" t="str">
        <f t="shared" si="5"/>
        <v>N/A</v>
      </c>
      <c r="E72" s="178" t="str">
        <f t="shared" si="5"/>
        <v>N/A</v>
      </c>
      <c r="F72" s="178" t="str">
        <f t="shared" si="5"/>
        <v>N/A</v>
      </c>
      <c r="G72" s="153"/>
      <c r="H72" s="153"/>
      <c r="M72" s="64" t="s">
        <v>438</v>
      </c>
      <c r="N72" s="61">
        <f>SUMIFS(INDEX(detail_table[],,MATCH(M72,detail_table[#Headers],0)),detail_table[Project Type],"&lt;&gt;"&amp;"")</f>
        <v>0</v>
      </c>
    </row>
    <row r="73" spans="1:18" x14ac:dyDescent="0.35">
      <c r="A73" s="38"/>
      <c r="B73" s="59"/>
      <c r="C73" s="59"/>
      <c r="D73" s="59"/>
      <c r="E73" s="59"/>
      <c r="F73" s="59"/>
      <c r="G73" s="153"/>
      <c r="H73" s="153"/>
      <c r="M73" s="64" t="s">
        <v>439</v>
      </c>
      <c r="N73" s="61">
        <f>SUMIFS(INDEX(detail_table[],,MATCH(M73,detail_table[#Headers],0)),detail_table[Project Type],"&lt;&gt;"&amp;"")</f>
        <v>0</v>
      </c>
    </row>
    <row r="74" spans="1:18" x14ac:dyDescent="0.35">
      <c r="A74" s="227" t="s">
        <v>59</v>
      </c>
      <c r="B74" s="153"/>
      <c r="C74" s="153"/>
      <c r="D74" s="153"/>
      <c r="E74" s="153"/>
      <c r="F74" s="153"/>
      <c r="G74" s="153"/>
      <c r="H74" s="153"/>
      <c r="M74" s="64" t="s">
        <v>440</v>
      </c>
      <c r="N74" s="61">
        <f>SUMIFS(INDEX(detail_table[],,MATCH(M74,detail_table[#Headers],0)),detail_table[Project Type],"&lt;&gt;"&amp;"")</f>
        <v>0</v>
      </c>
    </row>
    <row r="75" spans="1:18" ht="15" thickBot="1" x14ac:dyDescent="0.4">
      <c r="A75" s="186" t="s">
        <v>60</v>
      </c>
      <c r="B75" s="153" t="s">
        <v>75</v>
      </c>
      <c r="C75" s="153"/>
      <c r="D75" s="153"/>
      <c r="E75" s="153"/>
      <c r="F75" s="153"/>
      <c r="G75" s="153"/>
      <c r="H75" s="153"/>
      <c r="M75" s="64" t="s">
        <v>441</v>
      </c>
      <c r="N75" s="61">
        <f>SUMIFS(INDEX(detail_table[],,MATCH(M75,detail_table[#Headers],0)),detail_table[Project Type],"&lt;&gt;"&amp;"")</f>
        <v>0</v>
      </c>
    </row>
    <row r="76" spans="1:18" ht="39.5" thickBot="1" x14ac:dyDescent="0.4">
      <c r="A76" s="118"/>
      <c r="B76" s="119" t="s">
        <v>8</v>
      </c>
      <c r="C76" s="120" t="s">
        <v>0</v>
      </c>
      <c r="D76" s="120" t="s">
        <v>1</v>
      </c>
      <c r="E76" s="120" t="s">
        <v>137</v>
      </c>
      <c r="F76" s="153"/>
      <c r="G76" s="153"/>
      <c r="H76" s="153"/>
      <c r="M76" s="64" t="s">
        <v>442</v>
      </c>
      <c r="N76" s="61">
        <f>SUMIFS(INDEX(detail_table[],,MATCH(M76,detail_table[#Headers],0)),detail_table[Project Type],"&lt;&gt;"&amp;"")</f>
        <v>0</v>
      </c>
    </row>
    <row r="77" spans="1:18" ht="15" thickBot="1" x14ac:dyDescent="0.4">
      <c r="A77" s="52" t="s">
        <v>152</v>
      </c>
      <c r="B77" s="107">
        <f t="shared" ref="B77:E84" si="6">INDEX($N$2:$N$1687,MATCH($B$75&amp;" | "&amp;$A77&amp;" | "&amp;B$76,$M$2:$M$1687,0))</f>
        <v>0</v>
      </c>
      <c r="C77" s="71">
        <f t="shared" si="6"/>
        <v>0</v>
      </c>
      <c r="D77" s="71">
        <f t="shared" si="6"/>
        <v>0</v>
      </c>
      <c r="E77" s="71">
        <f t="shared" si="6"/>
        <v>0</v>
      </c>
      <c r="F77" s="153"/>
      <c r="G77" s="153"/>
      <c r="H77" s="153"/>
      <c r="M77" s="64" t="s">
        <v>443</v>
      </c>
      <c r="N77" s="61">
        <f>SUMIFS(INDEX(detail_table[],,MATCH(M77,detail_table[#Headers],0)),detail_table[Project Type],"&lt;&gt;"&amp;"")</f>
        <v>0</v>
      </c>
    </row>
    <row r="78" spans="1:18" ht="15" thickBot="1" x14ac:dyDescent="0.4">
      <c r="A78" s="52" t="s">
        <v>153</v>
      </c>
      <c r="B78" s="107">
        <f t="shared" si="6"/>
        <v>0</v>
      </c>
      <c r="C78" s="71">
        <f t="shared" si="6"/>
        <v>0</v>
      </c>
      <c r="D78" s="71">
        <f t="shared" si="6"/>
        <v>0</v>
      </c>
      <c r="E78" s="71">
        <f t="shared" si="6"/>
        <v>0</v>
      </c>
      <c r="F78" s="153"/>
      <c r="G78" s="153"/>
      <c r="H78" s="153"/>
      <c r="M78" s="64" t="s">
        <v>444</v>
      </c>
      <c r="N78" s="61">
        <f>SUMIFS(INDEX(detail_table[],,MATCH(M78,detail_table[#Headers],0)),detail_table[Project Type],"&lt;&gt;"&amp;"")</f>
        <v>0</v>
      </c>
    </row>
    <row r="79" spans="1:18" ht="26.5" thickBot="1" x14ac:dyDescent="0.4">
      <c r="A79" s="52" t="s">
        <v>154</v>
      </c>
      <c r="B79" s="107">
        <f t="shared" si="6"/>
        <v>0</v>
      </c>
      <c r="C79" s="71">
        <f t="shared" si="6"/>
        <v>0</v>
      </c>
      <c r="D79" s="71">
        <f t="shared" si="6"/>
        <v>0</v>
      </c>
      <c r="E79" s="71">
        <f t="shared" si="6"/>
        <v>0</v>
      </c>
      <c r="F79" s="153"/>
      <c r="G79" s="153"/>
      <c r="H79" s="153"/>
      <c r="M79" s="64" t="s">
        <v>445</v>
      </c>
      <c r="N79" s="61">
        <f>SUMIFS(INDEX(detail_table[],,MATCH(M79,detail_table[#Headers],0)),detail_table[Project Type],"&lt;&gt;"&amp;"")</f>
        <v>0</v>
      </c>
    </row>
    <row r="80" spans="1:18" ht="26.5" thickBot="1" x14ac:dyDescent="0.4">
      <c r="A80" s="52" t="s">
        <v>138</v>
      </c>
      <c r="B80" s="107">
        <f t="shared" si="6"/>
        <v>0</v>
      </c>
      <c r="C80" s="71">
        <f t="shared" si="6"/>
        <v>0</v>
      </c>
      <c r="D80" s="71">
        <f t="shared" si="6"/>
        <v>0</v>
      </c>
      <c r="E80" s="71">
        <f t="shared" si="6"/>
        <v>0</v>
      </c>
      <c r="F80" s="153"/>
      <c r="G80" s="153"/>
      <c r="H80" s="153"/>
      <c r="M80" s="64" t="s">
        <v>446</v>
      </c>
      <c r="N80" s="61">
        <f>SUMIFS(INDEX(detail_table[],,MATCH(M80,detail_table[#Headers],0)),detail_table[Project Type],"&lt;&gt;"&amp;"")</f>
        <v>0</v>
      </c>
    </row>
    <row r="81" spans="1:14" ht="15" thickBot="1" x14ac:dyDescent="0.4">
      <c r="A81" s="52" t="s">
        <v>139</v>
      </c>
      <c r="B81" s="107">
        <f t="shared" si="6"/>
        <v>0</v>
      </c>
      <c r="C81" s="71">
        <f t="shared" si="6"/>
        <v>0</v>
      </c>
      <c r="D81" s="71">
        <f t="shared" si="6"/>
        <v>0</v>
      </c>
      <c r="E81" s="71">
        <f t="shared" si="6"/>
        <v>0</v>
      </c>
      <c r="F81" s="153"/>
      <c r="G81" s="153"/>
      <c r="H81" s="153"/>
      <c r="M81" s="64" t="s">
        <v>447</v>
      </c>
      <c r="N81" s="61">
        <f>SUMIFS(INDEX(detail_table[],,MATCH(M81,detail_table[#Headers],0)),detail_table[Project Type],"&lt;&gt;"&amp;"")</f>
        <v>0</v>
      </c>
    </row>
    <row r="82" spans="1:14" ht="15" thickBot="1" x14ac:dyDescent="0.4">
      <c r="A82" s="52" t="s">
        <v>140</v>
      </c>
      <c r="B82" s="107">
        <f t="shared" si="6"/>
        <v>0</v>
      </c>
      <c r="C82" s="71">
        <f t="shared" si="6"/>
        <v>0</v>
      </c>
      <c r="D82" s="71">
        <f t="shared" si="6"/>
        <v>0</v>
      </c>
      <c r="E82" s="71">
        <f t="shared" si="6"/>
        <v>0</v>
      </c>
      <c r="F82" s="153"/>
      <c r="G82" s="153"/>
      <c r="H82" s="153"/>
      <c r="M82" s="64" t="s">
        <v>448</v>
      </c>
      <c r="N82" s="61">
        <f>SUMIFS(INDEX(detail_table[],,MATCH(M82,detail_table[#Headers],0)),detail_table[Project Type],"&lt;&gt;"&amp;"")</f>
        <v>0</v>
      </c>
    </row>
    <row r="83" spans="1:14" ht="15" thickBot="1" x14ac:dyDescent="0.4">
      <c r="A83" s="52" t="s">
        <v>141</v>
      </c>
      <c r="B83" s="107">
        <f t="shared" si="6"/>
        <v>0</v>
      </c>
      <c r="C83" s="71">
        <f t="shared" si="6"/>
        <v>0</v>
      </c>
      <c r="D83" s="71">
        <f t="shared" si="6"/>
        <v>0</v>
      </c>
      <c r="E83" s="71">
        <f t="shared" si="6"/>
        <v>0</v>
      </c>
      <c r="F83" s="153"/>
      <c r="G83" s="153"/>
      <c r="H83" s="153"/>
      <c r="M83" s="64" t="s">
        <v>449</v>
      </c>
      <c r="N83" s="61">
        <f>SUMIFS(INDEX(detail_table[],,MATCH(M83,detail_table[#Headers],0)),detail_table[Project Type],"&lt;&gt;"&amp;"")</f>
        <v>0</v>
      </c>
    </row>
    <row r="84" spans="1:14" ht="15" thickBot="1" x14ac:dyDescent="0.4">
      <c r="A84" s="2" t="s">
        <v>142</v>
      </c>
      <c r="B84" s="107">
        <f t="shared" si="6"/>
        <v>0</v>
      </c>
      <c r="C84" s="107">
        <f t="shared" si="6"/>
        <v>0</v>
      </c>
      <c r="D84" s="107">
        <f t="shared" si="6"/>
        <v>0</v>
      </c>
      <c r="E84" s="107">
        <f t="shared" si="6"/>
        <v>0</v>
      </c>
      <c r="F84" s="153"/>
      <c r="G84" s="153"/>
      <c r="H84" s="153"/>
      <c r="M84" s="64" t="s">
        <v>450</v>
      </c>
      <c r="N84" s="61">
        <f>SUMIFS(INDEX(detail_table[],,MATCH(M84,detail_table[#Headers],0)),detail_table[Project Type],"&lt;&gt;"&amp;"")</f>
        <v>0</v>
      </c>
    </row>
    <row r="85" spans="1:14" x14ac:dyDescent="0.35">
      <c r="A85" s="38"/>
      <c r="B85" s="59"/>
      <c r="C85" s="59"/>
      <c r="D85" s="59"/>
      <c r="E85" s="59"/>
      <c r="F85" s="153"/>
      <c r="G85" s="153"/>
      <c r="H85" s="153"/>
      <c r="M85" s="64" t="s">
        <v>451</v>
      </c>
      <c r="N85" s="61">
        <f>SUMIFS(INDEX(detail_table[],,MATCH(M85,detail_table[#Headers],0)),detail_table[Project Type],"&lt;&gt;"&amp;"")</f>
        <v>0</v>
      </c>
    </row>
    <row r="86" spans="1:14" ht="26.5" thickBot="1" x14ac:dyDescent="0.4">
      <c r="A86" s="186" t="s">
        <v>61</v>
      </c>
      <c r="B86" s="153" t="s">
        <v>76</v>
      </c>
      <c r="C86" s="153"/>
      <c r="D86" s="153"/>
      <c r="E86" s="153"/>
      <c r="F86" s="153"/>
      <c r="G86" s="153"/>
      <c r="H86" s="153"/>
      <c r="M86" s="64" t="s">
        <v>452</v>
      </c>
      <c r="N86" s="61">
        <f>SUMIFS(INDEX(detail_table[],,MATCH(M86,detail_table[#Headers],0)),detail_table[Project Type],"&lt;&gt;"&amp;"")</f>
        <v>0</v>
      </c>
    </row>
    <row r="87" spans="1:14" ht="39.5" thickBot="1" x14ac:dyDescent="0.4">
      <c r="A87" s="118"/>
      <c r="B87" s="119" t="s">
        <v>8</v>
      </c>
      <c r="C87" s="120" t="s">
        <v>180</v>
      </c>
      <c r="D87" s="120" t="s">
        <v>181</v>
      </c>
      <c r="E87" s="120" t="s">
        <v>137</v>
      </c>
      <c r="F87" s="153"/>
      <c r="G87" s="153"/>
      <c r="H87" s="153"/>
      <c r="M87" s="64" t="s">
        <v>453</v>
      </c>
      <c r="N87" s="61">
        <f>SUMIFS(INDEX(detail_table[],,MATCH(M87,detail_table[#Headers],0)),detail_table[Project Type],"&lt;&gt;"&amp;"")</f>
        <v>0</v>
      </c>
    </row>
    <row r="88" spans="1:14" ht="15" thickBot="1" x14ac:dyDescent="0.4">
      <c r="A88" s="52" t="s">
        <v>152</v>
      </c>
      <c r="B88" s="107">
        <f t="shared" ref="B88:E95" si="7">INDEX($N$2:$N$1687,MATCH($B$86&amp;" | "&amp;$A88&amp;" | "&amp;B$87,$M$2:$M$1687,0))</f>
        <v>0</v>
      </c>
      <c r="C88" s="71">
        <f t="shared" si="7"/>
        <v>0</v>
      </c>
      <c r="D88" s="71">
        <f t="shared" si="7"/>
        <v>0</v>
      </c>
      <c r="E88" s="71">
        <f t="shared" si="7"/>
        <v>0</v>
      </c>
      <c r="F88" s="153"/>
      <c r="G88" s="153"/>
      <c r="H88" s="153"/>
      <c r="M88" s="64" t="s">
        <v>454</v>
      </c>
      <c r="N88" s="61">
        <f>SUMIFS(INDEX(detail_table[],,MATCH(M88,detail_table[#Headers],0)),detail_table[Project Type],"&lt;&gt;"&amp;"")</f>
        <v>0</v>
      </c>
    </row>
    <row r="89" spans="1:14" ht="15" thickBot="1" x14ac:dyDescent="0.4">
      <c r="A89" s="52" t="s">
        <v>153</v>
      </c>
      <c r="B89" s="107">
        <f t="shared" si="7"/>
        <v>0</v>
      </c>
      <c r="C89" s="71">
        <f t="shared" si="7"/>
        <v>0</v>
      </c>
      <c r="D89" s="71">
        <f t="shared" si="7"/>
        <v>0</v>
      </c>
      <c r="E89" s="71">
        <f t="shared" si="7"/>
        <v>0</v>
      </c>
      <c r="F89" s="153"/>
      <c r="G89" s="153"/>
      <c r="H89" s="153"/>
      <c r="M89" s="64" t="s">
        <v>455</v>
      </c>
      <c r="N89" s="61">
        <f>SUMIFS(INDEX(detail_table[],,MATCH(M89,detail_table[#Headers],0)),detail_table[Project Type],"&lt;&gt;"&amp;"")</f>
        <v>0</v>
      </c>
    </row>
    <row r="90" spans="1:14" ht="26.5" thickBot="1" x14ac:dyDescent="0.4">
      <c r="A90" s="52" t="s">
        <v>154</v>
      </c>
      <c r="B90" s="107">
        <f t="shared" si="7"/>
        <v>0</v>
      </c>
      <c r="C90" s="71">
        <f t="shared" si="7"/>
        <v>0</v>
      </c>
      <c r="D90" s="71">
        <f t="shared" si="7"/>
        <v>0</v>
      </c>
      <c r="E90" s="71">
        <f t="shared" si="7"/>
        <v>0</v>
      </c>
      <c r="F90" s="153"/>
      <c r="G90" s="153"/>
      <c r="H90" s="153"/>
      <c r="M90" s="64" t="s">
        <v>456</v>
      </c>
      <c r="N90" s="61">
        <f>SUMIFS(INDEX(detail_table[],,MATCH(M90,detail_table[#Headers],0)),detail_table[Project Type],"&lt;&gt;"&amp;"")</f>
        <v>0</v>
      </c>
    </row>
    <row r="91" spans="1:14" ht="26.5" thickBot="1" x14ac:dyDescent="0.4">
      <c r="A91" s="52" t="s">
        <v>138</v>
      </c>
      <c r="B91" s="107">
        <f t="shared" si="7"/>
        <v>0</v>
      </c>
      <c r="C91" s="71">
        <f t="shared" si="7"/>
        <v>0</v>
      </c>
      <c r="D91" s="71">
        <f t="shared" si="7"/>
        <v>0</v>
      </c>
      <c r="E91" s="71">
        <f t="shared" si="7"/>
        <v>0</v>
      </c>
      <c r="F91" s="153"/>
      <c r="G91" s="153"/>
      <c r="H91" s="153"/>
      <c r="M91" s="64" t="s">
        <v>457</v>
      </c>
      <c r="N91" s="61">
        <f>SUMIFS(INDEX(detail_table[],,MATCH(M91,detail_table[#Headers],0)),detail_table[Project Type],"&lt;&gt;"&amp;"")</f>
        <v>0</v>
      </c>
    </row>
    <row r="92" spans="1:14" ht="15" thickBot="1" x14ac:dyDescent="0.4">
      <c r="A92" s="52" t="s">
        <v>139</v>
      </c>
      <c r="B92" s="107">
        <f t="shared" si="7"/>
        <v>0</v>
      </c>
      <c r="C92" s="71">
        <f t="shared" si="7"/>
        <v>0</v>
      </c>
      <c r="D92" s="71">
        <f t="shared" si="7"/>
        <v>0</v>
      </c>
      <c r="E92" s="71">
        <f t="shared" si="7"/>
        <v>0</v>
      </c>
      <c r="F92" s="153"/>
      <c r="G92" s="153"/>
      <c r="H92" s="153"/>
      <c r="M92" s="64" t="s">
        <v>458</v>
      </c>
      <c r="N92" s="61">
        <f>SUMIFS(INDEX(detail_table[],,MATCH(M92,detail_table[#Headers],0)),detail_table[Project Type],"&lt;&gt;"&amp;"")</f>
        <v>0</v>
      </c>
    </row>
    <row r="93" spans="1:14" ht="15" thickBot="1" x14ac:dyDescent="0.4">
      <c r="A93" s="52" t="s">
        <v>140</v>
      </c>
      <c r="B93" s="107">
        <f t="shared" si="7"/>
        <v>0</v>
      </c>
      <c r="C93" s="71">
        <f t="shared" si="7"/>
        <v>0</v>
      </c>
      <c r="D93" s="71">
        <f t="shared" si="7"/>
        <v>0</v>
      </c>
      <c r="E93" s="71">
        <f t="shared" si="7"/>
        <v>0</v>
      </c>
      <c r="F93" s="153"/>
      <c r="G93" s="153"/>
      <c r="H93" s="153"/>
      <c r="M93" s="64" t="s">
        <v>459</v>
      </c>
      <c r="N93" s="61">
        <f>SUMIFS(INDEX(detail_table[],,MATCH(M93,detail_table[#Headers],0)),detail_table[Project Type],"&lt;&gt;"&amp;"")</f>
        <v>0</v>
      </c>
    </row>
    <row r="94" spans="1:14" ht="15" thickBot="1" x14ac:dyDescent="0.4">
      <c r="A94" s="52" t="s">
        <v>141</v>
      </c>
      <c r="B94" s="107">
        <f t="shared" si="7"/>
        <v>0</v>
      </c>
      <c r="C94" s="71">
        <f t="shared" si="7"/>
        <v>0</v>
      </c>
      <c r="D94" s="71">
        <f t="shared" si="7"/>
        <v>0</v>
      </c>
      <c r="E94" s="71">
        <f t="shared" si="7"/>
        <v>0</v>
      </c>
      <c r="F94" s="153"/>
      <c r="G94" s="153"/>
      <c r="H94" s="153"/>
      <c r="M94" s="64" t="s">
        <v>460</v>
      </c>
      <c r="N94" s="61">
        <f>SUMIFS(INDEX(detail_table[],,MATCH(M94,detail_table[#Headers],0)),detail_table[Project Type],"&lt;&gt;"&amp;"")</f>
        <v>0</v>
      </c>
    </row>
    <row r="95" spans="1:14" ht="15" thickBot="1" x14ac:dyDescent="0.4">
      <c r="A95" s="2" t="s">
        <v>142</v>
      </c>
      <c r="B95" s="107">
        <f t="shared" si="7"/>
        <v>0</v>
      </c>
      <c r="C95" s="107">
        <f t="shared" si="7"/>
        <v>0</v>
      </c>
      <c r="D95" s="107">
        <f t="shared" si="7"/>
        <v>0</v>
      </c>
      <c r="E95" s="107">
        <f t="shared" si="7"/>
        <v>0</v>
      </c>
      <c r="F95" s="153"/>
      <c r="G95" s="153"/>
      <c r="H95" s="153"/>
      <c r="M95" s="64" t="s">
        <v>461</v>
      </c>
      <c r="N95" s="61">
        <f>SUMIFS(INDEX(detail_table[],,MATCH(M95,detail_table[#Headers],0)),detail_table[Project Type],"&lt;&gt;"&amp;"")</f>
        <v>0</v>
      </c>
    </row>
    <row r="96" spans="1:14" x14ac:dyDescent="0.35">
      <c r="A96" s="38"/>
      <c r="B96" s="226"/>
      <c r="C96" s="226"/>
      <c r="D96" s="226"/>
      <c r="E96" s="226"/>
      <c r="F96" s="153"/>
      <c r="G96" s="153"/>
      <c r="H96" s="153"/>
      <c r="M96" s="64" t="s">
        <v>462</v>
      </c>
      <c r="N96" s="61">
        <f>SUMIFS(INDEX(detail_table[],,MATCH(M96,detail_table[#Headers],0)),detail_table[Project Type],"&lt;&gt;"&amp;"")</f>
        <v>0</v>
      </c>
    </row>
    <row r="97" spans="1:18" ht="39.5" thickBot="1" x14ac:dyDescent="0.4">
      <c r="A97" s="186" t="s">
        <v>113</v>
      </c>
      <c r="B97" s="153" t="s">
        <v>77</v>
      </c>
      <c r="C97" s="153"/>
      <c r="D97" s="153"/>
      <c r="E97" s="153"/>
      <c r="F97" s="153"/>
      <c r="G97" s="153"/>
      <c r="H97" s="153"/>
      <c r="M97" s="64" t="s">
        <v>463</v>
      </c>
      <c r="N97" s="61">
        <f>SUMIFS(INDEX(detail_table[],,MATCH(M97,detail_table[#Headers],0)),detail_table[Project Type],"&lt;&gt;"&amp;"")</f>
        <v>0</v>
      </c>
    </row>
    <row r="98" spans="1:18" ht="52.5" thickBot="1" x14ac:dyDescent="0.4">
      <c r="A98" s="23"/>
      <c r="B98" s="3" t="s">
        <v>8</v>
      </c>
      <c r="C98" s="3" t="s">
        <v>0</v>
      </c>
      <c r="D98" s="3" t="s">
        <v>1</v>
      </c>
      <c r="E98" s="3" t="s">
        <v>2</v>
      </c>
      <c r="F98" s="3" t="s">
        <v>3</v>
      </c>
      <c r="G98" s="153"/>
      <c r="H98" s="153"/>
      <c r="M98" s="64" t="s">
        <v>464</v>
      </c>
      <c r="N98" s="61">
        <f>SUMIFS(INDEX(detail_table[],,MATCH(M98,detail_table[#Headers],0)),detail_table[Project Type],"&lt;&gt;"&amp;"")</f>
        <v>0</v>
      </c>
    </row>
    <row r="99" spans="1:18" ht="15" thickBot="1" x14ac:dyDescent="0.4">
      <c r="A99" s="23" t="s">
        <v>152</v>
      </c>
      <c r="B99" s="108">
        <f t="shared" ref="B99:F106" si="8">INDEX($N$2:$N$1687,MATCH($B$97&amp;" | "&amp;$A99&amp;" | "&amp;B$98,$M$2:$M$1687,0))</f>
        <v>0</v>
      </c>
      <c r="C99" s="106">
        <f t="shared" si="8"/>
        <v>0</v>
      </c>
      <c r="D99" s="106">
        <f t="shared" si="8"/>
        <v>0</v>
      </c>
      <c r="E99" s="106">
        <f t="shared" si="8"/>
        <v>0</v>
      </c>
      <c r="F99" s="106">
        <f t="shared" si="8"/>
        <v>0</v>
      </c>
      <c r="G99" s="153"/>
      <c r="H99" s="153"/>
      <c r="M99" s="64" t="s">
        <v>465</v>
      </c>
      <c r="N99" s="61">
        <f>SUMIFS(INDEX(detail_table[],,MATCH(M99,detail_table[#Headers],0)),detail_table[Project Type],"&lt;&gt;"&amp;"")</f>
        <v>0</v>
      </c>
    </row>
    <row r="100" spans="1:18" ht="15" thickBot="1" x14ac:dyDescent="0.4">
      <c r="A100" s="23" t="s">
        <v>153</v>
      </c>
      <c r="B100" s="108">
        <f t="shared" si="8"/>
        <v>0</v>
      </c>
      <c r="C100" s="106">
        <f t="shared" si="8"/>
        <v>0</v>
      </c>
      <c r="D100" s="106">
        <f t="shared" si="8"/>
        <v>0</v>
      </c>
      <c r="E100" s="106">
        <f t="shared" si="8"/>
        <v>0</v>
      </c>
      <c r="F100" s="106">
        <f t="shared" si="8"/>
        <v>0</v>
      </c>
      <c r="G100" s="153"/>
      <c r="H100" s="153"/>
      <c r="M100" s="64" t="s">
        <v>466</v>
      </c>
      <c r="N100" s="61">
        <f>SUMIFS(INDEX(detail_table[],,MATCH(M100,detail_table[#Headers],0)),detail_table[Project Type],"&lt;&gt;"&amp;"")</f>
        <v>0</v>
      </c>
    </row>
    <row r="101" spans="1:18" ht="26.5" thickBot="1" x14ac:dyDescent="0.4">
      <c r="A101" s="23" t="s">
        <v>154</v>
      </c>
      <c r="B101" s="108">
        <f t="shared" si="8"/>
        <v>0</v>
      </c>
      <c r="C101" s="106">
        <f t="shared" si="8"/>
        <v>0</v>
      </c>
      <c r="D101" s="106">
        <f t="shared" si="8"/>
        <v>0</v>
      </c>
      <c r="E101" s="106">
        <f t="shared" si="8"/>
        <v>0</v>
      </c>
      <c r="F101" s="106">
        <f t="shared" si="8"/>
        <v>0</v>
      </c>
      <c r="G101" s="153"/>
      <c r="H101" s="153"/>
      <c r="M101" s="64" t="s">
        <v>467</v>
      </c>
      <c r="N101" s="61">
        <f>SUMIFS(INDEX(detail_table[],,MATCH(M101,detail_table[#Headers],0)),detail_table[Project Type],"&lt;&gt;"&amp;"")</f>
        <v>0</v>
      </c>
    </row>
    <row r="102" spans="1:18" ht="26.5" thickBot="1" x14ac:dyDescent="0.4">
      <c r="A102" s="23" t="s">
        <v>138</v>
      </c>
      <c r="B102" s="108">
        <f t="shared" si="8"/>
        <v>0</v>
      </c>
      <c r="C102" s="106">
        <f t="shared" si="8"/>
        <v>0</v>
      </c>
      <c r="D102" s="106">
        <f t="shared" si="8"/>
        <v>0</v>
      </c>
      <c r="E102" s="106">
        <f t="shared" si="8"/>
        <v>0</v>
      </c>
      <c r="F102" s="106">
        <f t="shared" si="8"/>
        <v>0</v>
      </c>
      <c r="G102" s="153"/>
      <c r="H102" s="153"/>
      <c r="M102" s="64" t="s">
        <v>468</v>
      </c>
      <c r="N102" s="61">
        <f>SUMIFS(INDEX(detail_table[],,MATCH(M102,detail_table[#Headers],0)),detail_table[Project Type],"&lt;&gt;"&amp;"")</f>
        <v>0</v>
      </c>
      <c r="Q102" s="62"/>
    </row>
    <row r="103" spans="1:18" ht="15" thickBot="1" x14ac:dyDescent="0.4">
      <c r="A103" s="23" t="s">
        <v>139</v>
      </c>
      <c r="B103" s="108">
        <f t="shared" si="8"/>
        <v>0</v>
      </c>
      <c r="C103" s="106">
        <f t="shared" si="8"/>
        <v>0</v>
      </c>
      <c r="D103" s="106">
        <f t="shared" si="8"/>
        <v>0</v>
      </c>
      <c r="E103" s="106">
        <f t="shared" si="8"/>
        <v>0</v>
      </c>
      <c r="F103" s="106">
        <f t="shared" si="8"/>
        <v>0</v>
      </c>
      <c r="G103" s="153"/>
      <c r="H103" s="153"/>
      <c r="M103" s="64" t="s">
        <v>469</v>
      </c>
      <c r="N103" s="61">
        <f>SUMIFS(INDEX(detail_table[],,MATCH(M103,detail_table[#Headers],0)),detail_table[Project Type],"&lt;&gt;"&amp;"")</f>
        <v>0</v>
      </c>
    </row>
    <row r="104" spans="1:18" ht="15" thickBot="1" x14ac:dyDescent="0.4">
      <c r="A104" s="23" t="s">
        <v>140</v>
      </c>
      <c r="B104" s="108">
        <f t="shared" si="8"/>
        <v>0</v>
      </c>
      <c r="C104" s="106">
        <f t="shared" si="8"/>
        <v>0</v>
      </c>
      <c r="D104" s="106">
        <f t="shared" si="8"/>
        <v>0</v>
      </c>
      <c r="E104" s="106">
        <f t="shared" si="8"/>
        <v>0</v>
      </c>
      <c r="F104" s="106">
        <f t="shared" si="8"/>
        <v>0</v>
      </c>
      <c r="G104" s="153"/>
      <c r="H104" s="153"/>
      <c r="J104" s="62"/>
      <c r="M104" s="64" t="s">
        <v>470</v>
      </c>
      <c r="N104" s="61">
        <f>SUMIFS(INDEX(detail_table[],,MATCH(M104,detail_table[#Headers],0)),detail_table[Project Type],"&lt;&gt;"&amp;"")</f>
        <v>0</v>
      </c>
      <c r="R104" s="62"/>
    </row>
    <row r="105" spans="1:18" ht="15" thickBot="1" x14ac:dyDescent="0.4">
      <c r="A105" s="23" t="s">
        <v>141</v>
      </c>
      <c r="B105" s="108">
        <f t="shared" si="8"/>
        <v>0</v>
      </c>
      <c r="C105" s="106">
        <f t="shared" si="8"/>
        <v>0</v>
      </c>
      <c r="D105" s="106">
        <f t="shared" si="8"/>
        <v>0</v>
      </c>
      <c r="E105" s="106">
        <f t="shared" si="8"/>
        <v>0</v>
      </c>
      <c r="F105" s="106">
        <f t="shared" si="8"/>
        <v>0</v>
      </c>
      <c r="G105" s="153"/>
      <c r="H105" s="153"/>
      <c r="M105" s="64" t="s">
        <v>471</v>
      </c>
      <c r="N105" s="61">
        <f>SUMIFS(INDEX(detail_table[],,MATCH(M105,detail_table[#Headers],0)),detail_table[Project Type],"&lt;&gt;"&amp;"")</f>
        <v>0</v>
      </c>
    </row>
    <row r="106" spans="1:18" s="62" customFormat="1" ht="15" thickBot="1" x14ac:dyDescent="0.4">
      <c r="A106" s="1" t="s">
        <v>142</v>
      </c>
      <c r="B106" s="108">
        <f t="shared" si="8"/>
        <v>0</v>
      </c>
      <c r="C106" s="108">
        <f t="shared" si="8"/>
        <v>0</v>
      </c>
      <c r="D106" s="108">
        <f t="shared" si="8"/>
        <v>0</v>
      </c>
      <c r="E106" s="105">
        <f t="shared" si="8"/>
        <v>0</v>
      </c>
      <c r="F106" s="105">
        <f t="shared" si="8"/>
        <v>0</v>
      </c>
      <c r="G106" s="153"/>
      <c r="H106" s="153"/>
      <c r="J106" s="61"/>
      <c r="K106" s="61"/>
      <c r="L106" s="61"/>
      <c r="M106" s="64" t="s">
        <v>472</v>
      </c>
      <c r="N106" s="61">
        <f>SUMIFS(INDEX(detail_table[],,MATCH(M106,detail_table[#Headers],0)),detail_table[Project Type],"&lt;&gt;"&amp;"")</f>
        <v>0</v>
      </c>
      <c r="O106" s="61"/>
      <c r="P106" s="61"/>
      <c r="Q106" s="61"/>
      <c r="R106" s="61"/>
    </row>
    <row r="107" spans="1:18" x14ac:dyDescent="0.35">
      <c r="A107" s="38"/>
      <c r="B107" s="59"/>
      <c r="C107" s="59"/>
      <c r="D107" s="59"/>
      <c r="E107" s="59"/>
      <c r="F107" s="59"/>
      <c r="G107" s="153"/>
      <c r="H107" s="153"/>
      <c r="M107" s="64" t="s">
        <v>473</v>
      </c>
      <c r="N107" s="61">
        <f>SUMIFS(INDEX(detail_table[],,MATCH(M107,detail_table[#Headers],0)),detail_table[Project Type],"&lt;&gt;"&amp;"")</f>
        <v>0</v>
      </c>
    </row>
    <row r="108" spans="1:18" ht="26.5" thickBot="1" x14ac:dyDescent="0.4">
      <c r="A108" s="186" t="s">
        <v>114</v>
      </c>
      <c r="B108" s="153" t="s">
        <v>78</v>
      </c>
      <c r="C108" s="153"/>
      <c r="D108" s="153"/>
      <c r="E108" s="153"/>
      <c r="F108" s="153"/>
      <c r="G108" s="194"/>
      <c r="H108" s="194"/>
      <c r="M108" s="64" t="s">
        <v>474</v>
      </c>
      <c r="N108" s="61">
        <f>SUMIFS(INDEX(detail_table[],,MATCH(M108,detail_table[#Headers],0)),detail_table[Project Type],"&lt;&gt;"&amp;"")</f>
        <v>0</v>
      </c>
    </row>
    <row r="109" spans="1:18" ht="52.5" thickBot="1" x14ac:dyDescent="0.4">
      <c r="A109" s="118"/>
      <c r="B109" s="119" t="s">
        <v>8</v>
      </c>
      <c r="C109" s="120" t="s">
        <v>182</v>
      </c>
      <c r="D109" s="120" t="s">
        <v>183</v>
      </c>
      <c r="E109" s="120" t="s">
        <v>184</v>
      </c>
      <c r="F109" s="119" t="s">
        <v>185</v>
      </c>
      <c r="G109" s="119" t="s">
        <v>186</v>
      </c>
      <c r="H109" s="119" t="s">
        <v>187</v>
      </c>
      <c r="M109" s="64" t="s">
        <v>475</v>
      </c>
      <c r="N109" s="61">
        <f>SUMIFS(INDEX(detail_table[],,MATCH(M109,detail_table[#Headers],0)),detail_table[Project Type],"&lt;&gt;"&amp;"")</f>
        <v>0</v>
      </c>
    </row>
    <row r="110" spans="1:18" ht="15" thickBot="1" x14ac:dyDescent="0.4">
      <c r="A110" s="52" t="s">
        <v>152</v>
      </c>
      <c r="B110" s="107">
        <f t="shared" ref="B110:H117" si="9">INDEX($N$2:$N$1687,MATCH($B$108&amp;" | "&amp;$A110&amp;" | "&amp;B$109,$M$2:$M$1687,0))</f>
        <v>0</v>
      </c>
      <c r="C110" s="71">
        <f t="shared" si="9"/>
        <v>0</v>
      </c>
      <c r="D110" s="71">
        <f t="shared" si="9"/>
        <v>0</v>
      </c>
      <c r="E110" s="71">
        <f t="shared" si="9"/>
        <v>0</v>
      </c>
      <c r="F110" s="71">
        <f t="shared" si="9"/>
        <v>0</v>
      </c>
      <c r="G110" s="71">
        <f t="shared" si="9"/>
        <v>0</v>
      </c>
      <c r="H110" s="71">
        <f t="shared" si="9"/>
        <v>0</v>
      </c>
      <c r="M110" s="64" t="s">
        <v>476</v>
      </c>
      <c r="N110" s="61">
        <f>SUMIFS(INDEX(detail_table[],,MATCH(M110,detail_table[#Headers],0)),detail_table[Project Type],"&lt;&gt;"&amp;"")</f>
        <v>0</v>
      </c>
    </row>
    <row r="111" spans="1:18" ht="15" thickBot="1" x14ac:dyDescent="0.4">
      <c r="A111" s="52" t="s">
        <v>153</v>
      </c>
      <c r="B111" s="107">
        <f t="shared" si="9"/>
        <v>0</v>
      </c>
      <c r="C111" s="71">
        <f t="shared" si="9"/>
        <v>0</v>
      </c>
      <c r="D111" s="71">
        <f t="shared" si="9"/>
        <v>0</v>
      </c>
      <c r="E111" s="71">
        <f t="shared" si="9"/>
        <v>0</v>
      </c>
      <c r="F111" s="71">
        <f t="shared" si="9"/>
        <v>0</v>
      </c>
      <c r="G111" s="71">
        <f t="shared" si="9"/>
        <v>0</v>
      </c>
      <c r="H111" s="71">
        <f t="shared" si="9"/>
        <v>0</v>
      </c>
      <c r="M111" s="64" t="s">
        <v>477</v>
      </c>
      <c r="N111" s="61">
        <f>SUMIFS(INDEX(detail_table[],,MATCH(M111,detail_table[#Headers],0)),detail_table[Project Type],"&lt;&gt;"&amp;"")</f>
        <v>0</v>
      </c>
    </row>
    <row r="112" spans="1:18" ht="26.5" thickBot="1" x14ac:dyDescent="0.4">
      <c r="A112" s="52" t="s">
        <v>154</v>
      </c>
      <c r="B112" s="107">
        <f t="shared" si="9"/>
        <v>0</v>
      </c>
      <c r="C112" s="71">
        <f t="shared" si="9"/>
        <v>0</v>
      </c>
      <c r="D112" s="71">
        <f t="shared" si="9"/>
        <v>0</v>
      </c>
      <c r="E112" s="71">
        <f t="shared" si="9"/>
        <v>0</v>
      </c>
      <c r="F112" s="71">
        <f t="shared" si="9"/>
        <v>0</v>
      </c>
      <c r="G112" s="71">
        <f t="shared" si="9"/>
        <v>0</v>
      </c>
      <c r="H112" s="71">
        <f t="shared" si="9"/>
        <v>0</v>
      </c>
      <c r="M112" s="64" t="s">
        <v>478</v>
      </c>
      <c r="N112" s="61">
        <f>SUMIFS(INDEX(detail_table[],,MATCH(M112,detail_table[#Headers],0)),detail_table[Project Type],"&lt;&gt;"&amp;"")</f>
        <v>0</v>
      </c>
    </row>
    <row r="113" spans="1:18" ht="26.5" thickBot="1" x14ac:dyDescent="0.4">
      <c r="A113" s="52" t="s">
        <v>138</v>
      </c>
      <c r="B113" s="107">
        <f t="shared" si="9"/>
        <v>0</v>
      </c>
      <c r="C113" s="71">
        <f t="shared" si="9"/>
        <v>0</v>
      </c>
      <c r="D113" s="71">
        <f t="shared" si="9"/>
        <v>0</v>
      </c>
      <c r="E113" s="71">
        <f t="shared" si="9"/>
        <v>0</v>
      </c>
      <c r="F113" s="71">
        <f t="shared" si="9"/>
        <v>0</v>
      </c>
      <c r="G113" s="71">
        <f t="shared" si="9"/>
        <v>0</v>
      </c>
      <c r="H113" s="71">
        <f t="shared" si="9"/>
        <v>0</v>
      </c>
      <c r="M113" s="64" t="s">
        <v>479</v>
      </c>
      <c r="N113" s="61">
        <f>SUMIFS(INDEX(detail_table[],,MATCH(M113,detail_table[#Headers],0)),detail_table[Project Type],"&lt;&gt;"&amp;"")</f>
        <v>0</v>
      </c>
    </row>
    <row r="114" spans="1:18" ht="15" thickBot="1" x14ac:dyDescent="0.4">
      <c r="A114" s="52" t="s">
        <v>139</v>
      </c>
      <c r="B114" s="107">
        <f t="shared" si="9"/>
        <v>0</v>
      </c>
      <c r="C114" s="71">
        <f t="shared" si="9"/>
        <v>0</v>
      </c>
      <c r="D114" s="71">
        <f t="shared" si="9"/>
        <v>0</v>
      </c>
      <c r="E114" s="71">
        <f t="shared" si="9"/>
        <v>0</v>
      </c>
      <c r="F114" s="71">
        <f t="shared" si="9"/>
        <v>0</v>
      </c>
      <c r="G114" s="71">
        <f t="shared" si="9"/>
        <v>0</v>
      </c>
      <c r="H114" s="71">
        <f t="shared" si="9"/>
        <v>0</v>
      </c>
      <c r="M114" s="64" t="s">
        <v>480</v>
      </c>
      <c r="N114" s="61">
        <f>SUMIFS(INDEX(detail_table[],,MATCH(M114,detail_table[#Headers],0)),detail_table[Project Type],"&lt;&gt;"&amp;"")</f>
        <v>0</v>
      </c>
    </row>
    <row r="115" spans="1:18" ht="15" thickBot="1" x14ac:dyDescent="0.4">
      <c r="A115" s="52" t="s">
        <v>140</v>
      </c>
      <c r="B115" s="107">
        <f t="shared" si="9"/>
        <v>0</v>
      </c>
      <c r="C115" s="71">
        <f t="shared" si="9"/>
        <v>0</v>
      </c>
      <c r="D115" s="71">
        <f t="shared" si="9"/>
        <v>0</v>
      </c>
      <c r="E115" s="71">
        <f t="shared" si="9"/>
        <v>0</v>
      </c>
      <c r="F115" s="71">
        <f t="shared" si="9"/>
        <v>0</v>
      </c>
      <c r="G115" s="71">
        <f t="shared" si="9"/>
        <v>0</v>
      </c>
      <c r="H115" s="71">
        <f t="shared" si="9"/>
        <v>0</v>
      </c>
      <c r="M115" s="64" t="s">
        <v>481</v>
      </c>
      <c r="N115" s="61">
        <f>SUMIFS(INDEX(detail_table[],,MATCH(M115,detail_table[#Headers],0)),detail_table[Project Type],"&lt;&gt;"&amp;"")</f>
        <v>0</v>
      </c>
    </row>
    <row r="116" spans="1:18" ht="15" thickBot="1" x14ac:dyDescent="0.4">
      <c r="A116" s="52" t="s">
        <v>141</v>
      </c>
      <c r="B116" s="107">
        <f t="shared" si="9"/>
        <v>0</v>
      </c>
      <c r="C116" s="71">
        <f t="shared" si="9"/>
        <v>0</v>
      </c>
      <c r="D116" s="71">
        <f t="shared" si="9"/>
        <v>0</v>
      </c>
      <c r="E116" s="71">
        <f t="shared" si="9"/>
        <v>0</v>
      </c>
      <c r="F116" s="71">
        <f t="shared" si="9"/>
        <v>0</v>
      </c>
      <c r="G116" s="71">
        <f t="shared" si="9"/>
        <v>0</v>
      </c>
      <c r="H116" s="71">
        <f t="shared" si="9"/>
        <v>0</v>
      </c>
      <c r="M116" s="64" t="s">
        <v>482</v>
      </c>
      <c r="N116" s="61">
        <f>SUMIFS(INDEX(detail_table[],,MATCH(M116,detail_table[#Headers],0)),detail_table[Project Type],"&lt;&gt;"&amp;"")</f>
        <v>0</v>
      </c>
    </row>
    <row r="117" spans="1:18" ht="15" customHeight="1" thickBot="1" x14ac:dyDescent="0.4">
      <c r="A117" s="2" t="s">
        <v>2046</v>
      </c>
      <c r="B117" s="107">
        <f t="shared" si="9"/>
        <v>0</v>
      </c>
      <c r="C117" s="102">
        <f t="shared" si="9"/>
        <v>0</v>
      </c>
      <c r="D117" s="102">
        <f t="shared" si="9"/>
        <v>0</v>
      </c>
      <c r="E117" s="102">
        <f t="shared" si="9"/>
        <v>0</v>
      </c>
      <c r="F117" s="102">
        <f t="shared" si="9"/>
        <v>0</v>
      </c>
      <c r="G117" s="102">
        <f t="shared" si="9"/>
        <v>0</v>
      </c>
      <c r="H117" s="102">
        <f t="shared" si="9"/>
        <v>0</v>
      </c>
      <c r="M117" s="64" t="s">
        <v>483</v>
      </c>
      <c r="N117" s="61">
        <f>SUMIFS(INDEX(detail_table[],,MATCH(M117,detail_table[#Headers],0)),detail_table[Project Type],"&lt;&gt;"&amp;"")</f>
        <v>0</v>
      </c>
    </row>
    <row r="118" spans="1:18" x14ac:dyDescent="0.35">
      <c r="A118" s="60"/>
      <c r="B118" s="59"/>
      <c r="C118" s="59"/>
      <c r="D118" s="59"/>
      <c r="E118" s="59"/>
      <c r="F118" s="59"/>
      <c r="G118" s="59"/>
      <c r="H118" s="59"/>
      <c r="M118" s="64" t="s">
        <v>484</v>
      </c>
      <c r="N118" s="61">
        <f>SUMIFS(INDEX(detail_table[],,MATCH(M118,detail_table[#Headers],0)),detail_table[Project Type],"&lt;&gt;"&amp;"")</f>
        <v>0</v>
      </c>
    </row>
    <row r="119" spans="1:18" ht="15" thickBot="1" x14ac:dyDescent="0.4">
      <c r="A119" s="189" t="s">
        <v>115</v>
      </c>
      <c r="B119" s="153" t="s">
        <v>79</v>
      </c>
      <c r="C119" s="153"/>
      <c r="D119" s="153"/>
      <c r="E119" s="153"/>
      <c r="F119" s="153"/>
      <c r="G119" s="153"/>
      <c r="H119" s="153"/>
      <c r="M119" s="64" t="s">
        <v>485</v>
      </c>
      <c r="N119" s="61">
        <f>SUMIFS(INDEX(detail_table[],,MATCH(M119,detail_table[#Headers],0)),detail_table[Project Type],"&lt;&gt;"&amp;"")</f>
        <v>0</v>
      </c>
    </row>
    <row r="120" spans="1:18" ht="52.5" thickBot="1" x14ac:dyDescent="0.4">
      <c r="A120" s="118"/>
      <c r="B120" s="119" t="s">
        <v>8</v>
      </c>
      <c r="C120" s="120" t="s">
        <v>0</v>
      </c>
      <c r="D120" s="120" t="s">
        <v>1</v>
      </c>
      <c r="E120" s="120" t="s">
        <v>2</v>
      </c>
      <c r="F120" s="119" t="s">
        <v>3</v>
      </c>
      <c r="G120" s="153"/>
      <c r="H120" s="153"/>
      <c r="M120" s="64" t="s">
        <v>486</v>
      </c>
      <c r="N120" s="61">
        <f>SUMIFS(INDEX(detail_table[],,MATCH(M120,detail_table[#Headers],0)),detail_table[Project Type],"&lt;&gt;"&amp;"")</f>
        <v>0</v>
      </c>
    </row>
    <row r="121" spans="1:18" ht="15" thickBot="1" x14ac:dyDescent="0.4">
      <c r="A121" s="52" t="s">
        <v>192</v>
      </c>
      <c r="B121" s="185">
        <f t="shared" ref="B121:F132" si="10">INDEX($N$2:$N$1687,MATCH($B$119&amp;" | "&amp;$A121&amp;" | "&amp;B$120,$M$2:$M$1687,0))</f>
        <v>0</v>
      </c>
      <c r="C121" s="183">
        <f t="shared" si="10"/>
        <v>0</v>
      </c>
      <c r="D121" s="183">
        <f t="shared" si="10"/>
        <v>0</v>
      </c>
      <c r="E121" s="183">
        <f t="shared" si="10"/>
        <v>0</v>
      </c>
      <c r="F121" s="183">
        <f t="shared" si="10"/>
        <v>0</v>
      </c>
      <c r="G121" s="153"/>
      <c r="H121" s="153"/>
      <c r="M121" s="64" t="s">
        <v>487</v>
      </c>
      <c r="N121" s="61">
        <f>SUMIFS(INDEX(detail_table[],,MATCH(M121,detail_table[#Headers],0)),detail_table[Project Type],"&lt;&gt;"&amp;"")</f>
        <v>0</v>
      </c>
    </row>
    <row r="122" spans="1:18" ht="15" thickBot="1" x14ac:dyDescent="0.4">
      <c r="A122" s="22" t="s">
        <v>193</v>
      </c>
      <c r="B122" s="185">
        <f t="shared" si="10"/>
        <v>0</v>
      </c>
      <c r="C122" s="183">
        <f t="shared" si="10"/>
        <v>0</v>
      </c>
      <c r="D122" s="183">
        <f t="shared" si="10"/>
        <v>0</v>
      </c>
      <c r="E122" s="183">
        <f t="shared" si="10"/>
        <v>0</v>
      </c>
      <c r="F122" s="183">
        <f t="shared" si="10"/>
        <v>0</v>
      </c>
      <c r="G122" s="153"/>
      <c r="H122" s="153"/>
      <c r="M122" s="64" t="s">
        <v>488</v>
      </c>
      <c r="N122" s="61">
        <f>SUMIFS(INDEX(detail_table[],,MATCH(M122,detail_table[#Headers],0)),detail_table[Project Type],"&lt;&gt;"&amp;"")</f>
        <v>0</v>
      </c>
    </row>
    <row r="123" spans="1:18" ht="15" thickBot="1" x14ac:dyDescent="0.4">
      <c r="A123" s="52" t="s">
        <v>194</v>
      </c>
      <c r="B123" s="185">
        <f t="shared" si="10"/>
        <v>0</v>
      </c>
      <c r="C123" s="183">
        <f t="shared" si="10"/>
        <v>0</v>
      </c>
      <c r="D123" s="183">
        <f t="shared" si="10"/>
        <v>0</v>
      </c>
      <c r="E123" s="183">
        <f t="shared" si="10"/>
        <v>0</v>
      </c>
      <c r="F123" s="183">
        <f t="shared" si="10"/>
        <v>0</v>
      </c>
      <c r="G123" s="153"/>
      <c r="H123" s="153"/>
      <c r="M123" s="64" t="s">
        <v>489</v>
      </c>
      <c r="N123" s="61">
        <f>SUMIFS(INDEX(detail_table[],,MATCH(M123,detail_table[#Headers],0)),detail_table[Project Type],"&lt;&gt;"&amp;"")</f>
        <v>0</v>
      </c>
      <c r="Q123" s="62"/>
    </row>
    <row r="124" spans="1:18" ht="15" thickBot="1" x14ac:dyDescent="0.4">
      <c r="A124" s="52" t="s">
        <v>195</v>
      </c>
      <c r="B124" s="185">
        <f t="shared" si="10"/>
        <v>0</v>
      </c>
      <c r="C124" s="183">
        <f t="shared" si="10"/>
        <v>0</v>
      </c>
      <c r="D124" s="183">
        <f t="shared" si="10"/>
        <v>0</v>
      </c>
      <c r="E124" s="183">
        <f t="shared" si="10"/>
        <v>0</v>
      </c>
      <c r="F124" s="183">
        <f t="shared" si="10"/>
        <v>0</v>
      </c>
      <c r="G124" s="153"/>
      <c r="H124" s="153"/>
      <c r="M124" s="64" t="s">
        <v>490</v>
      </c>
      <c r="N124" s="61">
        <f>SUMIFS(INDEX(detail_table[],,MATCH(M124,detail_table[#Headers],0)),detail_table[Project Type],"&lt;&gt;"&amp;"")</f>
        <v>0</v>
      </c>
    </row>
    <row r="125" spans="1:18" ht="15" thickBot="1" x14ac:dyDescent="0.4">
      <c r="A125" s="52" t="s">
        <v>196</v>
      </c>
      <c r="B125" s="185">
        <f t="shared" si="10"/>
        <v>0</v>
      </c>
      <c r="C125" s="183">
        <f t="shared" si="10"/>
        <v>0</v>
      </c>
      <c r="D125" s="183">
        <f t="shared" si="10"/>
        <v>0</v>
      </c>
      <c r="E125" s="183">
        <f t="shared" si="10"/>
        <v>0</v>
      </c>
      <c r="F125" s="183">
        <f t="shared" si="10"/>
        <v>0</v>
      </c>
      <c r="G125" s="153"/>
      <c r="H125" s="153"/>
      <c r="M125" s="64" t="s">
        <v>491</v>
      </c>
      <c r="N125" s="61">
        <f>SUMIFS(INDEX(detail_table[],,MATCH(M125,detail_table[#Headers],0)),detail_table[Project Type],"&lt;&gt;"&amp;"")</f>
        <v>0</v>
      </c>
    </row>
    <row r="126" spans="1:18" ht="15" thickBot="1" x14ac:dyDescent="0.4">
      <c r="A126" s="52" t="s">
        <v>197</v>
      </c>
      <c r="B126" s="185">
        <f t="shared" si="10"/>
        <v>0</v>
      </c>
      <c r="C126" s="183">
        <f t="shared" si="10"/>
        <v>0</v>
      </c>
      <c r="D126" s="183">
        <f t="shared" si="10"/>
        <v>0</v>
      </c>
      <c r="E126" s="183">
        <f t="shared" si="10"/>
        <v>0</v>
      </c>
      <c r="F126" s="183">
        <f t="shared" si="10"/>
        <v>0</v>
      </c>
      <c r="G126" s="153"/>
      <c r="H126" s="153"/>
      <c r="J126" s="62"/>
      <c r="M126" s="64" t="s">
        <v>492</v>
      </c>
      <c r="N126" s="61">
        <f>SUMIFS(INDEX(detail_table[],,MATCH(M126,detail_table[#Headers],0)),detail_table[Project Type],"&lt;&gt;"&amp;"")</f>
        <v>0</v>
      </c>
      <c r="R126" s="62"/>
    </row>
    <row r="127" spans="1:18" ht="15" thickBot="1" x14ac:dyDescent="0.4">
      <c r="A127" s="52" t="s">
        <v>198</v>
      </c>
      <c r="B127" s="185">
        <f t="shared" si="10"/>
        <v>0</v>
      </c>
      <c r="C127" s="183">
        <f t="shared" si="10"/>
        <v>0</v>
      </c>
      <c r="D127" s="183">
        <f t="shared" si="10"/>
        <v>0</v>
      </c>
      <c r="E127" s="183">
        <f t="shared" si="10"/>
        <v>0</v>
      </c>
      <c r="F127" s="183">
        <f t="shared" si="10"/>
        <v>0</v>
      </c>
      <c r="G127" s="153"/>
      <c r="H127" s="153"/>
      <c r="I127" s="62"/>
      <c r="M127" s="64" t="s">
        <v>493</v>
      </c>
      <c r="N127" s="61">
        <f>SUMIFS(INDEX(detail_table[],,MATCH(M127,detail_table[#Headers],0)),detail_table[Project Type],"&lt;&gt;"&amp;"")</f>
        <v>0</v>
      </c>
    </row>
    <row r="128" spans="1:18" s="62" customFormat="1" ht="15" thickBot="1" x14ac:dyDescent="0.4">
      <c r="A128" s="52" t="s">
        <v>199</v>
      </c>
      <c r="B128" s="185">
        <f t="shared" si="10"/>
        <v>0</v>
      </c>
      <c r="C128" s="183">
        <f t="shared" si="10"/>
        <v>0</v>
      </c>
      <c r="D128" s="183">
        <f t="shared" si="10"/>
        <v>0</v>
      </c>
      <c r="E128" s="183">
        <f t="shared" si="10"/>
        <v>0</v>
      </c>
      <c r="F128" s="183">
        <f t="shared" si="10"/>
        <v>0</v>
      </c>
      <c r="G128" s="153"/>
      <c r="H128" s="153"/>
      <c r="I128" s="61"/>
      <c r="J128" s="61"/>
      <c r="K128" s="61"/>
      <c r="L128" s="61"/>
      <c r="M128" s="64" t="s">
        <v>494</v>
      </c>
      <c r="N128" s="61">
        <f>SUMIFS(INDEX(detail_table[],,MATCH(M128,detail_table[#Headers],0)),detail_table[Project Type],"&lt;&gt;"&amp;"")</f>
        <v>0</v>
      </c>
      <c r="O128" s="61"/>
      <c r="P128" s="61"/>
      <c r="Q128" s="61"/>
      <c r="R128" s="61"/>
    </row>
    <row r="129" spans="1:18" ht="15" thickBot="1" x14ac:dyDescent="0.4">
      <c r="A129" s="52" t="s">
        <v>200</v>
      </c>
      <c r="B129" s="185">
        <f t="shared" si="10"/>
        <v>0</v>
      </c>
      <c r="C129" s="183">
        <f t="shared" si="10"/>
        <v>0</v>
      </c>
      <c r="D129" s="183">
        <f t="shared" si="10"/>
        <v>0</v>
      </c>
      <c r="E129" s="183">
        <f t="shared" si="10"/>
        <v>0</v>
      </c>
      <c r="F129" s="183">
        <f t="shared" si="10"/>
        <v>0</v>
      </c>
      <c r="G129" s="153"/>
      <c r="H129" s="153"/>
      <c r="M129" s="64" t="s">
        <v>495</v>
      </c>
      <c r="N129" s="61">
        <f>SUMIFS(INDEX(detail_table[],,MATCH(M129,detail_table[#Headers],0)),detail_table[Project Type],"&lt;&gt;"&amp;"")</f>
        <v>0</v>
      </c>
    </row>
    <row r="130" spans="1:18" ht="15" thickBot="1" x14ac:dyDescent="0.4">
      <c r="A130" s="52" t="s">
        <v>201</v>
      </c>
      <c r="B130" s="185">
        <f t="shared" si="10"/>
        <v>0</v>
      </c>
      <c r="C130" s="183">
        <f t="shared" si="10"/>
        <v>0</v>
      </c>
      <c r="D130" s="183">
        <f t="shared" si="10"/>
        <v>0</v>
      </c>
      <c r="E130" s="183">
        <f t="shared" si="10"/>
        <v>0</v>
      </c>
      <c r="F130" s="183">
        <f t="shared" si="10"/>
        <v>0</v>
      </c>
      <c r="G130" s="153"/>
      <c r="H130" s="153"/>
      <c r="M130" s="64" t="s">
        <v>496</v>
      </c>
      <c r="N130" s="61">
        <f>SUMIFS(INDEX(detail_table[],,MATCH(M130,detail_table[#Headers],0)),detail_table[Project Type],"&lt;&gt;"&amp;"")</f>
        <v>0</v>
      </c>
    </row>
    <row r="131" spans="1:18" ht="15" thickBot="1" x14ac:dyDescent="0.4">
      <c r="A131" s="52" t="s">
        <v>202</v>
      </c>
      <c r="B131" s="185">
        <f t="shared" si="10"/>
        <v>0</v>
      </c>
      <c r="C131" s="183">
        <f t="shared" si="10"/>
        <v>0</v>
      </c>
      <c r="D131" s="183">
        <f t="shared" si="10"/>
        <v>0</v>
      </c>
      <c r="E131" s="183">
        <f t="shared" si="10"/>
        <v>0</v>
      </c>
      <c r="F131" s="183">
        <f t="shared" si="10"/>
        <v>0</v>
      </c>
      <c r="G131" s="153"/>
      <c r="H131" s="153"/>
      <c r="M131" s="64" t="s">
        <v>497</v>
      </c>
      <c r="N131" s="61">
        <f>SUMIFS(INDEX(detail_table[],,MATCH(M131,detail_table[#Headers],0)),detail_table[Project Type],"&lt;&gt;"&amp;"")</f>
        <v>0</v>
      </c>
    </row>
    <row r="132" spans="1:18" ht="15" thickBot="1" x14ac:dyDescent="0.4">
      <c r="A132" s="2" t="s">
        <v>203</v>
      </c>
      <c r="B132" s="185">
        <f t="shared" si="10"/>
        <v>0</v>
      </c>
      <c r="C132" s="185">
        <f t="shared" si="10"/>
        <v>0</v>
      </c>
      <c r="D132" s="185">
        <f t="shared" si="10"/>
        <v>0</v>
      </c>
      <c r="E132" s="185">
        <f t="shared" si="10"/>
        <v>0</v>
      </c>
      <c r="F132" s="185">
        <f t="shared" si="10"/>
        <v>0</v>
      </c>
      <c r="G132" s="153"/>
      <c r="H132" s="153"/>
      <c r="M132" s="64" t="s">
        <v>498</v>
      </c>
      <c r="N132" s="61">
        <f>SUMIFS(INDEX(detail_table[],,MATCH(M132,detail_table[#Headers],0)),detail_table[Project Type],"&lt;&gt;"&amp;"")</f>
        <v>0</v>
      </c>
    </row>
    <row r="133" spans="1:18" x14ac:dyDescent="0.35">
      <c r="A133" s="60"/>
      <c r="B133" s="57"/>
      <c r="C133" s="57"/>
      <c r="D133" s="57"/>
      <c r="E133" s="57"/>
      <c r="F133" s="57"/>
      <c r="G133" s="194"/>
      <c r="H133" s="194"/>
      <c r="M133" s="64" t="s">
        <v>499</v>
      </c>
      <c r="N133" s="61">
        <f>SUMIFS(INDEX(detail_table[],,MATCH(M133,detail_table[#Headers],0)),detail_table[Project Type],"&lt;&gt;"&amp;"")</f>
        <v>0</v>
      </c>
    </row>
    <row r="134" spans="1:18" x14ac:dyDescent="0.35">
      <c r="A134" s="189" t="s">
        <v>62</v>
      </c>
      <c r="B134" s="153"/>
      <c r="C134" s="153"/>
      <c r="D134" s="153"/>
      <c r="E134" s="153"/>
      <c r="F134" s="153"/>
      <c r="G134" s="153"/>
      <c r="H134" s="153"/>
      <c r="L134" s="62"/>
      <c r="M134" s="64" t="s">
        <v>500</v>
      </c>
      <c r="N134" s="61">
        <f>SUMIFS(INDEX(detail_table[],,MATCH(M134,detail_table[#Headers],0)),detail_table[Project Type],"&lt;&gt;"&amp;"")</f>
        <v>0</v>
      </c>
    </row>
    <row r="135" spans="1:18" ht="15" thickBot="1" x14ac:dyDescent="0.4">
      <c r="A135" s="186" t="s">
        <v>63</v>
      </c>
      <c r="B135" s="153" t="s">
        <v>80</v>
      </c>
      <c r="C135" s="153"/>
      <c r="D135" s="153"/>
      <c r="E135" s="153"/>
      <c r="F135" s="153"/>
      <c r="G135" s="153"/>
      <c r="H135" s="153"/>
      <c r="K135" s="62"/>
      <c r="M135" s="64" t="s">
        <v>501</v>
      </c>
      <c r="N135" s="61">
        <f>SUMIFS(INDEX(detail_table[],,MATCH(M135,detail_table[#Headers],0)),detail_table[Project Type],"&lt;&gt;"&amp;"")</f>
        <v>0</v>
      </c>
    </row>
    <row r="136" spans="1:18" ht="52.5" thickBot="1" x14ac:dyDescent="0.4">
      <c r="A136" s="23"/>
      <c r="B136" s="4" t="s">
        <v>8</v>
      </c>
      <c r="C136" s="4" t="s">
        <v>0</v>
      </c>
      <c r="D136" s="4" t="s">
        <v>1</v>
      </c>
      <c r="E136" s="4" t="s">
        <v>2</v>
      </c>
      <c r="F136" s="4" t="s">
        <v>3</v>
      </c>
      <c r="G136" s="153"/>
      <c r="H136" s="153"/>
      <c r="M136" s="64" t="s">
        <v>502</v>
      </c>
      <c r="N136" s="61">
        <f>SUMIFS(INDEX(detail_table[],,MATCH(M136,detail_table[#Headers],0)),detail_table[Project Type],"&lt;&gt;"&amp;"")</f>
        <v>0</v>
      </c>
    </row>
    <row r="137" spans="1:18" ht="15" thickBot="1" x14ac:dyDescent="0.4">
      <c r="A137" s="52" t="s">
        <v>204</v>
      </c>
      <c r="B137" s="182">
        <f t="shared" ref="B137:F145" si="11">INDEX($N$2:$N$1687,MATCH($B$135&amp;" | "&amp;$A137&amp;" | "&amp;B$136,$M$2:$M$1687,0))</f>
        <v>0</v>
      </c>
      <c r="C137" s="183">
        <f t="shared" si="11"/>
        <v>0</v>
      </c>
      <c r="D137" s="183">
        <f t="shared" si="11"/>
        <v>0</v>
      </c>
      <c r="E137" s="183">
        <f t="shared" si="11"/>
        <v>0</v>
      </c>
      <c r="F137" s="183">
        <f t="shared" si="11"/>
        <v>0</v>
      </c>
      <c r="G137" s="153"/>
      <c r="H137" s="153"/>
      <c r="M137" s="64" t="s">
        <v>503</v>
      </c>
      <c r="N137" s="61">
        <f>SUMIFS(INDEX(detail_table[],,MATCH(M137,detail_table[#Headers],0)),detail_table[Project Type],"&lt;&gt;"&amp;"")</f>
        <v>0</v>
      </c>
      <c r="Q137" s="62"/>
    </row>
    <row r="138" spans="1:18" ht="26.5" thickBot="1" x14ac:dyDescent="0.4">
      <c r="A138" s="52" t="s">
        <v>205</v>
      </c>
      <c r="B138" s="182">
        <f t="shared" si="11"/>
        <v>0</v>
      </c>
      <c r="C138" s="183">
        <f t="shared" si="11"/>
        <v>0</v>
      </c>
      <c r="D138" s="183">
        <f t="shared" si="11"/>
        <v>0</v>
      </c>
      <c r="E138" s="183">
        <f t="shared" si="11"/>
        <v>0</v>
      </c>
      <c r="F138" s="183">
        <f t="shared" si="11"/>
        <v>0</v>
      </c>
      <c r="G138" s="153"/>
      <c r="H138" s="153"/>
      <c r="M138" s="64" t="s">
        <v>504</v>
      </c>
      <c r="N138" s="61">
        <f>SUMIFS(INDEX(detail_table[],,MATCH(M138,detail_table[#Headers],0)),detail_table[Project Type],"&lt;&gt;"&amp;"")</f>
        <v>0</v>
      </c>
    </row>
    <row r="139" spans="1:18" ht="15" thickBot="1" x14ac:dyDescent="0.4">
      <c r="A139" s="52" t="s">
        <v>206</v>
      </c>
      <c r="B139" s="182">
        <f t="shared" si="11"/>
        <v>0</v>
      </c>
      <c r="C139" s="183">
        <f t="shared" si="11"/>
        <v>0</v>
      </c>
      <c r="D139" s="183">
        <f t="shared" si="11"/>
        <v>0</v>
      </c>
      <c r="E139" s="183">
        <f t="shared" si="11"/>
        <v>0</v>
      </c>
      <c r="F139" s="183">
        <f t="shared" si="11"/>
        <v>0</v>
      </c>
      <c r="G139" s="153"/>
      <c r="H139" s="153"/>
      <c r="M139" s="64" t="s">
        <v>505</v>
      </c>
      <c r="N139" s="61">
        <f>SUMIFS(INDEX(detail_table[],,MATCH(M139,detail_table[#Headers],0)),detail_table[Project Type],"&lt;&gt;"&amp;"")</f>
        <v>0</v>
      </c>
    </row>
    <row r="140" spans="1:18" ht="26.5" thickBot="1" x14ac:dyDescent="0.4">
      <c r="A140" s="52" t="s">
        <v>207</v>
      </c>
      <c r="B140" s="182">
        <f t="shared" si="11"/>
        <v>0</v>
      </c>
      <c r="C140" s="183">
        <f t="shared" si="11"/>
        <v>0</v>
      </c>
      <c r="D140" s="183">
        <f t="shared" si="11"/>
        <v>0</v>
      </c>
      <c r="E140" s="183">
        <f t="shared" si="11"/>
        <v>0</v>
      </c>
      <c r="F140" s="183">
        <f t="shared" si="11"/>
        <v>0</v>
      </c>
      <c r="G140" s="153"/>
      <c r="H140" s="153"/>
      <c r="J140" s="62"/>
      <c r="M140" s="64" t="s">
        <v>506</v>
      </c>
      <c r="N140" s="61">
        <f>SUMIFS(INDEX(detail_table[],,MATCH(M140,detail_table[#Headers],0)),detail_table[Project Type],"&lt;&gt;"&amp;"")</f>
        <v>0</v>
      </c>
    </row>
    <row r="141" spans="1:18" ht="26.5" thickBot="1" x14ac:dyDescent="0.4">
      <c r="A141" s="52" t="s">
        <v>208</v>
      </c>
      <c r="B141" s="182">
        <f t="shared" si="11"/>
        <v>0</v>
      </c>
      <c r="C141" s="183">
        <f t="shared" si="11"/>
        <v>0</v>
      </c>
      <c r="D141" s="183">
        <f t="shared" si="11"/>
        <v>0</v>
      </c>
      <c r="E141" s="183">
        <f t="shared" si="11"/>
        <v>0</v>
      </c>
      <c r="F141" s="183">
        <f t="shared" si="11"/>
        <v>0</v>
      </c>
      <c r="G141" s="153"/>
      <c r="H141" s="153"/>
      <c r="M141" s="64" t="s">
        <v>507</v>
      </c>
      <c r="N141" s="61">
        <f>SUMIFS(INDEX(detail_table[],,MATCH(M141,detail_table[#Headers],0)),detail_table[Project Type],"&lt;&gt;"&amp;"")</f>
        <v>0</v>
      </c>
      <c r="R141" s="62"/>
    </row>
    <row r="142" spans="1:18" ht="15" thickBot="1" x14ac:dyDescent="0.4">
      <c r="A142" s="52" t="s">
        <v>209</v>
      </c>
      <c r="B142" s="182">
        <f t="shared" si="11"/>
        <v>0</v>
      </c>
      <c r="C142" s="183">
        <f t="shared" si="11"/>
        <v>0</v>
      </c>
      <c r="D142" s="183">
        <f t="shared" si="11"/>
        <v>0</v>
      </c>
      <c r="E142" s="183">
        <f t="shared" si="11"/>
        <v>0</v>
      </c>
      <c r="F142" s="183">
        <f t="shared" si="11"/>
        <v>0</v>
      </c>
      <c r="G142" s="153"/>
      <c r="H142" s="153"/>
      <c r="I142" s="62"/>
      <c r="M142" s="64" t="s">
        <v>508</v>
      </c>
      <c r="N142" s="61">
        <f>SUMIFS(INDEX(detail_table[],,MATCH(M142,detail_table[#Headers],0)),detail_table[Project Type],"&lt;&gt;"&amp;"")</f>
        <v>0</v>
      </c>
    </row>
    <row r="143" spans="1:18" s="62" customFormat="1" ht="26.5" thickBot="1" x14ac:dyDescent="0.4">
      <c r="A143" s="52" t="s">
        <v>210</v>
      </c>
      <c r="B143" s="182">
        <f t="shared" si="11"/>
        <v>0</v>
      </c>
      <c r="C143" s="183">
        <f t="shared" si="11"/>
        <v>0</v>
      </c>
      <c r="D143" s="183">
        <f t="shared" si="11"/>
        <v>0</v>
      </c>
      <c r="E143" s="183">
        <f t="shared" si="11"/>
        <v>0</v>
      </c>
      <c r="F143" s="183">
        <f t="shared" si="11"/>
        <v>0</v>
      </c>
      <c r="G143" s="153"/>
      <c r="H143" s="153"/>
      <c r="I143" s="61"/>
      <c r="J143" s="61"/>
      <c r="K143" s="61"/>
      <c r="L143" s="61"/>
      <c r="M143" s="64" t="s">
        <v>509</v>
      </c>
      <c r="N143" s="61">
        <f>SUMIFS(INDEX(detail_table[],,MATCH(M143,detail_table[#Headers],0)),detail_table[Project Type],"&lt;&gt;"&amp;"")</f>
        <v>0</v>
      </c>
      <c r="O143" s="61"/>
      <c r="P143" s="61"/>
      <c r="Q143" s="61"/>
      <c r="R143" s="61"/>
    </row>
    <row r="144" spans="1:18" ht="15" thickBot="1" x14ac:dyDescent="0.4">
      <c r="A144" s="52" t="s">
        <v>211</v>
      </c>
      <c r="B144" s="182">
        <f t="shared" si="11"/>
        <v>0</v>
      </c>
      <c r="C144" s="183">
        <f t="shared" si="11"/>
        <v>0</v>
      </c>
      <c r="D144" s="183">
        <f t="shared" si="11"/>
        <v>0</v>
      </c>
      <c r="E144" s="183">
        <f t="shared" si="11"/>
        <v>0</v>
      </c>
      <c r="F144" s="183">
        <f t="shared" si="11"/>
        <v>0</v>
      </c>
      <c r="G144" s="153"/>
      <c r="H144" s="153"/>
      <c r="M144" s="64" t="s">
        <v>510</v>
      </c>
      <c r="N144" s="177" t="str">
        <f>IF(N114&gt;0,N139/N114, "N/A")</f>
        <v>N/A</v>
      </c>
    </row>
    <row r="145" spans="1:18" ht="15" thickBot="1" x14ac:dyDescent="0.4">
      <c r="A145" s="2" t="s">
        <v>212</v>
      </c>
      <c r="B145" s="182">
        <f t="shared" si="11"/>
        <v>0</v>
      </c>
      <c r="C145" s="182">
        <f t="shared" si="11"/>
        <v>0</v>
      </c>
      <c r="D145" s="182">
        <f t="shared" si="11"/>
        <v>0</v>
      </c>
      <c r="E145" s="182">
        <f t="shared" si="11"/>
        <v>0</v>
      </c>
      <c r="F145" s="182">
        <f t="shared" si="11"/>
        <v>0</v>
      </c>
      <c r="G145" s="153"/>
      <c r="H145" s="153"/>
      <c r="M145" s="64" t="s">
        <v>511</v>
      </c>
      <c r="N145" s="177" t="str">
        <f t="shared" ref="N145:N148" si="12">IF(N115&gt;0,N140/N115, "N/A")</f>
        <v>N/A</v>
      </c>
    </row>
    <row r="146" spans="1:18" x14ac:dyDescent="0.35">
      <c r="A146" s="60"/>
      <c r="B146" s="57"/>
      <c r="C146" s="57"/>
      <c r="D146" s="57"/>
      <c r="E146" s="57"/>
      <c r="F146" s="57"/>
      <c r="G146" s="194"/>
      <c r="H146" s="194"/>
      <c r="M146" s="64" t="s">
        <v>512</v>
      </c>
      <c r="N146" s="177" t="str">
        <f t="shared" si="12"/>
        <v>N/A</v>
      </c>
    </row>
    <row r="147" spans="1:18" ht="15" thickBot="1" x14ac:dyDescent="0.4">
      <c r="A147" s="186" t="s">
        <v>64</v>
      </c>
      <c r="B147" s="153" t="s">
        <v>81</v>
      </c>
      <c r="C147" s="153"/>
      <c r="D147" s="153"/>
      <c r="E147" s="153"/>
      <c r="F147" s="153"/>
      <c r="G147" s="153"/>
      <c r="H147" s="153"/>
      <c r="M147" s="64" t="s">
        <v>513</v>
      </c>
      <c r="N147" s="177" t="str">
        <f t="shared" si="12"/>
        <v>N/A</v>
      </c>
    </row>
    <row r="148" spans="1:18" ht="52.5" thickBot="1" x14ac:dyDescent="0.4">
      <c r="A148" s="118"/>
      <c r="B148" s="119" t="s">
        <v>8</v>
      </c>
      <c r="C148" s="119" t="s">
        <v>0</v>
      </c>
      <c r="D148" s="119" t="s">
        <v>1</v>
      </c>
      <c r="E148" s="120" t="s">
        <v>2</v>
      </c>
      <c r="F148" s="119" t="s">
        <v>3</v>
      </c>
      <c r="G148" s="153"/>
      <c r="H148" s="153"/>
      <c r="M148" s="64" t="s">
        <v>514</v>
      </c>
      <c r="N148" s="177" t="str">
        <f t="shared" si="12"/>
        <v>N/A</v>
      </c>
    </row>
    <row r="149" spans="1:18" ht="26.5" thickBot="1" x14ac:dyDescent="0.4">
      <c r="A149" s="52" t="s">
        <v>213</v>
      </c>
      <c r="B149" s="182">
        <f t="shared" ref="B149:F153" si="13">INDEX($N$2:$N$1687,MATCH($B$147&amp;" | "&amp;$A149&amp;" | "&amp;B$148,$M$2:$M$1687,0))</f>
        <v>0</v>
      </c>
      <c r="C149" s="183">
        <f t="shared" si="13"/>
        <v>0</v>
      </c>
      <c r="D149" s="183">
        <f t="shared" si="13"/>
        <v>0</v>
      </c>
      <c r="E149" s="183">
        <f t="shared" si="13"/>
        <v>0</v>
      </c>
      <c r="F149" s="183">
        <f t="shared" si="13"/>
        <v>0</v>
      </c>
      <c r="G149" s="153"/>
      <c r="H149" s="153"/>
      <c r="M149" s="64" t="s">
        <v>515</v>
      </c>
      <c r="N149" s="61">
        <f>SUMIFS(INDEX(detail_table[],,MATCH(M149,detail_table[#Headers],0)),detail_table[Project Type],"&lt;&gt;"&amp;"")</f>
        <v>0</v>
      </c>
      <c r="Q149" s="62"/>
    </row>
    <row r="150" spans="1:18" ht="15" thickBot="1" x14ac:dyDescent="0.4">
      <c r="A150" s="52" t="s">
        <v>214</v>
      </c>
      <c r="B150" s="182">
        <f t="shared" si="13"/>
        <v>0</v>
      </c>
      <c r="C150" s="183">
        <f t="shared" si="13"/>
        <v>0</v>
      </c>
      <c r="D150" s="183">
        <f t="shared" si="13"/>
        <v>0</v>
      </c>
      <c r="E150" s="183">
        <f t="shared" si="13"/>
        <v>0</v>
      </c>
      <c r="F150" s="183">
        <f t="shared" si="13"/>
        <v>0</v>
      </c>
      <c r="G150" s="153"/>
      <c r="H150" s="153"/>
      <c r="M150" s="64" t="s">
        <v>516</v>
      </c>
      <c r="N150" s="61">
        <f>SUMIFS(INDEX(detail_table[],,MATCH(M150,detail_table[#Headers],0)),detail_table[Project Type],"&lt;&gt;"&amp;"")</f>
        <v>0</v>
      </c>
    </row>
    <row r="151" spans="1:18" ht="15" thickBot="1" x14ac:dyDescent="0.4">
      <c r="A151" s="52" t="s">
        <v>157</v>
      </c>
      <c r="B151" s="182">
        <f t="shared" si="13"/>
        <v>0</v>
      </c>
      <c r="C151" s="183">
        <f t="shared" si="13"/>
        <v>0</v>
      </c>
      <c r="D151" s="183">
        <f t="shared" si="13"/>
        <v>0</v>
      </c>
      <c r="E151" s="183">
        <f t="shared" si="13"/>
        <v>0</v>
      </c>
      <c r="F151" s="183">
        <f t="shared" si="13"/>
        <v>0</v>
      </c>
      <c r="G151" s="153"/>
      <c r="H151" s="153"/>
      <c r="M151" s="64" t="s">
        <v>517</v>
      </c>
      <c r="N151" s="61">
        <f>SUMIFS(INDEX(detail_table[],,MATCH(M151,detail_table[#Headers],0)),detail_table[Project Type],"&lt;&gt;"&amp;"")</f>
        <v>0</v>
      </c>
    </row>
    <row r="152" spans="1:18" ht="15" thickBot="1" x14ac:dyDescent="0.4">
      <c r="A152" s="52" t="s">
        <v>143</v>
      </c>
      <c r="B152" s="182">
        <f t="shared" si="13"/>
        <v>0</v>
      </c>
      <c r="C152" s="183">
        <f t="shared" si="13"/>
        <v>0</v>
      </c>
      <c r="D152" s="183">
        <f t="shared" si="13"/>
        <v>0</v>
      </c>
      <c r="E152" s="183">
        <f t="shared" si="13"/>
        <v>0</v>
      </c>
      <c r="F152" s="183">
        <f t="shared" si="13"/>
        <v>0</v>
      </c>
      <c r="G152" s="153"/>
      <c r="H152" s="153"/>
      <c r="M152" s="64" t="s">
        <v>518</v>
      </c>
      <c r="N152" s="61">
        <f>SUMIFS(INDEX(detail_table[],,MATCH(M152,detail_table[#Headers],0)),detail_table[Project Type],"&lt;&gt;"&amp;"")</f>
        <v>0</v>
      </c>
    </row>
    <row r="153" spans="1:18" ht="15" thickBot="1" x14ac:dyDescent="0.4">
      <c r="A153" s="2" t="s">
        <v>144</v>
      </c>
      <c r="B153" s="182">
        <f t="shared" si="13"/>
        <v>0</v>
      </c>
      <c r="C153" s="182">
        <f t="shared" si="13"/>
        <v>0</v>
      </c>
      <c r="D153" s="182">
        <f t="shared" si="13"/>
        <v>0</v>
      </c>
      <c r="E153" s="182">
        <f t="shared" si="13"/>
        <v>0</v>
      </c>
      <c r="F153" s="182">
        <f t="shared" si="13"/>
        <v>0</v>
      </c>
      <c r="G153" s="153"/>
      <c r="H153" s="153"/>
      <c r="J153" s="62"/>
      <c r="M153" s="64" t="s">
        <v>519</v>
      </c>
      <c r="N153" s="61">
        <f>SUMIFS(INDEX(detail_table[],,MATCH(M153,detail_table[#Headers],0)),detail_table[Project Type],"&lt;&gt;"&amp;"")</f>
        <v>0</v>
      </c>
    </row>
    <row r="154" spans="1:18" x14ac:dyDescent="0.35">
      <c r="A154" s="38"/>
      <c r="B154" s="57"/>
      <c r="C154" s="57"/>
      <c r="D154" s="57"/>
      <c r="E154" s="57"/>
      <c r="F154" s="57"/>
      <c r="G154" s="153"/>
      <c r="H154" s="153"/>
      <c r="M154" s="64" t="s">
        <v>520</v>
      </c>
      <c r="N154" s="61">
        <f>SUMIFS(INDEX(detail_table[],,MATCH(M154,detail_table[#Headers],0)),detail_table[Project Type],"&lt;&gt;"&amp;"")</f>
        <v>0</v>
      </c>
      <c r="R154" s="62"/>
    </row>
    <row r="155" spans="1:18" ht="14.5" customHeight="1" x14ac:dyDescent="0.35">
      <c r="A155" s="227" t="s">
        <v>116</v>
      </c>
      <c r="B155" s="227"/>
      <c r="C155" s="227"/>
      <c r="D155" s="227"/>
      <c r="E155" s="227"/>
      <c r="F155" s="227"/>
      <c r="G155" s="153"/>
      <c r="H155" s="153"/>
      <c r="I155" s="62"/>
      <c r="M155" s="64" t="s">
        <v>521</v>
      </c>
      <c r="N155" s="61">
        <f>SUMIFS(INDEX(detail_table[],,MATCH(M155,detail_table[#Headers],0)),detail_table[Project Type],"&lt;&gt;"&amp;"")</f>
        <v>0</v>
      </c>
    </row>
    <row r="156" spans="1:18" s="62" customFormat="1" ht="39.5" thickBot="1" x14ac:dyDescent="0.4">
      <c r="A156" s="186" t="s">
        <v>117</v>
      </c>
      <c r="B156" s="153" t="s">
        <v>82</v>
      </c>
      <c r="C156" s="153"/>
      <c r="D156" s="153"/>
      <c r="E156" s="153"/>
      <c r="F156" s="153"/>
      <c r="G156" s="153"/>
      <c r="H156" s="153"/>
      <c r="I156" s="61"/>
      <c r="J156" s="61"/>
      <c r="K156" s="61"/>
      <c r="L156" s="61"/>
      <c r="M156" s="64" t="s">
        <v>522</v>
      </c>
      <c r="N156" s="61">
        <f>SUMIFS(INDEX(detail_table[],,MATCH(M156,detail_table[#Headers],0)),detail_table[Project Type],"&lt;&gt;"&amp;"")</f>
        <v>0</v>
      </c>
      <c r="O156" s="61"/>
      <c r="P156" s="61"/>
      <c r="Q156" s="61"/>
      <c r="R156" s="61"/>
    </row>
    <row r="157" spans="1:18" ht="52.5" thickBot="1" x14ac:dyDescent="0.4">
      <c r="A157" s="23"/>
      <c r="B157" s="4" t="s">
        <v>216</v>
      </c>
      <c r="C157" s="4" t="s">
        <v>0</v>
      </c>
      <c r="D157" s="4" t="s">
        <v>1</v>
      </c>
      <c r="E157" s="4" t="s">
        <v>2</v>
      </c>
      <c r="F157" s="4" t="s">
        <v>3</v>
      </c>
      <c r="G157" s="153"/>
      <c r="H157" s="153"/>
      <c r="M157" s="64" t="s">
        <v>523</v>
      </c>
      <c r="N157" s="61">
        <f>SUMIFS(INDEX(detail_table[],,MATCH(M157,detail_table[#Headers],0)),detail_table[Project Type],"&lt;&gt;"&amp;"")</f>
        <v>0</v>
      </c>
    </row>
    <row r="158" spans="1:18" ht="15" thickBot="1" x14ac:dyDescent="0.4">
      <c r="A158" s="52" t="s">
        <v>215</v>
      </c>
      <c r="B158" s="107">
        <f t="shared" ref="B158:F165" si="14">INDEX($N$2:$N$1687,MATCH($B$156&amp;" | "&amp;$A158&amp;" | "&amp;B$157,$M$2:$M$1687,0))</f>
        <v>0</v>
      </c>
      <c r="C158" s="71">
        <f t="shared" si="14"/>
        <v>0</v>
      </c>
      <c r="D158" s="71">
        <f t="shared" si="14"/>
        <v>0</v>
      </c>
      <c r="E158" s="71">
        <f t="shared" si="14"/>
        <v>0</v>
      </c>
      <c r="F158" s="71">
        <f t="shared" si="14"/>
        <v>0</v>
      </c>
      <c r="G158" s="153"/>
      <c r="H158" s="153"/>
      <c r="M158" s="64" t="s">
        <v>524</v>
      </c>
      <c r="N158" s="61">
        <f>SUMIFS(INDEX(detail_table[],,MATCH(M158,detail_table[#Headers],0)),detail_table[Project Type],"&lt;&gt;"&amp;"")</f>
        <v>0</v>
      </c>
    </row>
    <row r="159" spans="1:18" ht="15" thickBot="1" x14ac:dyDescent="0.4">
      <c r="A159" s="52" t="s">
        <v>217</v>
      </c>
      <c r="B159" s="107">
        <f t="shared" si="14"/>
        <v>0</v>
      </c>
      <c r="C159" s="71">
        <f t="shared" si="14"/>
        <v>0</v>
      </c>
      <c r="D159" s="71">
        <f t="shared" si="14"/>
        <v>0</v>
      </c>
      <c r="E159" s="71">
        <f t="shared" si="14"/>
        <v>0</v>
      </c>
      <c r="F159" s="71">
        <f t="shared" si="14"/>
        <v>0</v>
      </c>
      <c r="G159" s="153"/>
      <c r="H159" s="153"/>
      <c r="M159" s="64" t="s">
        <v>525</v>
      </c>
      <c r="N159" s="61">
        <f>SUMIFS(INDEX(detail_table[],,MATCH(M159,detail_table[#Headers],0)),detail_table[Project Type],"&lt;&gt;"&amp;"")</f>
        <v>0</v>
      </c>
    </row>
    <row r="160" spans="1:18" ht="15" thickBot="1" x14ac:dyDescent="0.4">
      <c r="A160" s="52" t="s">
        <v>218</v>
      </c>
      <c r="B160" s="107">
        <f t="shared" si="14"/>
        <v>0</v>
      </c>
      <c r="C160" s="71">
        <f t="shared" si="14"/>
        <v>0</v>
      </c>
      <c r="D160" s="71">
        <f t="shared" si="14"/>
        <v>0</v>
      </c>
      <c r="E160" s="71">
        <f t="shared" si="14"/>
        <v>0</v>
      </c>
      <c r="F160" s="71">
        <f t="shared" si="14"/>
        <v>0</v>
      </c>
      <c r="G160" s="153"/>
      <c r="H160" s="153"/>
      <c r="M160" s="64" t="s">
        <v>526</v>
      </c>
      <c r="N160" s="61">
        <f>SUMIFS(INDEX(detail_table[],,MATCH(M160,detail_table[#Headers],0)),detail_table[Project Type],"&lt;&gt;"&amp;"")</f>
        <v>0</v>
      </c>
    </row>
    <row r="161" spans="1:14" ht="26.5" thickBot="1" x14ac:dyDescent="0.4">
      <c r="A161" s="52" t="s">
        <v>219</v>
      </c>
      <c r="B161" s="107">
        <f t="shared" si="14"/>
        <v>0</v>
      </c>
      <c r="C161" s="71">
        <f t="shared" si="14"/>
        <v>0</v>
      </c>
      <c r="D161" s="71">
        <f t="shared" si="14"/>
        <v>0</v>
      </c>
      <c r="E161" s="71">
        <f t="shared" si="14"/>
        <v>0</v>
      </c>
      <c r="F161" s="71">
        <f t="shared" si="14"/>
        <v>0</v>
      </c>
      <c r="G161" s="153"/>
      <c r="H161" s="153"/>
      <c r="M161" s="64" t="s">
        <v>527</v>
      </c>
      <c r="N161" s="61">
        <f>SUMIFS(INDEX(detail_table[],,MATCH(M161,detail_table[#Headers],0)),detail_table[Project Type],"&lt;&gt;"&amp;"")</f>
        <v>0</v>
      </c>
    </row>
    <row r="162" spans="1:14" ht="26.5" thickBot="1" x14ac:dyDescent="0.4">
      <c r="A162" s="52" t="s">
        <v>220</v>
      </c>
      <c r="B162" s="107">
        <f t="shared" si="14"/>
        <v>0</v>
      </c>
      <c r="C162" s="71">
        <f t="shared" si="14"/>
        <v>0</v>
      </c>
      <c r="D162" s="71">
        <f t="shared" si="14"/>
        <v>0</v>
      </c>
      <c r="E162" s="71">
        <f t="shared" si="14"/>
        <v>0</v>
      </c>
      <c r="F162" s="71">
        <f t="shared" si="14"/>
        <v>0</v>
      </c>
      <c r="G162" s="153"/>
      <c r="H162" s="153"/>
      <c r="M162" s="64" t="s">
        <v>528</v>
      </c>
      <c r="N162" s="61">
        <f>SUMIFS(INDEX(detail_table[],,MATCH(M162,detail_table[#Headers],0)),detail_table[Project Type],"&lt;&gt;"&amp;"")</f>
        <v>0</v>
      </c>
    </row>
    <row r="163" spans="1:14" ht="26.5" thickBot="1" x14ac:dyDescent="0.4">
      <c r="A163" s="52" t="s">
        <v>221</v>
      </c>
      <c r="B163" s="107">
        <f t="shared" si="14"/>
        <v>0</v>
      </c>
      <c r="C163" s="71">
        <f t="shared" si="14"/>
        <v>0</v>
      </c>
      <c r="D163" s="71">
        <f t="shared" si="14"/>
        <v>0</v>
      </c>
      <c r="E163" s="71">
        <f t="shared" si="14"/>
        <v>0</v>
      </c>
      <c r="F163" s="71">
        <f t="shared" si="14"/>
        <v>0</v>
      </c>
      <c r="G163" s="153"/>
      <c r="H163" s="153"/>
      <c r="M163" s="64" t="s">
        <v>529</v>
      </c>
      <c r="N163" s="61">
        <f>SUMIFS(INDEX(detail_table[],,MATCH(M163,detail_table[#Headers],0)),detail_table[Project Type],"&lt;&gt;"&amp;"")</f>
        <v>0</v>
      </c>
    </row>
    <row r="164" spans="1:14" ht="26.5" thickBot="1" x14ac:dyDescent="0.4">
      <c r="A164" s="52" t="s">
        <v>222</v>
      </c>
      <c r="B164" s="107">
        <f t="shared" si="14"/>
        <v>0</v>
      </c>
      <c r="C164" s="71">
        <f t="shared" si="14"/>
        <v>0</v>
      </c>
      <c r="D164" s="71">
        <f t="shared" si="14"/>
        <v>0</v>
      </c>
      <c r="E164" s="71">
        <f t="shared" si="14"/>
        <v>0</v>
      </c>
      <c r="F164" s="71">
        <f t="shared" si="14"/>
        <v>0</v>
      </c>
      <c r="G164" s="153"/>
      <c r="H164" s="153"/>
      <c r="M164" s="64" t="s">
        <v>530</v>
      </c>
      <c r="N164" s="61">
        <f>SUMIFS(INDEX(detail_table[],,MATCH(M164,detail_table[#Headers],0)),detail_table[Project Type],"&lt;&gt;"&amp;"")</f>
        <v>0</v>
      </c>
    </row>
    <row r="165" spans="1:14" ht="15" thickBot="1" x14ac:dyDescent="0.4">
      <c r="A165" s="52" t="s">
        <v>223</v>
      </c>
      <c r="B165" s="107">
        <f t="shared" si="14"/>
        <v>0</v>
      </c>
      <c r="C165" s="107">
        <f t="shared" si="14"/>
        <v>0</v>
      </c>
      <c r="D165" s="107">
        <f t="shared" si="14"/>
        <v>0</v>
      </c>
      <c r="E165" s="107">
        <f t="shared" si="14"/>
        <v>0</v>
      </c>
      <c r="F165" s="107">
        <f t="shared" si="14"/>
        <v>0</v>
      </c>
      <c r="G165" s="153"/>
      <c r="H165" s="153"/>
      <c r="M165" s="64" t="s">
        <v>531</v>
      </c>
      <c r="N165" s="61">
        <f>SUMIFS(INDEX(detail_table[],,MATCH(M165,detail_table[#Headers],0)),detail_table[Project Type],"&lt;&gt;"&amp;"")</f>
        <v>0</v>
      </c>
    </row>
    <row r="166" spans="1:14" x14ac:dyDescent="0.35">
      <c r="A166" s="56"/>
      <c r="B166" s="59"/>
      <c r="C166" s="56"/>
      <c r="D166" s="56"/>
      <c r="E166" s="56"/>
      <c r="F166" s="56"/>
      <c r="G166" s="153"/>
      <c r="H166" s="153"/>
      <c r="M166" s="64" t="s">
        <v>532</v>
      </c>
      <c r="N166" s="61">
        <f>SUMIFS(INDEX(detail_table[],,MATCH(M166,detail_table[#Headers],0)),detail_table[Project Type],"&lt;&gt;"&amp;"")</f>
        <v>0</v>
      </c>
    </row>
    <row r="167" spans="1:14" ht="39.5" thickBot="1" x14ac:dyDescent="0.4">
      <c r="A167" s="186" t="s">
        <v>118</v>
      </c>
      <c r="B167" s="153" t="s">
        <v>83</v>
      </c>
      <c r="C167" s="153"/>
      <c r="D167" s="153"/>
      <c r="E167" s="153"/>
      <c r="F167" s="153"/>
      <c r="G167" s="153"/>
      <c r="H167" s="153"/>
      <c r="M167" s="64" t="s">
        <v>533</v>
      </c>
      <c r="N167" s="61">
        <f>SUMIFS(INDEX(detail_table[],,MATCH(M167,detail_table[#Headers],0)),detail_table[Project Type],"&lt;&gt;"&amp;"")</f>
        <v>0</v>
      </c>
    </row>
    <row r="168" spans="1:14" ht="52.5" thickBot="1" x14ac:dyDescent="0.4">
      <c r="A168" s="23"/>
      <c r="B168" s="4" t="s">
        <v>216</v>
      </c>
      <c r="C168" s="4" t="s">
        <v>0</v>
      </c>
      <c r="D168" s="4" t="s">
        <v>1</v>
      </c>
      <c r="E168" s="4" t="s">
        <v>2</v>
      </c>
      <c r="F168" s="4" t="s">
        <v>3</v>
      </c>
      <c r="G168" s="153"/>
      <c r="H168" s="153"/>
      <c r="M168" s="64" t="s">
        <v>534</v>
      </c>
      <c r="N168" s="61">
        <f>SUMIFS(INDEX(detail_table[],,MATCH(M168,detail_table[#Headers],0)),detail_table[Project Type],"&lt;&gt;"&amp;"")</f>
        <v>0</v>
      </c>
    </row>
    <row r="169" spans="1:14" ht="15" thickBot="1" x14ac:dyDescent="0.4">
      <c r="A169" s="52" t="s">
        <v>215</v>
      </c>
      <c r="B169" s="107">
        <f t="shared" ref="B169:F176" si="15">INDEX($N$2:$N$1687,MATCH($B$167&amp;" | "&amp;$A169&amp;" | "&amp;B$168,$M$2:$M$1687,0))</f>
        <v>0</v>
      </c>
      <c r="C169" s="71">
        <f t="shared" si="15"/>
        <v>0</v>
      </c>
      <c r="D169" s="71">
        <f t="shared" si="15"/>
        <v>0</v>
      </c>
      <c r="E169" s="71">
        <f t="shared" si="15"/>
        <v>0</v>
      </c>
      <c r="F169" s="71">
        <f t="shared" si="15"/>
        <v>0</v>
      </c>
      <c r="G169" s="153"/>
      <c r="H169" s="153"/>
      <c r="M169" s="64" t="s">
        <v>535</v>
      </c>
      <c r="N169" s="61">
        <f>SUMIFS(INDEX(detail_table[],,MATCH(M169,detail_table[#Headers],0)),detail_table[Project Type],"&lt;&gt;"&amp;"")</f>
        <v>0</v>
      </c>
    </row>
    <row r="170" spans="1:14" ht="15" thickBot="1" x14ac:dyDescent="0.4">
      <c r="A170" s="52" t="s">
        <v>217</v>
      </c>
      <c r="B170" s="107">
        <f t="shared" si="15"/>
        <v>0</v>
      </c>
      <c r="C170" s="71">
        <f t="shared" si="15"/>
        <v>0</v>
      </c>
      <c r="D170" s="71">
        <f t="shared" si="15"/>
        <v>0</v>
      </c>
      <c r="E170" s="71">
        <f t="shared" si="15"/>
        <v>0</v>
      </c>
      <c r="F170" s="71">
        <f t="shared" si="15"/>
        <v>0</v>
      </c>
      <c r="G170" s="153"/>
      <c r="H170" s="153"/>
      <c r="M170" s="64" t="s">
        <v>536</v>
      </c>
      <c r="N170" s="61">
        <f>SUMIFS(INDEX(detail_table[],,MATCH(M170,detail_table[#Headers],0)),detail_table[Project Type],"&lt;&gt;"&amp;"")</f>
        <v>0</v>
      </c>
    </row>
    <row r="171" spans="1:14" ht="15" thickBot="1" x14ac:dyDescent="0.4">
      <c r="A171" s="52" t="s">
        <v>218</v>
      </c>
      <c r="B171" s="107">
        <f t="shared" si="15"/>
        <v>0</v>
      </c>
      <c r="C171" s="71">
        <f t="shared" si="15"/>
        <v>0</v>
      </c>
      <c r="D171" s="71">
        <f t="shared" si="15"/>
        <v>0</v>
      </c>
      <c r="E171" s="71">
        <f t="shared" si="15"/>
        <v>0</v>
      </c>
      <c r="F171" s="71">
        <f t="shared" si="15"/>
        <v>0</v>
      </c>
      <c r="G171" s="153"/>
      <c r="H171" s="153"/>
      <c r="M171" s="64" t="s">
        <v>537</v>
      </c>
      <c r="N171" s="61">
        <f>SUMIFS(INDEX(detail_table[],,MATCH(M171,detail_table[#Headers],0)),detail_table[Project Type],"&lt;&gt;"&amp;"")</f>
        <v>0</v>
      </c>
    </row>
    <row r="172" spans="1:14" ht="26.5" thickBot="1" x14ac:dyDescent="0.4">
      <c r="A172" s="52" t="s">
        <v>219</v>
      </c>
      <c r="B172" s="107">
        <f t="shared" si="15"/>
        <v>0</v>
      </c>
      <c r="C172" s="71">
        <f t="shared" si="15"/>
        <v>0</v>
      </c>
      <c r="D172" s="71">
        <f t="shared" si="15"/>
        <v>0</v>
      </c>
      <c r="E172" s="71">
        <f t="shared" si="15"/>
        <v>0</v>
      </c>
      <c r="F172" s="71">
        <f t="shared" si="15"/>
        <v>0</v>
      </c>
      <c r="G172" s="153"/>
      <c r="H172" s="153"/>
      <c r="M172" s="64" t="s">
        <v>538</v>
      </c>
      <c r="N172" s="61">
        <f>SUMIFS(INDEX(detail_table[],,MATCH(M172,detail_table[#Headers],0)),detail_table[Project Type],"&lt;&gt;"&amp;"")</f>
        <v>0</v>
      </c>
    </row>
    <row r="173" spans="1:14" ht="26.5" thickBot="1" x14ac:dyDescent="0.4">
      <c r="A173" s="52" t="s">
        <v>220</v>
      </c>
      <c r="B173" s="107">
        <f t="shared" si="15"/>
        <v>0</v>
      </c>
      <c r="C173" s="71">
        <f t="shared" si="15"/>
        <v>0</v>
      </c>
      <c r="D173" s="71">
        <f t="shared" si="15"/>
        <v>0</v>
      </c>
      <c r="E173" s="71">
        <f t="shared" si="15"/>
        <v>0</v>
      </c>
      <c r="F173" s="71">
        <f t="shared" si="15"/>
        <v>0</v>
      </c>
      <c r="G173" s="153"/>
      <c r="H173" s="153"/>
      <c r="M173" s="64" t="s">
        <v>539</v>
      </c>
      <c r="N173" s="61">
        <f>SUMIFS(INDEX(detail_table[],,MATCH(M173,detail_table[#Headers],0)),detail_table[Project Type],"&lt;&gt;"&amp;"")</f>
        <v>0</v>
      </c>
    </row>
    <row r="174" spans="1:14" ht="26.5" thickBot="1" x14ac:dyDescent="0.4">
      <c r="A174" s="52" t="s">
        <v>221</v>
      </c>
      <c r="B174" s="107">
        <f t="shared" si="15"/>
        <v>0</v>
      </c>
      <c r="C174" s="71">
        <f t="shared" si="15"/>
        <v>0</v>
      </c>
      <c r="D174" s="71">
        <f t="shared" si="15"/>
        <v>0</v>
      </c>
      <c r="E174" s="71">
        <f t="shared" si="15"/>
        <v>0</v>
      </c>
      <c r="F174" s="71">
        <f t="shared" si="15"/>
        <v>0</v>
      </c>
      <c r="G174" s="153"/>
      <c r="H174" s="153"/>
      <c r="M174" s="64" t="s">
        <v>540</v>
      </c>
      <c r="N174" s="61">
        <f>SUMIFS(INDEX(detail_table[],,MATCH(M174,detail_table[#Headers],0)),detail_table[Project Type],"&lt;&gt;"&amp;"")</f>
        <v>0</v>
      </c>
    </row>
    <row r="175" spans="1:14" ht="26.5" thickBot="1" x14ac:dyDescent="0.4">
      <c r="A175" s="52" t="s">
        <v>222</v>
      </c>
      <c r="B175" s="107">
        <f t="shared" si="15"/>
        <v>0</v>
      </c>
      <c r="C175" s="71">
        <f t="shared" si="15"/>
        <v>0</v>
      </c>
      <c r="D175" s="71">
        <f t="shared" si="15"/>
        <v>0</v>
      </c>
      <c r="E175" s="71">
        <f t="shared" si="15"/>
        <v>0</v>
      </c>
      <c r="F175" s="71">
        <f t="shared" si="15"/>
        <v>0</v>
      </c>
      <c r="G175" s="153"/>
      <c r="H175" s="153"/>
      <c r="M175" s="64" t="s">
        <v>541</v>
      </c>
      <c r="N175" s="61">
        <f>SUMIFS(INDEX(detail_table[],,MATCH(M175,detail_table[#Headers],0)),detail_table[Project Type],"&lt;&gt;"&amp;"")</f>
        <v>0</v>
      </c>
    </row>
    <row r="176" spans="1:14" ht="15" thickBot="1" x14ac:dyDescent="0.4">
      <c r="A176" s="52" t="s">
        <v>223</v>
      </c>
      <c r="B176" s="107">
        <f t="shared" si="15"/>
        <v>0</v>
      </c>
      <c r="C176" s="71">
        <f t="shared" si="15"/>
        <v>0</v>
      </c>
      <c r="D176" s="71">
        <f t="shared" si="15"/>
        <v>0</v>
      </c>
      <c r="E176" s="71">
        <f t="shared" si="15"/>
        <v>0</v>
      </c>
      <c r="F176" s="71">
        <f t="shared" si="15"/>
        <v>0</v>
      </c>
      <c r="G176" s="153"/>
      <c r="H176" s="153"/>
      <c r="M176" s="64" t="s">
        <v>542</v>
      </c>
      <c r="N176" s="61">
        <f>SUMIFS(INDEX(detail_table[],,MATCH(M176,detail_table[#Headers],0)),detail_table[Project Type],"&lt;&gt;"&amp;"")</f>
        <v>0</v>
      </c>
    </row>
    <row r="177" spans="1:18" x14ac:dyDescent="0.35">
      <c r="A177" s="59"/>
      <c r="B177" s="59"/>
      <c r="C177" s="59"/>
      <c r="D177" s="59"/>
      <c r="E177" s="59"/>
      <c r="F177" s="59"/>
      <c r="G177" s="194"/>
      <c r="H177" s="194"/>
      <c r="M177" s="64" t="s">
        <v>543</v>
      </c>
      <c r="N177" s="61">
        <f>SUMIFS(INDEX(detail_table[],,MATCH(M177,detail_table[#Headers],0)),detail_table[Project Type],"&lt;&gt;"&amp;"")</f>
        <v>0</v>
      </c>
      <c r="Q177" s="62"/>
    </row>
    <row r="178" spans="1:18" ht="39.5" thickBot="1" x14ac:dyDescent="0.4">
      <c r="A178" s="186" t="s">
        <v>119</v>
      </c>
      <c r="B178" s="153" t="s">
        <v>84</v>
      </c>
      <c r="C178" s="153"/>
      <c r="D178" s="153"/>
      <c r="E178" s="153"/>
      <c r="F178" s="153"/>
      <c r="G178" s="153"/>
      <c r="H178" s="153"/>
      <c r="M178" s="64" t="s">
        <v>544</v>
      </c>
      <c r="N178" s="61">
        <f>SUMIFS(INDEX(detail_table[],,MATCH(M178,detail_table[#Headers],0)),detail_table[Project Type],"&lt;&gt;"&amp;"")</f>
        <v>0</v>
      </c>
    </row>
    <row r="179" spans="1:18" ht="52.5" thickBot="1" x14ac:dyDescent="0.4">
      <c r="A179" s="23"/>
      <c r="B179" s="4" t="s">
        <v>216</v>
      </c>
      <c r="C179" s="4" t="s">
        <v>0</v>
      </c>
      <c r="D179" s="4" t="s">
        <v>1</v>
      </c>
      <c r="E179" s="4" t="s">
        <v>2</v>
      </c>
      <c r="F179" s="4" t="s">
        <v>3</v>
      </c>
      <c r="G179" s="153"/>
      <c r="H179" s="153"/>
      <c r="M179" s="64" t="s">
        <v>545</v>
      </c>
      <c r="N179" s="61">
        <f>SUMIFS(INDEX(detail_table[],,MATCH(M179,detail_table[#Headers],0)),detail_table[Project Type],"&lt;&gt;"&amp;"")</f>
        <v>0</v>
      </c>
    </row>
    <row r="180" spans="1:18" ht="15" thickBot="1" x14ac:dyDescent="0.4">
      <c r="A180" s="52" t="s">
        <v>215</v>
      </c>
      <c r="B180" s="107">
        <f t="shared" ref="B180:F187" si="16">INDEX($N$2:$N$1687,MATCH($B$178&amp;" | "&amp;$A180&amp;" | "&amp;B$179,$M$2:$M$1687,0))</f>
        <v>0</v>
      </c>
      <c r="C180" s="71">
        <f t="shared" si="16"/>
        <v>0</v>
      </c>
      <c r="D180" s="71">
        <f t="shared" si="16"/>
        <v>0</v>
      </c>
      <c r="E180" s="71">
        <f t="shared" si="16"/>
        <v>0</v>
      </c>
      <c r="F180" s="71">
        <f t="shared" si="16"/>
        <v>0</v>
      </c>
      <c r="G180" s="153"/>
      <c r="H180" s="153"/>
      <c r="M180" s="64" t="s">
        <v>546</v>
      </c>
      <c r="N180" s="61">
        <f>SUMIFS(INDEX(detail_table[],,MATCH(M180,detail_table[#Headers],0)),detail_table[Project Type],"&lt;&gt;"&amp;"")</f>
        <v>0</v>
      </c>
    </row>
    <row r="181" spans="1:18" ht="15" thickBot="1" x14ac:dyDescent="0.4">
      <c r="A181" s="52" t="s">
        <v>217</v>
      </c>
      <c r="B181" s="107">
        <f t="shared" si="16"/>
        <v>0</v>
      </c>
      <c r="C181" s="71">
        <f t="shared" si="16"/>
        <v>0</v>
      </c>
      <c r="D181" s="71">
        <f t="shared" si="16"/>
        <v>0</v>
      </c>
      <c r="E181" s="71">
        <f t="shared" si="16"/>
        <v>0</v>
      </c>
      <c r="F181" s="71">
        <f t="shared" si="16"/>
        <v>0</v>
      </c>
      <c r="G181" s="153"/>
      <c r="H181" s="153"/>
      <c r="M181" s="64" t="s">
        <v>547</v>
      </c>
      <c r="N181" s="61">
        <f>SUMIFS(INDEX(detail_table[],,MATCH(M181,detail_table[#Headers],0)),detail_table[Project Type],"&lt;&gt;"&amp;"")</f>
        <v>0</v>
      </c>
    </row>
    <row r="182" spans="1:18" ht="15" thickBot="1" x14ac:dyDescent="0.4">
      <c r="A182" s="52" t="s">
        <v>218</v>
      </c>
      <c r="B182" s="107">
        <f t="shared" si="16"/>
        <v>0</v>
      </c>
      <c r="C182" s="71">
        <f t="shared" si="16"/>
        <v>0</v>
      </c>
      <c r="D182" s="71">
        <f t="shared" si="16"/>
        <v>0</v>
      </c>
      <c r="E182" s="71">
        <f t="shared" si="16"/>
        <v>0</v>
      </c>
      <c r="F182" s="71">
        <f t="shared" si="16"/>
        <v>0</v>
      </c>
      <c r="G182" s="153"/>
      <c r="H182" s="153"/>
      <c r="M182" s="64" t="s">
        <v>548</v>
      </c>
      <c r="N182" s="61">
        <f>SUMIFS(INDEX(detail_table[],,MATCH(M182,detail_table[#Headers],0)),detail_table[Project Type],"&lt;&gt;"&amp;"")</f>
        <v>0</v>
      </c>
    </row>
    <row r="183" spans="1:18" ht="26.5" thickBot="1" x14ac:dyDescent="0.4">
      <c r="A183" s="52" t="s">
        <v>219</v>
      </c>
      <c r="B183" s="107">
        <f t="shared" si="16"/>
        <v>0</v>
      </c>
      <c r="C183" s="71">
        <f t="shared" si="16"/>
        <v>0</v>
      </c>
      <c r="D183" s="71">
        <f t="shared" si="16"/>
        <v>0</v>
      </c>
      <c r="E183" s="71">
        <f t="shared" si="16"/>
        <v>0</v>
      </c>
      <c r="F183" s="71">
        <f t="shared" si="16"/>
        <v>0</v>
      </c>
      <c r="G183" s="153"/>
      <c r="H183" s="153"/>
      <c r="J183" s="62"/>
      <c r="M183" s="64" t="s">
        <v>549</v>
      </c>
      <c r="N183" s="61">
        <f>SUMIFS(INDEX(detail_table[],,MATCH(M183,detail_table[#Headers],0)),detail_table[Project Type],"&lt;&gt;"&amp;"")</f>
        <v>0</v>
      </c>
    </row>
    <row r="184" spans="1:18" ht="26.5" thickBot="1" x14ac:dyDescent="0.4">
      <c r="A184" s="52" t="s">
        <v>220</v>
      </c>
      <c r="B184" s="107">
        <f t="shared" si="16"/>
        <v>0</v>
      </c>
      <c r="C184" s="71">
        <f t="shared" si="16"/>
        <v>0</v>
      </c>
      <c r="D184" s="71">
        <f t="shared" si="16"/>
        <v>0</v>
      </c>
      <c r="E184" s="71">
        <f t="shared" si="16"/>
        <v>0</v>
      </c>
      <c r="F184" s="71">
        <f t="shared" si="16"/>
        <v>0</v>
      </c>
      <c r="G184" s="153"/>
      <c r="H184" s="153"/>
      <c r="M184" s="64" t="s">
        <v>550</v>
      </c>
      <c r="N184" s="61">
        <f>SUMIFS(INDEX(detail_table[],,MATCH(M184,detail_table[#Headers],0)),detail_table[Project Type],"&lt;&gt;"&amp;"")</f>
        <v>0</v>
      </c>
    </row>
    <row r="185" spans="1:18" ht="26.5" thickBot="1" x14ac:dyDescent="0.4">
      <c r="A185" s="52" t="s">
        <v>221</v>
      </c>
      <c r="B185" s="107">
        <f t="shared" si="16"/>
        <v>0</v>
      </c>
      <c r="C185" s="71">
        <f t="shared" si="16"/>
        <v>0</v>
      </c>
      <c r="D185" s="71">
        <f t="shared" si="16"/>
        <v>0</v>
      </c>
      <c r="E185" s="71">
        <f t="shared" si="16"/>
        <v>0</v>
      </c>
      <c r="F185" s="71">
        <f t="shared" si="16"/>
        <v>0</v>
      </c>
      <c r="G185" s="153"/>
      <c r="H185" s="153"/>
      <c r="M185" s="64" t="s">
        <v>551</v>
      </c>
      <c r="N185" s="61">
        <f>SUMIFS(INDEX(detail_table[],,MATCH(M185,detail_table[#Headers],0)),detail_table[Project Type],"&lt;&gt;"&amp;"")</f>
        <v>0</v>
      </c>
      <c r="R185" s="62"/>
    </row>
    <row r="186" spans="1:18" ht="26.5" thickBot="1" x14ac:dyDescent="0.4">
      <c r="A186" s="52" t="s">
        <v>222</v>
      </c>
      <c r="B186" s="107">
        <f t="shared" si="16"/>
        <v>0</v>
      </c>
      <c r="C186" s="71">
        <f t="shared" si="16"/>
        <v>0</v>
      </c>
      <c r="D186" s="71">
        <f t="shared" si="16"/>
        <v>0</v>
      </c>
      <c r="E186" s="71">
        <f t="shared" si="16"/>
        <v>0</v>
      </c>
      <c r="F186" s="71">
        <f t="shared" si="16"/>
        <v>0</v>
      </c>
      <c r="G186" s="153"/>
      <c r="H186" s="153"/>
      <c r="I186" s="62"/>
      <c r="M186" s="64" t="s">
        <v>552</v>
      </c>
      <c r="N186" s="61">
        <f>SUMIFS(INDEX(detail_table[],,MATCH(M186,detail_table[#Headers],0)),detail_table[Project Type],"&lt;&gt;"&amp;"")</f>
        <v>0</v>
      </c>
    </row>
    <row r="187" spans="1:18" s="62" customFormat="1" ht="14.5" customHeight="1" thickBot="1" x14ac:dyDescent="0.4">
      <c r="A187" s="52" t="s">
        <v>223</v>
      </c>
      <c r="B187" s="107">
        <f t="shared" si="16"/>
        <v>0</v>
      </c>
      <c r="C187" s="71">
        <f t="shared" si="16"/>
        <v>0</v>
      </c>
      <c r="D187" s="71">
        <f t="shared" si="16"/>
        <v>0</v>
      </c>
      <c r="E187" s="71">
        <f t="shared" si="16"/>
        <v>0</v>
      </c>
      <c r="F187" s="71">
        <f t="shared" si="16"/>
        <v>0</v>
      </c>
      <c r="G187" s="153"/>
      <c r="H187" s="153"/>
      <c r="I187" s="61"/>
      <c r="J187" s="61"/>
      <c r="K187" s="61"/>
      <c r="L187" s="61"/>
      <c r="M187" s="64" t="s">
        <v>553</v>
      </c>
      <c r="N187" s="61">
        <f>SUMIFS(INDEX(detail_table[],,MATCH(M187,detail_table[#Headers],0)),detail_table[Project Type],"&lt;&gt;"&amp;"")</f>
        <v>0</v>
      </c>
      <c r="O187" s="61"/>
      <c r="P187" s="61"/>
      <c r="Q187" s="61"/>
      <c r="R187" s="61"/>
    </row>
    <row r="188" spans="1:18" ht="20.5" customHeight="1" x14ac:dyDescent="0.35">
      <c r="A188" s="59"/>
      <c r="B188" s="59"/>
      <c r="C188" s="59"/>
      <c r="D188" s="59"/>
      <c r="E188" s="59"/>
      <c r="F188" s="59"/>
      <c r="G188" s="194"/>
      <c r="H188" s="194"/>
      <c r="M188" s="64" t="s">
        <v>554</v>
      </c>
      <c r="N188" s="61">
        <f>SUMIFS(INDEX(detail_table[],,MATCH(M188,detail_table[#Headers],0)),detail_table[Project Type],"&lt;&gt;"&amp;"")</f>
        <v>0</v>
      </c>
      <c r="Q188" s="62"/>
    </row>
    <row r="189" spans="1:18" x14ac:dyDescent="0.35">
      <c r="A189" s="227" t="s">
        <v>120</v>
      </c>
      <c r="B189" s="153"/>
      <c r="C189" s="153"/>
      <c r="D189" s="153"/>
      <c r="E189" s="153"/>
      <c r="F189" s="153"/>
      <c r="G189" s="153"/>
      <c r="H189" s="153"/>
      <c r="M189" s="64" t="s">
        <v>555</v>
      </c>
      <c r="N189" s="61">
        <f>SUMIFS(INDEX(detail_table[],,MATCH(M189,detail_table[#Headers],0)),detail_table[Project Type],"&lt;&gt;"&amp;"")</f>
        <v>0</v>
      </c>
    </row>
    <row r="190" spans="1:18" ht="39.5" thickBot="1" x14ac:dyDescent="0.4">
      <c r="A190" s="186" t="s">
        <v>121</v>
      </c>
      <c r="B190" s="153" t="s">
        <v>85</v>
      </c>
      <c r="C190" s="153"/>
      <c r="D190" s="153"/>
      <c r="E190" s="153"/>
      <c r="F190" s="153"/>
      <c r="G190" s="153"/>
      <c r="H190" s="153"/>
      <c r="M190" s="64" t="s">
        <v>556</v>
      </c>
      <c r="N190" s="61">
        <f>SUMIFS(INDEX(detail_table[],,MATCH(M190,detail_table[#Headers],0)),detail_table[Project Type],"&lt;&gt;"&amp;"")</f>
        <v>0</v>
      </c>
    </row>
    <row r="191" spans="1:18" ht="52.5" thickBot="1" x14ac:dyDescent="0.4">
      <c r="A191" s="23"/>
      <c r="B191" s="4" t="s">
        <v>8</v>
      </c>
      <c r="C191" s="4" t="s">
        <v>0</v>
      </c>
      <c r="D191" s="4" t="s">
        <v>1</v>
      </c>
      <c r="E191" s="4" t="s">
        <v>2</v>
      </c>
      <c r="F191" s="4" t="s">
        <v>3</v>
      </c>
      <c r="G191" s="153"/>
      <c r="H191" s="153"/>
      <c r="M191" s="64" t="s">
        <v>557</v>
      </c>
      <c r="N191" s="61">
        <f>SUMIFS(INDEX(detail_table[],,MATCH(M191,detail_table[#Headers],0)),detail_table[Project Type],"&lt;&gt;"&amp;"")</f>
        <v>0</v>
      </c>
    </row>
    <row r="192" spans="1:18" ht="15" thickBot="1" x14ac:dyDescent="0.4">
      <c r="A192" s="52" t="s">
        <v>224</v>
      </c>
      <c r="B192" s="107">
        <f t="shared" ref="B192:F196" si="17">INDEX($N$2:$N$1687,MATCH($B$190&amp;" | "&amp;$A192&amp;" | "&amp;B$191,$M$2:$M$1687,0))</f>
        <v>0</v>
      </c>
      <c r="C192" s="71">
        <f t="shared" si="17"/>
        <v>0</v>
      </c>
      <c r="D192" s="71">
        <f t="shared" si="17"/>
        <v>0</v>
      </c>
      <c r="E192" s="71">
        <f t="shared" si="17"/>
        <v>0</v>
      </c>
      <c r="F192" s="71">
        <f t="shared" si="17"/>
        <v>0</v>
      </c>
      <c r="G192" s="153"/>
      <c r="H192" s="153"/>
      <c r="M192" s="64" t="s">
        <v>558</v>
      </c>
      <c r="N192" s="61">
        <f>SUMIFS(INDEX(detail_table[],,MATCH(M192,detail_table[#Headers],0)),detail_table[Project Type],"&lt;&gt;"&amp;"")</f>
        <v>0</v>
      </c>
    </row>
    <row r="193" spans="1:18" ht="15" thickBot="1" x14ac:dyDescent="0.4">
      <c r="A193" s="52" t="s">
        <v>225</v>
      </c>
      <c r="B193" s="107">
        <f t="shared" si="17"/>
        <v>0</v>
      </c>
      <c r="C193" s="71">
        <f t="shared" si="17"/>
        <v>0</v>
      </c>
      <c r="D193" s="71">
        <f t="shared" si="17"/>
        <v>0</v>
      </c>
      <c r="E193" s="71">
        <f t="shared" si="17"/>
        <v>0</v>
      </c>
      <c r="F193" s="71">
        <f t="shared" si="17"/>
        <v>0</v>
      </c>
      <c r="G193" s="153"/>
      <c r="H193" s="153"/>
      <c r="M193" s="64" t="s">
        <v>559</v>
      </c>
      <c r="N193" s="61">
        <f>SUMIFS(INDEX(detail_table[],,MATCH(M193,detail_table[#Headers],0)),detail_table[Project Type],"&lt;&gt;"&amp;"")</f>
        <v>0</v>
      </c>
    </row>
    <row r="194" spans="1:18" ht="15" thickBot="1" x14ac:dyDescent="0.4">
      <c r="A194" s="52" t="s">
        <v>157</v>
      </c>
      <c r="B194" s="107">
        <f t="shared" si="17"/>
        <v>0</v>
      </c>
      <c r="C194" s="71">
        <f t="shared" si="17"/>
        <v>0</v>
      </c>
      <c r="D194" s="71">
        <f t="shared" si="17"/>
        <v>0</v>
      </c>
      <c r="E194" s="71">
        <f t="shared" si="17"/>
        <v>0</v>
      </c>
      <c r="F194" s="71">
        <f t="shared" si="17"/>
        <v>0</v>
      </c>
      <c r="G194" s="153"/>
      <c r="H194" s="153"/>
      <c r="J194" s="62"/>
      <c r="M194" s="64" t="s">
        <v>560</v>
      </c>
      <c r="N194" s="61">
        <f>SUMIFS(INDEX(detail_table[],,MATCH(M194,detail_table[#Headers],0)),detail_table[Project Type],"&lt;&gt;"&amp;"")</f>
        <v>0</v>
      </c>
    </row>
    <row r="195" spans="1:18" ht="15" thickBot="1" x14ac:dyDescent="0.4">
      <c r="A195" s="52" t="s">
        <v>143</v>
      </c>
      <c r="B195" s="107">
        <f t="shared" si="17"/>
        <v>0</v>
      </c>
      <c r="C195" s="71">
        <f t="shared" si="17"/>
        <v>0</v>
      </c>
      <c r="D195" s="71">
        <f t="shared" si="17"/>
        <v>0</v>
      </c>
      <c r="E195" s="71">
        <f t="shared" si="17"/>
        <v>0</v>
      </c>
      <c r="F195" s="71">
        <f t="shared" si="17"/>
        <v>0</v>
      </c>
      <c r="G195" s="153"/>
      <c r="H195" s="153"/>
      <c r="M195" s="64" t="s">
        <v>561</v>
      </c>
      <c r="N195" s="61">
        <f>SUMIFS(INDEX(detail_table[],,MATCH(M195,detail_table[#Headers],0)),detail_table[Project Type],"&lt;&gt;"&amp;"")</f>
        <v>0</v>
      </c>
    </row>
    <row r="196" spans="1:18" ht="15" thickBot="1" x14ac:dyDescent="0.4">
      <c r="A196" s="2" t="s">
        <v>144</v>
      </c>
      <c r="B196" s="107">
        <f t="shared" si="17"/>
        <v>0</v>
      </c>
      <c r="C196" s="107">
        <f t="shared" si="17"/>
        <v>0</v>
      </c>
      <c r="D196" s="107">
        <f t="shared" si="17"/>
        <v>0</v>
      </c>
      <c r="E196" s="107">
        <f t="shared" si="17"/>
        <v>0</v>
      </c>
      <c r="F196" s="107">
        <f t="shared" si="17"/>
        <v>0</v>
      </c>
      <c r="G196" s="153"/>
      <c r="H196" s="153"/>
      <c r="M196" s="64" t="s">
        <v>562</v>
      </c>
      <c r="N196" s="61">
        <f>SUMIFS(INDEX(detail_table[],,MATCH(M196,detail_table[#Headers],0)),detail_table[Project Type],"&lt;&gt;"&amp;"")</f>
        <v>0</v>
      </c>
      <c r="Q196" s="62"/>
      <c r="R196" s="62"/>
    </row>
    <row r="197" spans="1:18" x14ac:dyDescent="0.35">
      <c r="A197" s="60"/>
      <c r="B197" s="59"/>
      <c r="C197" s="59"/>
      <c r="D197" s="59"/>
      <c r="E197" s="59"/>
      <c r="F197" s="59"/>
      <c r="G197" s="194"/>
      <c r="H197" s="194"/>
      <c r="I197" s="62"/>
      <c r="M197" s="64" t="s">
        <v>563</v>
      </c>
      <c r="N197" s="61">
        <f>SUMIFS(INDEX(detail_table[],,MATCH(M197,detail_table[#Headers],0)),detail_table[Project Type],"&lt;&gt;"&amp;"")</f>
        <v>0</v>
      </c>
    </row>
    <row r="198" spans="1:18" s="62" customFormat="1" ht="26.5" thickBot="1" x14ac:dyDescent="0.4">
      <c r="A198" s="186" t="s">
        <v>122</v>
      </c>
      <c r="B198" s="153" t="s">
        <v>86</v>
      </c>
      <c r="C198" s="153"/>
      <c r="D198" s="153"/>
      <c r="E198" s="153"/>
      <c r="F198" s="153"/>
      <c r="G198" s="153"/>
      <c r="H198" s="153"/>
      <c r="I198" s="61"/>
      <c r="J198" s="61"/>
      <c r="K198" s="61"/>
      <c r="L198" s="61"/>
      <c r="M198" s="64" t="s">
        <v>564</v>
      </c>
      <c r="N198" s="61">
        <f>SUMIFS(INDEX(detail_table[],,MATCH(M198,detail_table[#Headers],0)),detail_table[Project Type],"&lt;&gt;"&amp;"")</f>
        <v>0</v>
      </c>
      <c r="O198" s="61"/>
      <c r="P198" s="61"/>
      <c r="Q198" s="61"/>
      <c r="R198" s="61"/>
    </row>
    <row r="199" spans="1:18" ht="52.5" thickBot="1" x14ac:dyDescent="0.4">
      <c r="A199" s="23"/>
      <c r="B199" s="4" t="s">
        <v>8</v>
      </c>
      <c r="C199" s="4" t="s">
        <v>0</v>
      </c>
      <c r="D199" s="4" t="s">
        <v>1</v>
      </c>
      <c r="E199" s="4" t="s">
        <v>2</v>
      </c>
      <c r="F199" s="4" t="s">
        <v>3</v>
      </c>
      <c r="G199" s="153"/>
      <c r="H199" s="153"/>
      <c r="M199" s="64" t="s">
        <v>565</v>
      </c>
      <c r="N199" s="61">
        <f>SUMIFS(INDEX(detail_table[],,MATCH(M199,detail_table[#Headers],0)),detail_table[Project Type],"&lt;&gt;"&amp;"")</f>
        <v>0</v>
      </c>
    </row>
    <row r="200" spans="1:18" ht="15" thickBot="1" x14ac:dyDescent="0.4">
      <c r="A200" s="52" t="s">
        <v>224</v>
      </c>
      <c r="B200" s="107">
        <f t="shared" ref="B200:F204" si="18">INDEX($N$2:$N$1687,MATCH($B$198&amp;" | "&amp;$A200&amp;" | "&amp;B$199,$M$2:$M$1687,0))</f>
        <v>0</v>
      </c>
      <c r="C200" s="71">
        <f t="shared" si="18"/>
        <v>0</v>
      </c>
      <c r="D200" s="71">
        <f t="shared" si="18"/>
        <v>0</v>
      </c>
      <c r="E200" s="71">
        <f t="shared" si="18"/>
        <v>0</v>
      </c>
      <c r="F200" s="71">
        <f t="shared" si="18"/>
        <v>0</v>
      </c>
      <c r="G200" s="153"/>
      <c r="H200" s="153"/>
      <c r="M200" s="64" t="s">
        <v>566</v>
      </c>
      <c r="N200" s="61">
        <f>SUMIFS(INDEX(detail_table[],,MATCH(M200,detail_table[#Headers],0)),detail_table[Project Type],"&lt;&gt;"&amp;"")</f>
        <v>0</v>
      </c>
    </row>
    <row r="201" spans="1:18" ht="15" thickBot="1" x14ac:dyDescent="0.4">
      <c r="A201" s="52" t="s">
        <v>225</v>
      </c>
      <c r="B201" s="107">
        <f t="shared" si="18"/>
        <v>0</v>
      </c>
      <c r="C201" s="71">
        <f t="shared" si="18"/>
        <v>0</v>
      </c>
      <c r="D201" s="71">
        <f t="shared" si="18"/>
        <v>0</v>
      </c>
      <c r="E201" s="71">
        <f t="shared" si="18"/>
        <v>0</v>
      </c>
      <c r="F201" s="71">
        <f t="shared" si="18"/>
        <v>0</v>
      </c>
      <c r="G201" s="153"/>
      <c r="H201" s="153"/>
      <c r="M201" s="64" t="s">
        <v>567</v>
      </c>
      <c r="N201" s="61">
        <f>SUMIFS(INDEX(detail_table[],,MATCH(M201,detail_table[#Headers],0)),detail_table[Project Type],"&lt;&gt;"&amp;"")</f>
        <v>0</v>
      </c>
    </row>
    <row r="202" spans="1:18" ht="15" thickBot="1" x14ac:dyDescent="0.4">
      <c r="A202" s="52" t="s">
        <v>157</v>
      </c>
      <c r="B202" s="107">
        <f t="shared" si="18"/>
        <v>0</v>
      </c>
      <c r="C202" s="71">
        <f t="shared" si="18"/>
        <v>0</v>
      </c>
      <c r="D202" s="71">
        <f t="shared" si="18"/>
        <v>0</v>
      </c>
      <c r="E202" s="71">
        <f t="shared" si="18"/>
        <v>0</v>
      </c>
      <c r="F202" s="71">
        <f t="shared" si="18"/>
        <v>0</v>
      </c>
      <c r="G202" s="153"/>
      <c r="H202" s="153"/>
      <c r="J202" s="62"/>
      <c r="M202" s="64" t="s">
        <v>568</v>
      </c>
      <c r="N202" s="61">
        <f>SUMIFS(INDEX(detail_table[],,MATCH(M202,detail_table[#Headers],0)),detail_table[Project Type],"&lt;&gt;"&amp;"")</f>
        <v>0</v>
      </c>
    </row>
    <row r="203" spans="1:18" ht="15" thickBot="1" x14ac:dyDescent="0.4">
      <c r="A203" s="52" t="s">
        <v>143</v>
      </c>
      <c r="B203" s="107">
        <f t="shared" si="18"/>
        <v>0</v>
      </c>
      <c r="C203" s="71">
        <f t="shared" si="18"/>
        <v>0</v>
      </c>
      <c r="D203" s="71">
        <f t="shared" si="18"/>
        <v>0</v>
      </c>
      <c r="E203" s="71">
        <f t="shared" si="18"/>
        <v>0</v>
      </c>
      <c r="F203" s="71">
        <f t="shared" si="18"/>
        <v>0</v>
      </c>
      <c r="G203" s="153"/>
      <c r="H203" s="153"/>
      <c r="M203" s="64" t="s">
        <v>569</v>
      </c>
      <c r="N203" s="61">
        <f>SUMIFS(INDEX(detail_table[],,MATCH(M203,detail_table[#Headers],0)),detail_table[Project Type],"&lt;&gt;"&amp;"")</f>
        <v>0</v>
      </c>
      <c r="Q203" s="62"/>
    </row>
    <row r="204" spans="1:18" ht="15" thickBot="1" x14ac:dyDescent="0.4">
      <c r="A204" s="2" t="s">
        <v>144</v>
      </c>
      <c r="B204" s="107">
        <f t="shared" si="18"/>
        <v>0</v>
      </c>
      <c r="C204" s="107">
        <f t="shared" si="18"/>
        <v>0</v>
      </c>
      <c r="D204" s="107">
        <f t="shared" si="18"/>
        <v>0</v>
      </c>
      <c r="E204" s="107">
        <f t="shared" si="18"/>
        <v>0</v>
      </c>
      <c r="F204" s="107">
        <f t="shared" si="18"/>
        <v>0</v>
      </c>
      <c r="G204" s="153"/>
      <c r="H204" s="153"/>
      <c r="M204" s="64" t="s">
        <v>570</v>
      </c>
      <c r="N204" s="61">
        <f>SUMIFS(INDEX(detail_table[],,MATCH(M204,detail_table[#Headers],0)),detail_table[Project Type],"&lt;&gt;"&amp;"")</f>
        <v>0</v>
      </c>
      <c r="R204" s="62"/>
    </row>
    <row r="205" spans="1:18" x14ac:dyDescent="0.35">
      <c r="A205" s="60"/>
      <c r="B205" s="59"/>
      <c r="C205" s="59"/>
      <c r="D205" s="59"/>
      <c r="E205" s="59"/>
      <c r="F205" s="59"/>
      <c r="G205" s="194"/>
      <c r="H205" s="194"/>
      <c r="M205" s="64" t="s">
        <v>571</v>
      </c>
      <c r="N205" s="61">
        <f>SUMIFS(INDEX(detail_table[],,MATCH(M205,detail_table[#Headers],0)),detail_table[Project Type],"&lt;&gt;"&amp;"")</f>
        <v>0</v>
      </c>
    </row>
    <row r="206" spans="1:18" ht="26.5" thickBot="1" x14ac:dyDescent="0.4">
      <c r="A206" s="189" t="s">
        <v>123</v>
      </c>
      <c r="B206" s="153" t="s">
        <v>87</v>
      </c>
      <c r="C206" s="153"/>
      <c r="D206" s="153"/>
      <c r="E206" s="153"/>
      <c r="F206" s="153"/>
      <c r="G206" s="153"/>
      <c r="H206" s="153"/>
      <c r="I206" s="62"/>
      <c r="M206" s="64" t="s">
        <v>572</v>
      </c>
      <c r="N206" s="61">
        <f>SUMIFS(INDEX(detail_table[],,MATCH(M206,detail_table[#Headers],0)),detail_table[Project Type],"&lt;&gt;"&amp;"")</f>
        <v>0</v>
      </c>
    </row>
    <row r="207" spans="1:18" s="62" customFormat="1" ht="52.5" thickBot="1" x14ac:dyDescent="0.4">
      <c r="A207" s="23"/>
      <c r="B207" s="4" t="s">
        <v>8</v>
      </c>
      <c r="C207" s="4" t="s">
        <v>0</v>
      </c>
      <c r="D207" s="4" t="s">
        <v>1</v>
      </c>
      <c r="E207" s="4" t="s">
        <v>2</v>
      </c>
      <c r="F207" s="4" t="s">
        <v>3</v>
      </c>
      <c r="G207" s="153"/>
      <c r="H207" s="153"/>
      <c r="I207" s="61"/>
      <c r="J207" s="61"/>
      <c r="K207" s="61"/>
      <c r="L207" s="61"/>
      <c r="M207" s="64" t="s">
        <v>573</v>
      </c>
      <c r="N207" s="61">
        <f>SUMIFS(INDEX(detail_table[],,MATCH(M207,detail_table[#Headers],0)),detail_table[Project Type],"&lt;&gt;"&amp;"")</f>
        <v>0</v>
      </c>
      <c r="O207" s="61"/>
      <c r="P207" s="61"/>
      <c r="Q207" s="61"/>
      <c r="R207" s="61"/>
    </row>
    <row r="208" spans="1:18" ht="15" thickBot="1" x14ac:dyDescent="0.4">
      <c r="A208" s="24" t="s">
        <v>226</v>
      </c>
      <c r="B208" s="102"/>
      <c r="C208" s="71"/>
      <c r="D208" s="71"/>
      <c r="E208" s="71"/>
      <c r="F208" s="71"/>
      <c r="G208" s="153"/>
      <c r="H208" s="153"/>
      <c r="M208" s="64" t="s">
        <v>574</v>
      </c>
      <c r="N208" s="61">
        <f>SUMIFS(INDEX(detail_table[],,MATCH(M208,detail_table[#Headers],0)),detail_table[Project Type],"&lt;&gt;"&amp;"")</f>
        <v>0</v>
      </c>
    </row>
    <row r="209" spans="1:18" ht="15" thickBot="1" x14ac:dyDescent="0.4">
      <c r="A209" s="52" t="s">
        <v>227</v>
      </c>
      <c r="B209" s="102">
        <f t="shared" ref="B209:F213" si="19">INDEX($N$2:$N$1687,MATCH($B$206&amp;" | "&amp;$A209&amp;" | "&amp;B$207,$M$2:$M$1687,0))</f>
        <v>0</v>
      </c>
      <c r="C209" s="71">
        <f t="shared" si="19"/>
        <v>0</v>
      </c>
      <c r="D209" s="71">
        <f t="shared" si="19"/>
        <v>0</v>
      </c>
      <c r="E209" s="71">
        <f t="shared" si="19"/>
        <v>0</v>
      </c>
      <c r="F209" s="71">
        <f t="shared" si="19"/>
        <v>0</v>
      </c>
      <c r="G209" s="153"/>
      <c r="H209" s="153"/>
      <c r="M209" s="64" t="s">
        <v>575</v>
      </c>
      <c r="N209" s="61">
        <f>SUMIFS(INDEX(detail_table[],,MATCH(M209,detail_table[#Headers],0)),detail_table[Project Type],"&lt;&gt;"&amp;"")</f>
        <v>0</v>
      </c>
    </row>
    <row r="210" spans="1:18" ht="39.5" thickBot="1" x14ac:dyDescent="0.4">
      <c r="A210" s="52" t="s">
        <v>228</v>
      </c>
      <c r="B210" s="102">
        <f t="shared" si="19"/>
        <v>0</v>
      </c>
      <c r="C210" s="71">
        <f t="shared" si="19"/>
        <v>0</v>
      </c>
      <c r="D210" s="71">
        <f t="shared" si="19"/>
        <v>0</v>
      </c>
      <c r="E210" s="71">
        <f t="shared" si="19"/>
        <v>0</v>
      </c>
      <c r="F210" s="71">
        <f t="shared" si="19"/>
        <v>0</v>
      </c>
      <c r="G210" s="153"/>
      <c r="H210" s="153"/>
      <c r="J210" s="62"/>
      <c r="M210" s="64" t="s">
        <v>576</v>
      </c>
      <c r="N210" s="61">
        <f>SUMIFS(INDEX(detail_table[],,MATCH(M210,detail_table[#Headers],0)),detail_table[Project Type],"&lt;&gt;"&amp;"")</f>
        <v>0</v>
      </c>
    </row>
    <row r="211" spans="1:18" ht="26.5" thickBot="1" x14ac:dyDescent="0.4">
      <c r="A211" s="52" t="s">
        <v>229</v>
      </c>
      <c r="B211" s="102">
        <f t="shared" si="19"/>
        <v>0</v>
      </c>
      <c r="C211" s="71">
        <f t="shared" si="19"/>
        <v>0</v>
      </c>
      <c r="D211" s="71">
        <f t="shared" si="19"/>
        <v>0</v>
      </c>
      <c r="E211" s="71">
        <f t="shared" si="19"/>
        <v>0</v>
      </c>
      <c r="F211" s="71">
        <f t="shared" si="19"/>
        <v>0</v>
      </c>
      <c r="G211" s="153"/>
      <c r="H211" s="153"/>
      <c r="M211" s="64" t="s">
        <v>577</v>
      </c>
      <c r="N211" s="61">
        <f>SUMIFS(INDEX(detail_table[],,MATCH(M211,detail_table[#Headers],0)),detail_table[Project Type],"&lt;&gt;"&amp;"")</f>
        <v>0</v>
      </c>
    </row>
    <row r="212" spans="1:18" ht="15" thickBot="1" x14ac:dyDescent="0.4">
      <c r="A212" s="52" t="s">
        <v>230</v>
      </c>
      <c r="B212" s="102">
        <f t="shared" si="19"/>
        <v>0</v>
      </c>
      <c r="C212" s="71">
        <f t="shared" si="19"/>
        <v>0</v>
      </c>
      <c r="D212" s="71">
        <f t="shared" si="19"/>
        <v>0</v>
      </c>
      <c r="E212" s="71">
        <f t="shared" si="19"/>
        <v>0</v>
      </c>
      <c r="F212" s="71">
        <f t="shared" si="19"/>
        <v>0</v>
      </c>
      <c r="G212" s="153"/>
      <c r="H212" s="153"/>
      <c r="M212" s="64" t="s">
        <v>578</v>
      </c>
      <c r="N212" s="61">
        <f>SUMIFS(INDEX(detail_table[],,MATCH(M212,detail_table[#Headers],0)),detail_table[Project Type],"&lt;&gt;"&amp;"")</f>
        <v>0</v>
      </c>
      <c r="R212" s="62"/>
    </row>
    <row r="213" spans="1:18" ht="15" thickBot="1" x14ac:dyDescent="0.4">
      <c r="A213" s="52" t="s">
        <v>231</v>
      </c>
      <c r="B213" s="102">
        <f t="shared" si="19"/>
        <v>0</v>
      </c>
      <c r="C213" s="71">
        <f t="shared" si="19"/>
        <v>0</v>
      </c>
      <c r="D213" s="71">
        <f t="shared" si="19"/>
        <v>0</v>
      </c>
      <c r="E213" s="71">
        <f t="shared" si="19"/>
        <v>0</v>
      </c>
      <c r="F213" s="71">
        <f t="shared" si="19"/>
        <v>0</v>
      </c>
      <c r="G213" s="153"/>
      <c r="H213" s="153"/>
      <c r="M213" s="64" t="s">
        <v>579</v>
      </c>
      <c r="N213" s="61">
        <f>SUMIFS(INDEX(detail_table[],,MATCH(M213,detail_table[#Headers],0)),detail_table[Project Type],"&lt;&gt;"&amp;"")</f>
        <v>0</v>
      </c>
    </row>
    <row r="214" spans="1:18" ht="15" thickBot="1" x14ac:dyDescent="0.4">
      <c r="A214" s="24" t="s">
        <v>232</v>
      </c>
      <c r="B214" s="102"/>
      <c r="C214" s="71"/>
      <c r="D214" s="71"/>
      <c r="E214" s="71"/>
      <c r="F214" s="71"/>
      <c r="G214" s="153"/>
      <c r="H214" s="153"/>
      <c r="I214" s="62"/>
      <c r="M214" s="64" t="s">
        <v>580</v>
      </c>
      <c r="N214" s="61">
        <f>SUMIFS(INDEX(detail_table[],,MATCH(M214,detail_table[#Headers],0)),detail_table[Project Type],"&lt;&gt;"&amp;"")</f>
        <v>0</v>
      </c>
    </row>
    <row r="215" spans="1:18" s="62" customFormat="1" ht="15" thickBot="1" x14ac:dyDescent="0.4">
      <c r="A215" s="52" t="s">
        <v>233</v>
      </c>
      <c r="B215" s="102">
        <f t="shared" ref="B215:F222" si="20">INDEX($N$2:$N$1687,MATCH($B$206&amp;" | "&amp;$A215&amp;" | "&amp;B$207,$M$2:$M$1687,0))</f>
        <v>0</v>
      </c>
      <c r="C215" s="71">
        <f t="shared" si="20"/>
        <v>0</v>
      </c>
      <c r="D215" s="71">
        <f t="shared" si="20"/>
        <v>0</v>
      </c>
      <c r="E215" s="71">
        <f t="shared" si="20"/>
        <v>0</v>
      </c>
      <c r="F215" s="71">
        <f t="shared" si="20"/>
        <v>0</v>
      </c>
      <c r="G215" s="153"/>
      <c r="H215" s="153"/>
      <c r="I215" s="61"/>
      <c r="J215" s="61"/>
      <c r="K215" s="61"/>
      <c r="L215" s="61"/>
      <c r="M215" s="64" t="s">
        <v>581</v>
      </c>
      <c r="N215" s="61">
        <f>SUMIFS(INDEX(detail_table[],,MATCH(M215,detail_table[#Headers],0)),detail_table[Project Type],"&lt;&gt;"&amp;"")</f>
        <v>0</v>
      </c>
      <c r="O215" s="61"/>
      <c r="P215" s="61"/>
      <c r="Q215" s="61"/>
      <c r="R215" s="61"/>
    </row>
    <row r="216" spans="1:18" ht="26.5" thickBot="1" x14ac:dyDescent="0.4">
      <c r="A216" s="52" t="s">
        <v>234</v>
      </c>
      <c r="B216" s="102">
        <f t="shared" si="20"/>
        <v>0</v>
      </c>
      <c r="C216" s="71">
        <f t="shared" si="20"/>
        <v>0</v>
      </c>
      <c r="D216" s="71">
        <f t="shared" si="20"/>
        <v>0</v>
      </c>
      <c r="E216" s="71">
        <f t="shared" si="20"/>
        <v>0</v>
      </c>
      <c r="F216" s="71">
        <f t="shared" si="20"/>
        <v>0</v>
      </c>
      <c r="G216" s="153"/>
      <c r="H216" s="153"/>
      <c r="M216" s="64" t="s">
        <v>582</v>
      </c>
      <c r="N216" s="61">
        <f>SUMIFS(INDEX(detail_table[],,MATCH(M216,detail_table[#Headers],0)),detail_table[Project Type],"&lt;&gt;"&amp;"")</f>
        <v>0</v>
      </c>
    </row>
    <row r="217" spans="1:18" ht="26.5" thickBot="1" x14ac:dyDescent="0.4">
      <c r="A217" s="52" t="s">
        <v>235</v>
      </c>
      <c r="B217" s="102">
        <f t="shared" si="20"/>
        <v>0</v>
      </c>
      <c r="C217" s="71">
        <f t="shared" si="20"/>
        <v>0</v>
      </c>
      <c r="D217" s="71">
        <f t="shared" si="20"/>
        <v>0</v>
      </c>
      <c r="E217" s="71">
        <f t="shared" si="20"/>
        <v>0</v>
      </c>
      <c r="F217" s="71">
        <f t="shared" si="20"/>
        <v>0</v>
      </c>
      <c r="G217" s="153"/>
      <c r="H217" s="153"/>
      <c r="M217" s="64" t="s">
        <v>583</v>
      </c>
      <c r="N217" s="61">
        <f>SUMIFS(INDEX(detail_table[],,MATCH(M217,detail_table[#Headers],0)),detail_table[Project Type],"&lt;&gt;"&amp;"")</f>
        <v>0</v>
      </c>
    </row>
    <row r="218" spans="1:18" ht="26.5" thickBot="1" x14ac:dyDescent="0.4">
      <c r="A218" s="52" t="s">
        <v>236</v>
      </c>
      <c r="B218" s="102">
        <f t="shared" si="20"/>
        <v>0</v>
      </c>
      <c r="C218" s="71">
        <f t="shared" si="20"/>
        <v>0</v>
      </c>
      <c r="D218" s="71">
        <f t="shared" si="20"/>
        <v>0</v>
      </c>
      <c r="E218" s="71">
        <f t="shared" si="20"/>
        <v>0</v>
      </c>
      <c r="F218" s="71">
        <f t="shared" si="20"/>
        <v>0</v>
      </c>
      <c r="G218" s="153"/>
      <c r="H218" s="153"/>
      <c r="M218" s="64" t="s">
        <v>584</v>
      </c>
      <c r="N218" s="61">
        <f>SUMIFS(INDEX(detail_table[],,MATCH(M218,detail_table[#Headers],0)),detail_table[Project Type],"&lt;&gt;"&amp;"")</f>
        <v>0</v>
      </c>
    </row>
    <row r="219" spans="1:18" ht="39.5" thickBot="1" x14ac:dyDescent="0.4">
      <c r="A219" s="52" t="s">
        <v>237</v>
      </c>
      <c r="B219" s="102">
        <f t="shared" si="20"/>
        <v>0</v>
      </c>
      <c r="C219" s="71">
        <f t="shared" si="20"/>
        <v>0</v>
      </c>
      <c r="D219" s="71">
        <f t="shared" si="20"/>
        <v>0</v>
      </c>
      <c r="E219" s="71">
        <f t="shared" si="20"/>
        <v>0</v>
      </c>
      <c r="F219" s="71">
        <f t="shared" si="20"/>
        <v>0</v>
      </c>
      <c r="G219" s="153"/>
      <c r="H219" s="153"/>
      <c r="M219" s="64" t="s">
        <v>585</v>
      </c>
      <c r="N219" s="61">
        <f>SUMIFS(INDEX(detail_table[],,MATCH(M219,detail_table[#Headers],0)),detail_table[Project Type],"&lt;&gt;"&amp;"")</f>
        <v>0</v>
      </c>
    </row>
    <row r="220" spans="1:18" ht="39.5" thickBot="1" x14ac:dyDescent="0.4">
      <c r="A220" s="52" t="s">
        <v>238</v>
      </c>
      <c r="B220" s="102">
        <f t="shared" si="20"/>
        <v>0</v>
      </c>
      <c r="C220" s="71">
        <f t="shared" si="20"/>
        <v>0</v>
      </c>
      <c r="D220" s="71">
        <f t="shared" si="20"/>
        <v>0</v>
      </c>
      <c r="E220" s="71">
        <f t="shared" si="20"/>
        <v>0</v>
      </c>
      <c r="F220" s="71">
        <f t="shared" si="20"/>
        <v>0</v>
      </c>
      <c r="G220" s="153"/>
      <c r="H220" s="153"/>
      <c r="M220" s="64" t="s">
        <v>586</v>
      </c>
      <c r="N220" s="61">
        <f>SUMIFS(INDEX(detail_table[],,MATCH(M220,detail_table[#Headers],0)),detail_table[Project Type],"&lt;&gt;"&amp;"")</f>
        <v>0</v>
      </c>
    </row>
    <row r="221" spans="1:18" ht="39.5" thickBot="1" x14ac:dyDescent="0.4">
      <c r="A221" s="52" t="s">
        <v>239</v>
      </c>
      <c r="B221" s="102">
        <f t="shared" si="20"/>
        <v>0</v>
      </c>
      <c r="C221" s="71">
        <f t="shared" si="20"/>
        <v>0</v>
      </c>
      <c r="D221" s="71">
        <f t="shared" si="20"/>
        <v>0</v>
      </c>
      <c r="E221" s="71">
        <f t="shared" si="20"/>
        <v>0</v>
      </c>
      <c r="F221" s="71">
        <f t="shared" si="20"/>
        <v>0</v>
      </c>
      <c r="G221" s="153"/>
      <c r="H221" s="153"/>
      <c r="M221" s="64" t="s">
        <v>587</v>
      </c>
      <c r="N221" s="61">
        <f>SUMIFS(INDEX(detail_table[],,MATCH(M221,detail_table[#Headers],0)),detail_table[Project Type],"&lt;&gt;"&amp;"")</f>
        <v>0</v>
      </c>
    </row>
    <row r="222" spans="1:18" ht="15" thickBot="1" x14ac:dyDescent="0.4">
      <c r="A222" s="52" t="s">
        <v>240</v>
      </c>
      <c r="B222" s="102">
        <f t="shared" si="20"/>
        <v>0</v>
      </c>
      <c r="C222" s="71">
        <f t="shared" si="20"/>
        <v>0</v>
      </c>
      <c r="D222" s="71">
        <f t="shared" si="20"/>
        <v>0</v>
      </c>
      <c r="E222" s="71">
        <f t="shared" si="20"/>
        <v>0</v>
      </c>
      <c r="F222" s="71">
        <f t="shared" si="20"/>
        <v>0</v>
      </c>
      <c r="G222" s="153"/>
      <c r="H222" s="153"/>
      <c r="M222" s="64" t="s">
        <v>588</v>
      </c>
      <c r="N222" s="61">
        <f>SUMIFS(INDEX(detail_table[],,MATCH(M222,detail_table[#Headers],0)),detail_table[Project Type],"&lt;&gt;"&amp;"")</f>
        <v>0</v>
      </c>
    </row>
    <row r="223" spans="1:18" ht="15" thickBot="1" x14ac:dyDescent="0.4">
      <c r="A223" s="24" t="s">
        <v>241</v>
      </c>
      <c r="B223" s="102"/>
      <c r="C223" s="71"/>
      <c r="D223" s="71"/>
      <c r="E223" s="71"/>
      <c r="F223" s="71"/>
      <c r="G223" s="153"/>
      <c r="H223" s="153"/>
      <c r="M223" s="64" t="s">
        <v>589</v>
      </c>
      <c r="N223" s="61">
        <f>SUMIFS(INDEX(detail_table[],,MATCH(M223,detail_table[#Headers],0)),detail_table[Project Type],"&lt;&gt;"&amp;"")</f>
        <v>0</v>
      </c>
    </row>
    <row r="224" spans="1:18" ht="26.5" thickBot="1" x14ac:dyDescent="0.4">
      <c r="A224" s="52" t="s">
        <v>2470</v>
      </c>
      <c r="B224" s="102">
        <f t="shared" ref="B224:F238" si="21">INDEX($N$2:$N$1687,MATCH($B$206&amp;" | "&amp;$A224&amp;" | "&amp;B$207,$M$2:$M$1687,0))</f>
        <v>0</v>
      </c>
      <c r="C224" s="71">
        <f t="shared" si="21"/>
        <v>0</v>
      </c>
      <c r="D224" s="71">
        <f t="shared" si="21"/>
        <v>0</v>
      </c>
      <c r="E224" s="71">
        <f t="shared" si="21"/>
        <v>0</v>
      </c>
      <c r="F224" s="71">
        <f t="shared" si="21"/>
        <v>0</v>
      </c>
      <c r="G224" s="153"/>
      <c r="H224" s="153"/>
      <c r="M224" s="64" t="s">
        <v>590</v>
      </c>
      <c r="N224" s="61">
        <f>SUMIFS(INDEX(detail_table[],,MATCH(M224,detail_table[#Headers],0)),detail_table[Project Type],"&lt;&gt;"&amp;"")</f>
        <v>0</v>
      </c>
    </row>
    <row r="225" spans="1:14" ht="26.5" thickBot="1" x14ac:dyDescent="0.4">
      <c r="A225" s="52" t="s">
        <v>243</v>
      </c>
      <c r="B225" s="102">
        <f t="shared" si="21"/>
        <v>0</v>
      </c>
      <c r="C225" s="71">
        <f t="shared" si="21"/>
        <v>0</v>
      </c>
      <c r="D225" s="71">
        <f t="shared" si="21"/>
        <v>0</v>
      </c>
      <c r="E225" s="71">
        <f t="shared" si="21"/>
        <v>0</v>
      </c>
      <c r="F225" s="71">
        <f t="shared" si="21"/>
        <v>0</v>
      </c>
      <c r="G225" s="153"/>
      <c r="H225" s="153"/>
      <c r="M225" s="64" t="s">
        <v>591</v>
      </c>
      <c r="N225" s="61">
        <f>SUMIFS(INDEX(detail_table[],,MATCH(M225,detail_table[#Headers],0)),detail_table[Project Type],"&lt;&gt;"&amp;"")</f>
        <v>0</v>
      </c>
    </row>
    <row r="226" spans="1:14" ht="26.5" thickBot="1" x14ac:dyDescent="0.4">
      <c r="A226" s="52" t="s">
        <v>244</v>
      </c>
      <c r="B226" s="102">
        <f t="shared" si="21"/>
        <v>0</v>
      </c>
      <c r="C226" s="71">
        <f t="shared" si="21"/>
        <v>0</v>
      </c>
      <c r="D226" s="71">
        <f t="shared" si="21"/>
        <v>0</v>
      </c>
      <c r="E226" s="71">
        <f t="shared" si="21"/>
        <v>0</v>
      </c>
      <c r="F226" s="71">
        <f t="shared" si="21"/>
        <v>0</v>
      </c>
      <c r="G226" s="153"/>
      <c r="H226" s="153"/>
      <c r="M226" s="64" t="s">
        <v>592</v>
      </c>
      <c r="N226" s="61">
        <f>SUMIFS(INDEX(detail_table[],,MATCH(M226,detail_table[#Headers],0)),detail_table[Project Type],"&lt;&gt;"&amp;"")</f>
        <v>0</v>
      </c>
    </row>
    <row r="227" spans="1:14" ht="26.5" thickBot="1" x14ac:dyDescent="0.4">
      <c r="A227" s="52" t="s">
        <v>245</v>
      </c>
      <c r="B227" s="102">
        <f t="shared" si="21"/>
        <v>0</v>
      </c>
      <c r="C227" s="71">
        <f t="shared" si="21"/>
        <v>0</v>
      </c>
      <c r="D227" s="71">
        <f t="shared" si="21"/>
        <v>0</v>
      </c>
      <c r="E227" s="71">
        <f t="shared" si="21"/>
        <v>0</v>
      </c>
      <c r="F227" s="71">
        <f t="shared" si="21"/>
        <v>0</v>
      </c>
      <c r="G227" s="153"/>
      <c r="H227" s="153"/>
      <c r="M227" s="64" t="s">
        <v>593</v>
      </c>
      <c r="N227" s="61">
        <f>SUMIFS(INDEX(detail_table[],,MATCH(M227,detail_table[#Headers],0)),detail_table[Project Type],"&lt;&gt;"&amp;"")</f>
        <v>0</v>
      </c>
    </row>
    <row r="228" spans="1:14" ht="26.5" thickBot="1" x14ac:dyDescent="0.4">
      <c r="A228" s="52" t="s">
        <v>246</v>
      </c>
      <c r="B228" s="102">
        <f t="shared" si="21"/>
        <v>0</v>
      </c>
      <c r="C228" s="71">
        <f t="shared" si="21"/>
        <v>0</v>
      </c>
      <c r="D228" s="71">
        <f t="shared" si="21"/>
        <v>0</v>
      </c>
      <c r="E228" s="71">
        <f t="shared" si="21"/>
        <v>0</v>
      </c>
      <c r="F228" s="71">
        <f t="shared" si="21"/>
        <v>0</v>
      </c>
      <c r="G228" s="153"/>
      <c r="H228" s="153"/>
      <c r="M228" s="64" t="s">
        <v>594</v>
      </c>
      <c r="N228" s="61">
        <f>SUMIFS(INDEX(detail_table[],,MATCH(M228,detail_table[#Headers],0)),detail_table[Project Type],"&lt;&gt;"&amp;"")</f>
        <v>0</v>
      </c>
    </row>
    <row r="229" spans="1:14" ht="26.5" thickBot="1" x14ac:dyDescent="0.4">
      <c r="A229" s="52" t="s">
        <v>1967</v>
      </c>
      <c r="B229" s="102">
        <f t="shared" si="21"/>
        <v>0</v>
      </c>
      <c r="C229" s="71">
        <f t="shared" si="21"/>
        <v>0</v>
      </c>
      <c r="D229" s="71">
        <f t="shared" si="21"/>
        <v>0</v>
      </c>
      <c r="E229" s="71">
        <f t="shared" si="21"/>
        <v>0</v>
      </c>
      <c r="F229" s="71">
        <f t="shared" si="21"/>
        <v>0</v>
      </c>
      <c r="G229" s="153"/>
      <c r="H229" s="153"/>
      <c r="M229" s="64" t="s">
        <v>595</v>
      </c>
      <c r="N229" s="61">
        <f>SUMIFS(INDEX(detail_table[],,MATCH(M229,detail_table[#Headers],0)),detail_table[Project Type],"&lt;&gt;"&amp;"")</f>
        <v>0</v>
      </c>
    </row>
    <row r="230" spans="1:14" ht="26.5" thickBot="1" x14ac:dyDescent="0.4">
      <c r="A230" s="52" t="s">
        <v>248</v>
      </c>
      <c r="B230" s="102">
        <f t="shared" si="21"/>
        <v>0</v>
      </c>
      <c r="C230" s="71">
        <f t="shared" si="21"/>
        <v>0</v>
      </c>
      <c r="D230" s="71">
        <f t="shared" si="21"/>
        <v>0</v>
      </c>
      <c r="E230" s="71">
        <f t="shared" si="21"/>
        <v>0</v>
      </c>
      <c r="F230" s="71">
        <f t="shared" si="21"/>
        <v>0</v>
      </c>
      <c r="G230" s="153"/>
      <c r="H230" s="153"/>
      <c r="M230" s="64" t="s">
        <v>596</v>
      </c>
      <c r="N230" s="61">
        <f>SUMIFS(INDEX(detail_table[],,MATCH(M230,detail_table[#Headers],0)),detail_table[Project Type],"&lt;&gt;"&amp;"")</f>
        <v>0</v>
      </c>
    </row>
    <row r="231" spans="1:14" ht="26.5" thickBot="1" x14ac:dyDescent="0.4">
      <c r="A231" s="52" t="s">
        <v>249</v>
      </c>
      <c r="B231" s="102">
        <f t="shared" si="21"/>
        <v>0</v>
      </c>
      <c r="C231" s="71">
        <f t="shared" si="21"/>
        <v>0</v>
      </c>
      <c r="D231" s="71">
        <f t="shared" si="21"/>
        <v>0</v>
      </c>
      <c r="E231" s="71">
        <f t="shared" si="21"/>
        <v>0</v>
      </c>
      <c r="F231" s="71">
        <f t="shared" si="21"/>
        <v>0</v>
      </c>
      <c r="G231" s="153"/>
      <c r="H231" s="153"/>
      <c r="M231" s="64" t="s">
        <v>597</v>
      </c>
      <c r="N231" s="61">
        <f>SUMIFS(INDEX(detail_table[],,MATCH(M231,detail_table[#Headers],0)),detail_table[Project Type],"&lt;&gt;"&amp;"")</f>
        <v>0</v>
      </c>
    </row>
    <row r="232" spans="1:14" ht="26.5" thickBot="1" x14ac:dyDescent="0.4">
      <c r="A232" s="52" t="s">
        <v>1993</v>
      </c>
      <c r="B232" s="102">
        <f t="shared" si="21"/>
        <v>0</v>
      </c>
      <c r="C232" s="71">
        <f t="shared" si="21"/>
        <v>0</v>
      </c>
      <c r="D232" s="71">
        <f t="shared" si="21"/>
        <v>0</v>
      </c>
      <c r="E232" s="71">
        <f t="shared" si="21"/>
        <v>0</v>
      </c>
      <c r="F232" s="71">
        <f t="shared" si="21"/>
        <v>0</v>
      </c>
      <c r="G232" s="153"/>
      <c r="H232" s="153"/>
      <c r="M232" s="64" t="s">
        <v>598</v>
      </c>
      <c r="N232" s="61">
        <f>SUMIFS(INDEX(detail_table[],,MATCH(M232,detail_table[#Headers],0)),detail_table[Project Type],"&lt;&gt;"&amp;"")</f>
        <v>0</v>
      </c>
    </row>
    <row r="233" spans="1:14" ht="26.5" thickBot="1" x14ac:dyDescent="0.4">
      <c r="A233" s="52" t="s">
        <v>1994</v>
      </c>
      <c r="B233" s="102">
        <f t="shared" si="21"/>
        <v>0</v>
      </c>
      <c r="C233" s="71">
        <f t="shared" si="21"/>
        <v>0</v>
      </c>
      <c r="D233" s="71">
        <f t="shared" si="21"/>
        <v>0</v>
      </c>
      <c r="E233" s="71">
        <f t="shared" si="21"/>
        <v>0</v>
      </c>
      <c r="F233" s="71">
        <f t="shared" si="21"/>
        <v>0</v>
      </c>
      <c r="G233" s="153"/>
      <c r="H233" s="153"/>
      <c r="M233" s="64" t="s">
        <v>599</v>
      </c>
      <c r="N233" s="61">
        <f>SUMIFS(INDEX(detail_table[],,MATCH(M233,detail_table[#Headers],0)),detail_table[Project Type],"&lt;&gt;"&amp;"")</f>
        <v>0</v>
      </c>
    </row>
    <row r="234" spans="1:14" ht="15" thickBot="1" x14ac:dyDescent="0.4">
      <c r="A234" s="52" t="s">
        <v>1995</v>
      </c>
      <c r="B234" s="102">
        <f t="shared" si="21"/>
        <v>0</v>
      </c>
      <c r="C234" s="71">
        <f t="shared" si="21"/>
        <v>0</v>
      </c>
      <c r="D234" s="71">
        <f t="shared" si="21"/>
        <v>0</v>
      </c>
      <c r="E234" s="71">
        <f t="shared" si="21"/>
        <v>0</v>
      </c>
      <c r="F234" s="71">
        <f t="shared" si="21"/>
        <v>0</v>
      </c>
      <c r="G234" s="153"/>
      <c r="H234" s="153"/>
      <c r="M234" s="64" t="s">
        <v>600</v>
      </c>
      <c r="N234" s="61">
        <f>SUMIFS(INDEX(detail_table[],,MATCH(M234,detail_table[#Headers],0)),detail_table[Project Type],"&lt;&gt;"&amp;"")</f>
        <v>0</v>
      </c>
    </row>
    <row r="235" spans="1:14" ht="26.5" thickBot="1" x14ac:dyDescent="0.4">
      <c r="A235" s="52" t="s">
        <v>1996</v>
      </c>
      <c r="B235" s="102">
        <f t="shared" si="21"/>
        <v>0</v>
      </c>
      <c r="C235" s="71">
        <f t="shared" si="21"/>
        <v>0</v>
      </c>
      <c r="D235" s="71">
        <f t="shared" si="21"/>
        <v>0</v>
      </c>
      <c r="E235" s="71">
        <f t="shared" si="21"/>
        <v>0</v>
      </c>
      <c r="F235" s="71">
        <f t="shared" si="21"/>
        <v>0</v>
      </c>
      <c r="G235" s="153"/>
      <c r="H235" s="153"/>
      <c r="M235" s="64" t="s">
        <v>601</v>
      </c>
      <c r="N235" s="61">
        <f>SUMIFS(INDEX(detail_table[],,MATCH(M235,detail_table[#Headers],0)),detail_table[Project Type],"&lt;&gt;"&amp;"")</f>
        <v>0</v>
      </c>
    </row>
    <row r="236" spans="1:14" ht="26.5" thickBot="1" x14ac:dyDescent="0.4">
      <c r="A236" s="19" t="s">
        <v>1997</v>
      </c>
      <c r="B236" s="102">
        <f t="shared" si="21"/>
        <v>0</v>
      </c>
      <c r="C236" s="71">
        <f t="shared" si="21"/>
        <v>0</v>
      </c>
      <c r="D236" s="71">
        <f t="shared" si="21"/>
        <v>0</v>
      </c>
      <c r="E236" s="71">
        <f t="shared" si="21"/>
        <v>0</v>
      </c>
      <c r="F236" s="71">
        <f t="shared" si="21"/>
        <v>0</v>
      </c>
      <c r="G236" s="153"/>
      <c r="H236" s="153"/>
      <c r="M236" s="64" t="s">
        <v>602</v>
      </c>
      <c r="N236" s="61">
        <f>SUMIFS(INDEX(detail_table[],,MATCH(M236,detail_table[#Headers],0)),detail_table[Project Type],"&lt;&gt;"&amp;"")</f>
        <v>0</v>
      </c>
    </row>
    <row r="237" spans="1:14" ht="15" thickBot="1" x14ac:dyDescent="0.4">
      <c r="A237" s="20" t="s">
        <v>255</v>
      </c>
      <c r="B237" s="102">
        <f t="shared" si="21"/>
        <v>0</v>
      </c>
      <c r="C237" s="71">
        <f t="shared" si="21"/>
        <v>0</v>
      </c>
      <c r="D237" s="71">
        <f t="shared" si="21"/>
        <v>0</v>
      </c>
      <c r="E237" s="71">
        <f t="shared" si="21"/>
        <v>0</v>
      </c>
      <c r="F237" s="71">
        <f t="shared" si="21"/>
        <v>0</v>
      </c>
      <c r="G237" s="153"/>
      <c r="H237" s="153"/>
      <c r="M237" s="64" t="s">
        <v>603</v>
      </c>
      <c r="N237" s="61">
        <f>SUMIFS(INDEX(detail_table[],,MATCH(M237,detail_table[#Headers],0)),detail_table[Project Type],"&lt;&gt;"&amp;"")</f>
        <v>0</v>
      </c>
    </row>
    <row r="238" spans="1:14" ht="15" thickBot="1" x14ac:dyDescent="0.4">
      <c r="A238" s="156" t="s">
        <v>256</v>
      </c>
      <c r="B238" s="102">
        <f t="shared" si="21"/>
        <v>0</v>
      </c>
      <c r="C238" s="102">
        <f t="shared" si="21"/>
        <v>0</v>
      </c>
      <c r="D238" s="102">
        <f t="shared" si="21"/>
        <v>0</v>
      </c>
      <c r="E238" s="102">
        <f t="shared" si="21"/>
        <v>0</v>
      </c>
      <c r="F238" s="102">
        <f t="shared" si="21"/>
        <v>0</v>
      </c>
      <c r="G238" s="153"/>
      <c r="H238" s="153"/>
      <c r="M238" s="64" t="s">
        <v>604</v>
      </c>
      <c r="N238" s="61">
        <f>SUMIFS(INDEX(detail_table[],,MATCH(M238,detail_table[#Headers],0)),detail_table[Project Type],"&lt;&gt;"&amp;"")</f>
        <v>0</v>
      </c>
    </row>
    <row r="239" spans="1:14" ht="16.5" customHeight="1" x14ac:dyDescent="0.35">
      <c r="A239" s="72"/>
      <c r="B239" s="59"/>
      <c r="C239" s="59"/>
      <c r="D239" s="59"/>
      <c r="E239" s="59"/>
      <c r="F239" s="59"/>
      <c r="G239" s="194"/>
      <c r="H239" s="153"/>
      <c r="M239" s="64" t="s">
        <v>605</v>
      </c>
      <c r="N239" s="61">
        <f>SUMIFS(INDEX(detail_table[],,MATCH(M239,detail_table[#Headers],0)),detail_table[Project Type],"&lt;&gt;"&amp;"")</f>
        <v>0</v>
      </c>
    </row>
    <row r="240" spans="1:14" x14ac:dyDescent="0.35">
      <c r="A240" s="227" t="s">
        <v>124</v>
      </c>
      <c r="B240" s="153"/>
      <c r="C240" s="153"/>
      <c r="D240" s="153"/>
      <c r="E240" s="153"/>
      <c r="F240" s="153"/>
      <c r="G240" s="153"/>
      <c r="H240" s="153"/>
      <c r="M240" s="64" t="s">
        <v>606</v>
      </c>
      <c r="N240" s="61">
        <f>SUMIFS(INDEX(detail_table[],,MATCH(M240,detail_table[#Headers],0)),detail_table[Project Type],"&lt;&gt;"&amp;"")</f>
        <v>0</v>
      </c>
    </row>
    <row r="241" spans="1:17" ht="26.5" thickBot="1" x14ac:dyDescent="0.4">
      <c r="A241" s="186" t="s">
        <v>65</v>
      </c>
      <c r="B241" s="153" t="s">
        <v>88</v>
      </c>
      <c r="C241" s="153"/>
      <c r="D241" s="153"/>
      <c r="E241" s="153"/>
      <c r="F241" s="153"/>
      <c r="G241" s="153"/>
      <c r="H241" s="153"/>
      <c r="M241" s="64" t="s">
        <v>607</v>
      </c>
      <c r="N241" s="61">
        <f>SUMIFS(INDEX(detail_table[],,MATCH(M241,detail_table[#Headers],0)),detail_table[Project Type],"&lt;&gt;"&amp;"")</f>
        <v>0</v>
      </c>
    </row>
    <row r="242" spans="1:17" ht="52.5" thickBot="1" x14ac:dyDescent="0.4">
      <c r="A242" s="154"/>
      <c r="B242" s="112" t="s">
        <v>258</v>
      </c>
      <c r="C242" s="113" t="s">
        <v>259</v>
      </c>
      <c r="D242" s="112" t="s">
        <v>69</v>
      </c>
      <c r="E242" s="202"/>
      <c r="F242" s="153"/>
      <c r="G242" s="153"/>
      <c r="H242" s="153"/>
      <c r="M242" s="64" t="s">
        <v>608</v>
      </c>
      <c r="N242" s="61">
        <f>SUMIFS(INDEX(detail_table[],,MATCH(M242,detail_table[#Headers],0)),detail_table[Project Type],"&lt;&gt;"&amp;"")</f>
        <v>0</v>
      </c>
    </row>
    <row r="243" spans="1:17" ht="39.5" thickBot="1" x14ac:dyDescent="0.4">
      <c r="A243" s="154" t="s">
        <v>257</v>
      </c>
      <c r="B243" s="154">
        <f t="shared" ref="B243:D248" si="22">INDEX($N$2:$N$1687,MATCH($B$241&amp;" | "&amp;$A243&amp;" | "&amp;B$242,$M$2:$M$1687,0))</f>
        <v>0</v>
      </c>
      <c r="C243" s="154">
        <f t="shared" si="22"/>
        <v>0</v>
      </c>
      <c r="D243" s="154">
        <f t="shared" si="22"/>
        <v>0</v>
      </c>
      <c r="E243" s="202"/>
      <c r="F243" s="153"/>
      <c r="G243" s="153"/>
      <c r="H243" s="153"/>
      <c r="M243" s="64" t="s">
        <v>609</v>
      </c>
      <c r="N243" s="61">
        <f>SUMIFS(INDEX(detail_table[],,MATCH(M243,detail_table[#Headers],0)),detail_table[Project Type],"&lt;&gt;"&amp;"")</f>
        <v>0</v>
      </c>
    </row>
    <row r="244" spans="1:17" ht="15" thickBot="1" x14ac:dyDescent="0.4">
      <c r="A244" s="154" t="s">
        <v>260</v>
      </c>
      <c r="B244" s="154">
        <f t="shared" si="22"/>
        <v>0</v>
      </c>
      <c r="C244" s="154">
        <f t="shared" si="22"/>
        <v>0</v>
      </c>
      <c r="D244" s="154">
        <f t="shared" si="22"/>
        <v>0</v>
      </c>
      <c r="E244" s="202"/>
      <c r="F244" s="153"/>
      <c r="G244" s="153"/>
      <c r="H244" s="153"/>
      <c r="M244" s="64" t="s">
        <v>610</v>
      </c>
      <c r="N244" s="61">
        <f>SUMIFS(INDEX(detail_table[],,MATCH(M244,detail_table[#Headers],0)),detail_table[Project Type],"&lt;&gt;"&amp;"")</f>
        <v>0</v>
      </c>
    </row>
    <row r="245" spans="1:17" ht="26.5" thickBot="1" x14ac:dyDescent="0.4">
      <c r="A245" s="154" t="s">
        <v>261</v>
      </c>
      <c r="B245" s="154">
        <f t="shared" si="22"/>
        <v>0</v>
      </c>
      <c r="C245" s="154">
        <f t="shared" si="22"/>
        <v>0</v>
      </c>
      <c r="D245" s="154">
        <f t="shared" si="22"/>
        <v>0</v>
      </c>
      <c r="E245" s="202"/>
      <c r="F245" s="153"/>
      <c r="G245" s="153"/>
      <c r="H245" s="153"/>
      <c r="M245" s="64" t="s">
        <v>611</v>
      </c>
      <c r="N245" s="61">
        <f>SUMIFS(INDEX(detail_table[],,MATCH(M245,detail_table[#Headers],0)),detail_table[Project Type],"&lt;&gt;"&amp;"")</f>
        <v>0</v>
      </c>
      <c r="Q245" s="62"/>
    </row>
    <row r="246" spans="1:17" ht="26.5" thickBot="1" x14ac:dyDescent="0.4">
      <c r="A246" s="154" t="s">
        <v>262</v>
      </c>
      <c r="B246" s="154">
        <f t="shared" si="22"/>
        <v>0</v>
      </c>
      <c r="C246" s="154">
        <f t="shared" si="22"/>
        <v>0</v>
      </c>
      <c r="D246" s="154">
        <f t="shared" si="22"/>
        <v>0</v>
      </c>
      <c r="E246" s="202"/>
      <c r="F246" s="153"/>
      <c r="G246" s="153"/>
      <c r="H246" s="153"/>
      <c r="M246" s="64" t="s">
        <v>612</v>
      </c>
      <c r="N246" s="61">
        <f>SUMIFS(INDEX(detail_table[],,MATCH(M246,detail_table[#Headers],0)),detail_table[Project Type],"&lt;&gt;"&amp;"")</f>
        <v>0</v>
      </c>
    </row>
    <row r="247" spans="1:17" ht="26.5" thickBot="1" x14ac:dyDescent="0.4">
      <c r="A247" s="154" t="s">
        <v>263</v>
      </c>
      <c r="B247" s="154">
        <f t="shared" si="22"/>
        <v>0</v>
      </c>
      <c r="C247" s="154">
        <f t="shared" si="22"/>
        <v>0</v>
      </c>
      <c r="D247" s="154">
        <f t="shared" si="22"/>
        <v>0</v>
      </c>
      <c r="E247" s="202"/>
      <c r="F247" s="153"/>
      <c r="G247" s="153"/>
      <c r="H247" s="153"/>
      <c r="M247" s="64" t="s">
        <v>613</v>
      </c>
      <c r="N247" s="61">
        <f>SUMIFS(INDEX(detail_table[],,MATCH(M247,detail_table[#Headers],0)),detail_table[Project Type],"&lt;&gt;"&amp;"")</f>
        <v>0</v>
      </c>
    </row>
    <row r="248" spans="1:17" ht="15" thickBot="1" x14ac:dyDescent="0.4">
      <c r="A248" s="154" t="s">
        <v>264</v>
      </c>
      <c r="B248" s="154">
        <f t="shared" si="22"/>
        <v>0</v>
      </c>
      <c r="C248" s="154">
        <f t="shared" si="22"/>
        <v>0</v>
      </c>
      <c r="D248" s="154">
        <f t="shared" si="22"/>
        <v>0</v>
      </c>
      <c r="E248" s="202"/>
      <c r="F248" s="153"/>
      <c r="G248" s="153"/>
      <c r="H248" s="153"/>
      <c r="M248" s="64" t="s">
        <v>614</v>
      </c>
      <c r="N248" s="61">
        <f>SUMIFS(INDEX(detail_table[],,MATCH(M248,detail_table[#Headers],0)),detail_table[Project Type],"&lt;&gt;"&amp;"")</f>
        <v>0</v>
      </c>
    </row>
    <row r="249" spans="1:17" x14ac:dyDescent="0.35">
      <c r="A249" s="59"/>
      <c r="B249" s="59"/>
      <c r="C249" s="59"/>
      <c r="D249" s="59"/>
      <c r="E249" s="196"/>
      <c r="F249" s="194"/>
      <c r="G249" s="194"/>
      <c r="H249" s="194"/>
      <c r="M249" s="64" t="s">
        <v>615</v>
      </c>
      <c r="N249" s="61">
        <f>SUMIFS(INDEX(detail_table[],,MATCH(M249,detail_table[#Headers],0)),detail_table[Project Type],"&lt;&gt;"&amp;"")</f>
        <v>0</v>
      </c>
    </row>
    <row r="250" spans="1:17" ht="15" thickBot="1" x14ac:dyDescent="0.4">
      <c r="A250" s="189" t="s">
        <v>66</v>
      </c>
      <c r="B250" s="153" t="s">
        <v>89</v>
      </c>
      <c r="C250" s="153"/>
      <c r="D250" s="153"/>
      <c r="E250" s="153"/>
      <c r="F250" s="153"/>
      <c r="G250" s="153"/>
      <c r="H250" s="153"/>
      <c r="M250" s="64" t="s">
        <v>616</v>
      </c>
      <c r="N250" s="61">
        <f>SUMIFS(INDEX(detail_table[],,MATCH(M250,detail_table[#Headers],0)),detail_table[Project Type],"&lt;&gt;"&amp;"")</f>
        <v>0</v>
      </c>
    </row>
    <row r="251" spans="1:17" ht="52.5" thickBot="1" x14ac:dyDescent="0.4">
      <c r="A251" s="188"/>
      <c r="B251" s="158" t="s">
        <v>258</v>
      </c>
      <c r="C251" s="113" t="s">
        <v>259</v>
      </c>
      <c r="D251" s="158" t="s">
        <v>69</v>
      </c>
      <c r="E251" s="153"/>
      <c r="F251" s="153"/>
      <c r="G251" s="153"/>
      <c r="H251" s="153"/>
      <c r="M251" s="64" t="s">
        <v>617</v>
      </c>
      <c r="N251" s="61">
        <f>SUMIFS(INDEX(detail_table[],,MATCH(M251,detail_table[#Headers],0)),detail_table[Project Type],"&lt;&gt;"&amp;"")</f>
        <v>0</v>
      </c>
    </row>
    <row r="252" spans="1:17" ht="26.5" thickBot="1" x14ac:dyDescent="0.4">
      <c r="A252" s="203" t="s">
        <v>265</v>
      </c>
      <c r="B252" s="204">
        <f t="shared" ref="B252:D265" si="23">INDEX($N$2:$N$1687,MATCH($B$250&amp;" | "&amp;$A252&amp;" | "&amp;B$251,$M$2:$M$1687,0))</f>
        <v>0</v>
      </c>
      <c r="C252" s="204">
        <f t="shared" si="23"/>
        <v>0</v>
      </c>
      <c r="D252" s="204">
        <f t="shared" si="23"/>
        <v>0</v>
      </c>
      <c r="E252" s="153"/>
      <c r="F252" s="153"/>
      <c r="G252" s="153"/>
      <c r="H252" s="153"/>
      <c r="M252" s="64" t="s">
        <v>618</v>
      </c>
      <c r="N252" s="61">
        <f>SUMIFS(INDEX(detail_table[],,MATCH(M252,detail_table[#Headers],0)),detail_table[Project Type],"&lt;&gt;"&amp;"")</f>
        <v>0</v>
      </c>
    </row>
    <row r="253" spans="1:17" ht="26.5" thickBot="1" x14ac:dyDescent="0.4">
      <c r="A253" s="203" t="s">
        <v>266</v>
      </c>
      <c r="B253" s="204">
        <f t="shared" si="23"/>
        <v>0</v>
      </c>
      <c r="C253" s="204">
        <f t="shared" si="23"/>
        <v>0</v>
      </c>
      <c r="D253" s="204">
        <f t="shared" si="23"/>
        <v>0</v>
      </c>
      <c r="E253" s="153"/>
      <c r="F253" s="153"/>
      <c r="G253" s="153"/>
      <c r="H253" s="153"/>
      <c r="M253" s="64" t="s">
        <v>619</v>
      </c>
      <c r="N253" s="61">
        <f>SUMIFS(INDEX(detail_table[],,MATCH(M253,detail_table[#Headers],0)),detail_table[Project Type],"&lt;&gt;"&amp;"")</f>
        <v>0</v>
      </c>
    </row>
    <row r="254" spans="1:17" ht="26.5" thickBot="1" x14ac:dyDescent="0.4">
      <c r="A254" s="197" t="s">
        <v>352</v>
      </c>
      <c r="B254" s="204">
        <f t="shared" si="23"/>
        <v>0</v>
      </c>
      <c r="C254" s="204">
        <f t="shared" si="23"/>
        <v>0</v>
      </c>
      <c r="D254" s="204">
        <f t="shared" si="23"/>
        <v>0</v>
      </c>
      <c r="E254" s="153"/>
      <c r="F254" s="153"/>
      <c r="G254" s="153"/>
      <c r="H254" s="153"/>
      <c r="I254" s="62"/>
      <c r="M254" s="64" t="s">
        <v>620</v>
      </c>
      <c r="N254" s="61">
        <f>SUMIFS(INDEX(detail_table[],,MATCH(M254,detail_table[#Headers],0)),detail_table[Project Type],"&lt;&gt;"&amp;"")</f>
        <v>0</v>
      </c>
    </row>
    <row r="255" spans="1:17" ht="15" thickBot="1" x14ac:dyDescent="0.4">
      <c r="A255" s="203" t="s">
        <v>353</v>
      </c>
      <c r="B255" s="204">
        <f t="shared" si="23"/>
        <v>0</v>
      </c>
      <c r="C255" s="204">
        <f t="shared" si="23"/>
        <v>0</v>
      </c>
      <c r="D255" s="204">
        <f t="shared" si="23"/>
        <v>0</v>
      </c>
      <c r="E255" s="153"/>
      <c r="F255" s="153"/>
      <c r="G255" s="153"/>
      <c r="H255" s="153"/>
      <c r="M255" s="64" t="s">
        <v>621</v>
      </c>
      <c r="N255" s="61">
        <f>SUMIFS(INDEX(detail_table[],,MATCH(M255,detail_table[#Headers],0)),detail_table[Project Type],"&lt;&gt;"&amp;"")</f>
        <v>0</v>
      </c>
    </row>
    <row r="256" spans="1:17" ht="26.5" thickBot="1" x14ac:dyDescent="0.4">
      <c r="A256" s="203" t="s">
        <v>354</v>
      </c>
      <c r="B256" s="204">
        <f t="shared" si="23"/>
        <v>0</v>
      </c>
      <c r="C256" s="204">
        <f t="shared" si="23"/>
        <v>0</v>
      </c>
      <c r="D256" s="204">
        <f t="shared" si="23"/>
        <v>0</v>
      </c>
      <c r="E256" s="153"/>
      <c r="F256" s="153"/>
      <c r="G256" s="153"/>
      <c r="H256" s="153"/>
      <c r="M256" s="64" t="s">
        <v>622</v>
      </c>
      <c r="N256" s="61">
        <f>SUMIFS(INDEX(detail_table[],,MATCH(M256,detail_table[#Headers],0)),detail_table[Project Type],"&lt;&gt;"&amp;"")</f>
        <v>0</v>
      </c>
      <c r="Q256" s="62"/>
    </row>
    <row r="257" spans="1:17" ht="26.5" thickBot="1" x14ac:dyDescent="0.4">
      <c r="A257" s="203" t="s">
        <v>355</v>
      </c>
      <c r="B257" s="204">
        <f t="shared" si="23"/>
        <v>0</v>
      </c>
      <c r="C257" s="204">
        <f t="shared" si="23"/>
        <v>0</v>
      </c>
      <c r="D257" s="204">
        <f t="shared" si="23"/>
        <v>0</v>
      </c>
      <c r="E257" s="153"/>
      <c r="F257" s="153"/>
      <c r="G257" s="153"/>
      <c r="H257" s="153"/>
      <c r="M257" s="64" t="s">
        <v>623</v>
      </c>
      <c r="N257" s="61">
        <f>SUMIFS(INDEX(detail_table[],,MATCH(M257,detail_table[#Headers],0)),detail_table[Project Type],"&lt;&gt;"&amp;"")</f>
        <v>0</v>
      </c>
    </row>
    <row r="258" spans="1:17" ht="26.5" thickBot="1" x14ac:dyDescent="0.4">
      <c r="A258" s="203" t="s">
        <v>356</v>
      </c>
      <c r="B258" s="204">
        <f t="shared" si="23"/>
        <v>0</v>
      </c>
      <c r="C258" s="204">
        <f t="shared" si="23"/>
        <v>0</v>
      </c>
      <c r="D258" s="204">
        <f t="shared" si="23"/>
        <v>0</v>
      </c>
      <c r="E258" s="153"/>
      <c r="F258" s="153"/>
      <c r="G258" s="153"/>
      <c r="H258" s="153"/>
      <c r="M258" s="64" t="s">
        <v>624</v>
      </c>
      <c r="N258" s="61">
        <f>SUMIFS(INDEX(detail_table[],,MATCH(M258,detail_table[#Headers],0)),detail_table[Project Type],"&lt;&gt;"&amp;"")</f>
        <v>0</v>
      </c>
    </row>
    <row r="259" spans="1:17" s="62" customFormat="1" ht="26.5" thickBot="1" x14ac:dyDescent="0.4">
      <c r="A259" s="203" t="s">
        <v>357</v>
      </c>
      <c r="B259" s="204">
        <f t="shared" si="23"/>
        <v>0</v>
      </c>
      <c r="C259" s="204">
        <f t="shared" si="23"/>
        <v>0</v>
      </c>
      <c r="D259" s="204">
        <f t="shared" si="23"/>
        <v>0</v>
      </c>
      <c r="E259" s="153"/>
      <c r="F259" s="153"/>
      <c r="G259" s="153"/>
      <c r="H259" s="153"/>
      <c r="I259" s="61"/>
      <c r="J259" s="61"/>
      <c r="K259" s="61"/>
      <c r="M259" s="64" t="s">
        <v>625</v>
      </c>
      <c r="N259" s="61">
        <f>SUMIFS(INDEX(detail_table[],,MATCH(M259,detail_table[#Headers],0)),detail_table[Project Type],"&lt;&gt;"&amp;"")</f>
        <v>0</v>
      </c>
      <c r="O259" s="61"/>
      <c r="P259" s="61"/>
      <c r="Q259" s="61"/>
    </row>
    <row r="260" spans="1:17" ht="15" thickBot="1" x14ac:dyDescent="0.4">
      <c r="A260" s="203" t="s">
        <v>358</v>
      </c>
      <c r="B260" s="204">
        <f t="shared" si="23"/>
        <v>0</v>
      </c>
      <c r="C260" s="204">
        <f t="shared" si="23"/>
        <v>0</v>
      </c>
      <c r="D260" s="204">
        <f t="shared" si="23"/>
        <v>0</v>
      </c>
      <c r="E260" s="153"/>
      <c r="F260" s="153"/>
      <c r="G260" s="153"/>
      <c r="H260" s="153"/>
      <c r="M260" s="64" t="s">
        <v>626</v>
      </c>
      <c r="N260" s="61">
        <f>SUMIFS(INDEX(detail_table[],,MATCH(M260,detail_table[#Headers],0)),detail_table[Project Type],"&lt;&gt;"&amp;"")</f>
        <v>0</v>
      </c>
    </row>
    <row r="261" spans="1:17" ht="26.5" thickBot="1" x14ac:dyDescent="0.4">
      <c r="A261" s="203" t="s">
        <v>359</v>
      </c>
      <c r="B261" s="204">
        <f t="shared" si="23"/>
        <v>0</v>
      </c>
      <c r="C261" s="204">
        <f t="shared" si="23"/>
        <v>0</v>
      </c>
      <c r="D261" s="204">
        <f t="shared" si="23"/>
        <v>0</v>
      </c>
      <c r="E261" s="153"/>
      <c r="F261" s="153"/>
      <c r="G261" s="153"/>
      <c r="H261" s="153"/>
      <c r="M261" s="64" t="s">
        <v>627</v>
      </c>
      <c r="N261" s="61">
        <f>SUMIFS(INDEX(detail_table[],,MATCH(M261,detail_table[#Headers],0)),detail_table[Project Type],"&lt;&gt;"&amp;"")</f>
        <v>0</v>
      </c>
    </row>
    <row r="262" spans="1:17" ht="15" thickBot="1" x14ac:dyDescent="0.4">
      <c r="A262" s="203" t="s">
        <v>360</v>
      </c>
      <c r="B262" s="204">
        <f t="shared" si="23"/>
        <v>0</v>
      </c>
      <c r="C262" s="204">
        <f t="shared" si="23"/>
        <v>0</v>
      </c>
      <c r="D262" s="204">
        <f t="shared" si="23"/>
        <v>0</v>
      </c>
      <c r="E262" s="153"/>
      <c r="F262" s="153"/>
      <c r="G262" s="153"/>
      <c r="H262" s="153"/>
      <c r="M262" s="64" t="s">
        <v>628</v>
      </c>
      <c r="N262" s="61">
        <f>SUMIFS(INDEX(detail_table[],,MATCH(M262,detail_table[#Headers],0)),detail_table[Project Type],"&lt;&gt;"&amp;"")</f>
        <v>0</v>
      </c>
    </row>
    <row r="263" spans="1:17" ht="52.5" thickBot="1" x14ac:dyDescent="0.4">
      <c r="A263" s="203" t="s">
        <v>361</v>
      </c>
      <c r="B263" s="204">
        <f t="shared" si="23"/>
        <v>0</v>
      </c>
      <c r="C263" s="204">
        <f t="shared" si="23"/>
        <v>0</v>
      </c>
      <c r="D263" s="204">
        <f t="shared" si="23"/>
        <v>0</v>
      </c>
      <c r="E263" s="153"/>
      <c r="F263" s="153"/>
      <c r="G263" s="153"/>
      <c r="H263" s="153"/>
      <c r="M263" s="64" t="s">
        <v>629</v>
      </c>
      <c r="N263" s="61">
        <f>SUMIFS(INDEX(detail_table[],,MATCH(M263,detail_table[#Headers],0)),detail_table[Project Type],"&lt;&gt;"&amp;"")</f>
        <v>0</v>
      </c>
    </row>
    <row r="264" spans="1:17" ht="26.5" thickBot="1" x14ac:dyDescent="0.4">
      <c r="A264" s="203" t="s">
        <v>362</v>
      </c>
      <c r="B264" s="204">
        <f t="shared" si="23"/>
        <v>0</v>
      </c>
      <c r="C264" s="204">
        <f t="shared" si="23"/>
        <v>0</v>
      </c>
      <c r="D264" s="204">
        <f t="shared" si="23"/>
        <v>0</v>
      </c>
      <c r="E264" s="153"/>
      <c r="F264" s="153"/>
      <c r="G264" s="153"/>
      <c r="H264" s="153"/>
      <c r="M264" s="64" t="s">
        <v>630</v>
      </c>
      <c r="N264" s="61">
        <f>SUMIFS(INDEX(detail_table[],,MATCH(M264,detail_table[#Headers],0)),detail_table[Project Type],"&lt;&gt;"&amp;"")</f>
        <v>0</v>
      </c>
    </row>
    <row r="265" spans="1:17" ht="26.5" thickBot="1" x14ac:dyDescent="0.4">
      <c r="A265" s="188" t="s">
        <v>363</v>
      </c>
      <c r="B265" s="188">
        <f t="shared" si="23"/>
        <v>0</v>
      </c>
      <c r="C265" s="204">
        <f t="shared" si="23"/>
        <v>0</v>
      </c>
      <c r="D265" s="204">
        <f t="shared" si="23"/>
        <v>0</v>
      </c>
      <c r="E265" s="153"/>
      <c r="F265" s="153"/>
      <c r="G265" s="153"/>
      <c r="H265" s="153"/>
      <c r="M265" s="64" t="s">
        <v>631</v>
      </c>
      <c r="N265" s="61">
        <f>SUMIFS(INDEX(detail_table[],,MATCH(M265,detail_table[#Headers],0)),detail_table[Project Type],"&lt;&gt;"&amp;"")</f>
        <v>0</v>
      </c>
    </row>
    <row r="266" spans="1:17" x14ac:dyDescent="0.35">
      <c r="A266" s="66"/>
      <c r="B266" s="66"/>
      <c r="C266" s="59"/>
      <c r="D266" s="66"/>
      <c r="E266" s="66"/>
      <c r="F266" s="153"/>
      <c r="G266" s="153"/>
      <c r="H266" s="153"/>
      <c r="M266" s="64" t="s">
        <v>632</v>
      </c>
      <c r="N266" s="61">
        <f>SUMIFS(INDEX(detail_table[],,MATCH(M266,detail_table[#Headers],0)),detail_table[Project Type],"&lt;&gt;"&amp;"")</f>
        <v>0</v>
      </c>
    </row>
    <row r="267" spans="1:17" ht="14.5" customHeight="1" x14ac:dyDescent="0.35">
      <c r="A267" s="227" t="s">
        <v>67</v>
      </c>
      <c r="B267" s="227"/>
      <c r="C267" s="227"/>
      <c r="D267" s="227"/>
      <c r="E267" s="153"/>
      <c r="F267" s="153"/>
      <c r="G267" s="153"/>
      <c r="H267" s="153"/>
      <c r="M267" s="64" t="s">
        <v>2004</v>
      </c>
      <c r="N267" s="61">
        <f>SUMIFS(INDEX(detail_table[],,MATCH(M267,detail_table[#Headers],0)),detail_table[Project Type],$D$1)</f>
        <v>0</v>
      </c>
    </row>
    <row r="268" spans="1:17" ht="39.5" thickBot="1" x14ac:dyDescent="0.4">
      <c r="A268" s="186" t="s">
        <v>125</v>
      </c>
      <c r="B268" s="153" t="s">
        <v>90</v>
      </c>
      <c r="C268" s="153"/>
      <c r="D268" s="153"/>
      <c r="E268" s="153"/>
      <c r="F268" s="153"/>
      <c r="G268" s="153"/>
      <c r="H268" s="153"/>
      <c r="M268" s="64" t="s">
        <v>2005</v>
      </c>
      <c r="N268" s="61">
        <f>SUMIFS(INDEX(detail_table[],,MATCH(M268,detail_table[#Headers],0)),detail_table[Project Type],$D$1)</f>
        <v>0</v>
      </c>
    </row>
    <row r="269" spans="1:17" ht="15" thickBot="1" x14ac:dyDescent="0.4">
      <c r="A269" s="23"/>
      <c r="B269" s="4" t="s">
        <v>8</v>
      </c>
      <c r="C269" s="4" t="s">
        <v>20</v>
      </c>
      <c r="D269" s="4" t="s">
        <v>21</v>
      </c>
      <c r="E269" s="153"/>
      <c r="F269" s="153"/>
      <c r="G269" s="153"/>
      <c r="H269" s="153"/>
      <c r="M269" s="64" t="s">
        <v>2006</v>
      </c>
      <c r="N269" s="61">
        <f>SUMIFS(INDEX(detail_table[],,MATCH(M269,detail_table[#Headers],0)),detail_table[Project Type],$D$1)</f>
        <v>0</v>
      </c>
    </row>
    <row r="270" spans="1:17" ht="15" thickBot="1" x14ac:dyDescent="0.4">
      <c r="A270" s="52" t="s">
        <v>365</v>
      </c>
      <c r="B270" s="107">
        <f t="shared" ref="B270:D284" si="24">INDEX($N$2:$N$1687,MATCH($B$268&amp;" | "&amp;$A270&amp;" | "&amp;B$269,$M$2:$M$1687,0))</f>
        <v>0</v>
      </c>
      <c r="C270" s="71">
        <f t="shared" si="24"/>
        <v>0</v>
      </c>
      <c r="D270" s="71">
        <f t="shared" si="24"/>
        <v>0</v>
      </c>
      <c r="E270" s="153"/>
      <c r="F270" s="153"/>
      <c r="G270" s="153"/>
      <c r="H270" s="153"/>
      <c r="M270" s="64" t="s">
        <v>2007</v>
      </c>
      <c r="N270" s="61">
        <f>SUMIFS(INDEX(detail_table[],,MATCH(M270,detail_table[#Headers],0)),detail_table[Project Type],$D$1)</f>
        <v>0</v>
      </c>
    </row>
    <row r="271" spans="1:17" ht="15" thickBot="1" x14ac:dyDescent="0.4">
      <c r="A271" s="52" t="s">
        <v>366</v>
      </c>
      <c r="B271" s="107">
        <f t="shared" si="24"/>
        <v>0</v>
      </c>
      <c r="C271" s="71">
        <f t="shared" si="24"/>
        <v>0</v>
      </c>
      <c r="D271" s="71">
        <f t="shared" si="24"/>
        <v>0</v>
      </c>
      <c r="E271" s="153"/>
      <c r="F271" s="153"/>
      <c r="G271" s="153"/>
      <c r="H271" s="153"/>
      <c r="M271" s="64" t="s">
        <v>2008</v>
      </c>
      <c r="N271" s="61">
        <f>SUMIFS(INDEX(detail_table[],,MATCH(M271,detail_table[#Headers],0)),detail_table[Project Type],$D$1)</f>
        <v>0</v>
      </c>
    </row>
    <row r="272" spans="1:17" ht="15" thickBot="1" x14ac:dyDescent="0.4">
      <c r="A272" s="52" t="s">
        <v>367</v>
      </c>
      <c r="B272" s="107">
        <f t="shared" si="24"/>
        <v>0</v>
      </c>
      <c r="C272" s="71">
        <f t="shared" si="24"/>
        <v>0</v>
      </c>
      <c r="D272" s="71">
        <f t="shared" si="24"/>
        <v>0</v>
      </c>
      <c r="E272" s="153"/>
      <c r="F272" s="153"/>
      <c r="G272" s="153"/>
      <c r="H272" s="153"/>
      <c r="M272" s="64" t="s">
        <v>2009</v>
      </c>
      <c r="N272" s="61">
        <f>SUMIFS(INDEX(detail_table[],,MATCH(M272,detail_table[#Headers],0)),detail_table[Project Type],$D$1)</f>
        <v>0</v>
      </c>
    </row>
    <row r="273" spans="1:17" ht="15" thickBot="1" x14ac:dyDescent="0.4">
      <c r="A273" s="52" t="s">
        <v>270</v>
      </c>
      <c r="B273" s="107">
        <f t="shared" si="24"/>
        <v>0</v>
      </c>
      <c r="C273" s="71">
        <f t="shared" si="24"/>
        <v>0</v>
      </c>
      <c r="D273" s="71">
        <f t="shared" si="24"/>
        <v>0</v>
      </c>
      <c r="E273" s="153"/>
      <c r="F273" s="153"/>
      <c r="G273" s="153"/>
      <c r="H273" s="153"/>
      <c r="M273" s="64" t="s">
        <v>2010</v>
      </c>
      <c r="N273" s="61">
        <f>SUMIFS(INDEX(detail_table[],,MATCH(M273,detail_table[#Headers],0)),detail_table[Project Type],$D$1)</f>
        <v>0</v>
      </c>
    </row>
    <row r="274" spans="1:17" ht="15" thickBot="1" x14ac:dyDescent="0.4">
      <c r="A274" s="52" t="s">
        <v>271</v>
      </c>
      <c r="B274" s="107">
        <f t="shared" si="24"/>
        <v>0</v>
      </c>
      <c r="C274" s="71">
        <f t="shared" si="24"/>
        <v>0</v>
      </c>
      <c r="D274" s="71">
        <f t="shared" si="24"/>
        <v>0</v>
      </c>
      <c r="E274" s="153"/>
      <c r="F274" s="153"/>
      <c r="G274" s="153"/>
      <c r="H274" s="153"/>
      <c r="K274" s="62"/>
      <c r="M274" s="64" t="s">
        <v>2011</v>
      </c>
      <c r="N274" s="61">
        <f>SUMIFS(INDEX(detail_table[],,MATCH(M274,detail_table[#Headers],0)),detail_table[Project Type],$D$1)</f>
        <v>0</v>
      </c>
    </row>
    <row r="275" spans="1:17" ht="15" thickBot="1" x14ac:dyDescent="0.4">
      <c r="A275" s="52" t="s">
        <v>272</v>
      </c>
      <c r="B275" s="107">
        <f t="shared" si="24"/>
        <v>0</v>
      </c>
      <c r="C275" s="71">
        <f t="shared" si="24"/>
        <v>0</v>
      </c>
      <c r="D275" s="71">
        <f t="shared" si="24"/>
        <v>0</v>
      </c>
      <c r="E275" s="153"/>
      <c r="F275" s="153"/>
      <c r="G275" s="153"/>
      <c r="H275" s="153"/>
      <c r="J275" s="62"/>
      <c r="L275" s="65"/>
      <c r="M275" s="64" t="s">
        <v>2012</v>
      </c>
      <c r="N275" s="61">
        <f>SUMIFS(INDEX(detail_table[],,MATCH(M275,detail_table[#Headers],0)),detail_table[Project Type],$D$1)</f>
        <v>0</v>
      </c>
    </row>
    <row r="276" spans="1:17" ht="15" thickBot="1" x14ac:dyDescent="0.4">
      <c r="A276" s="52" t="s">
        <v>273</v>
      </c>
      <c r="B276" s="107">
        <f t="shared" si="24"/>
        <v>0</v>
      </c>
      <c r="C276" s="71">
        <f t="shared" si="24"/>
        <v>0</v>
      </c>
      <c r="D276" s="71">
        <f t="shared" si="24"/>
        <v>0</v>
      </c>
      <c r="E276" s="153"/>
      <c r="F276" s="153"/>
      <c r="G276" s="153"/>
      <c r="H276" s="153"/>
      <c r="M276" s="64" t="s">
        <v>2013</v>
      </c>
      <c r="N276" s="61">
        <f>SUMIFS(INDEX(detail_table[],,MATCH(M276,detail_table[#Headers],0)),detail_table[Project Type],$D$1)</f>
        <v>0</v>
      </c>
      <c r="P276" s="62"/>
    </row>
    <row r="277" spans="1:17" ht="15" thickBot="1" x14ac:dyDescent="0.4">
      <c r="A277" s="52" t="s">
        <v>274</v>
      </c>
      <c r="B277" s="107">
        <f t="shared" si="24"/>
        <v>0</v>
      </c>
      <c r="C277" s="71">
        <f t="shared" si="24"/>
        <v>0</v>
      </c>
      <c r="D277" s="71">
        <f t="shared" si="24"/>
        <v>0</v>
      </c>
      <c r="E277" s="153"/>
      <c r="F277" s="153"/>
      <c r="G277" s="153"/>
      <c r="H277" s="153"/>
      <c r="M277" s="64" t="s">
        <v>2014</v>
      </c>
      <c r="N277" s="61">
        <f>SUMIFS(INDEX(detail_table[],,MATCH(M277,detail_table[#Headers],0)),detail_table[Project Type],$D$1)</f>
        <v>0</v>
      </c>
    </row>
    <row r="278" spans="1:17" ht="26.5" thickBot="1" x14ac:dyDescent="0.4">
      <c r="A278" s="52" t="s">
        <v>2094</v>
      </c>
      <c r="B278" s="107">
        <f t="shared" si="24"/>
        <v>0</v>
      </c>
      <c r="C278" s="71">
        <f t="shared" si="24"/>
        <v>0</v>
      </c>
      <c r="D278" s="71">
        <f t="shared" si="24"/>
        <v>0</v>
      </c>
      <c r="E278" s="153"/>
      <c r="F278" s="153"/>
      <c r="G278" s="153"/>
      <c r="H278" s="153"/>
      <c r="M278" s="64" t="s">
        <v>2015</v>
      </c>
      <c r="N278" s="61">
        <f>SUMIFS(INDEX(detail_table[],,MATCH(M278,detail_table[#Headers],0)),detail_table[Project Type],$D$1)</f>
        <v>0</v>
      </c>
    </row>
    <row r="279" spans="1:17" ht="26.5" thickBot="1" x14ac:dyDescent="0.4">
      <c r="A279" s="52" t="s">
        <v>2095</v>
      </c>
      <c r="B279" s="107">
        <f t="shared" si="24"/>
        <v>0</v>
      </c>
      <c r="C279" s="71">
        <f t="shared" si="24"/>
        <v>0</v>
      </c>
      <c r="D279" s="71">
        <f t="shared" si="24"/>
        <v>0</v>
      </c>
      <c r="E279" s="153"/>
      <c r="F279" s="153"/>
      <c r="G279" s="153"/>
      <c r="H279" s="153"/>
      <c r="M279" s="64" t="s">
        <v>2016</v>
      </c>
      <c r="N279" s="61">
        <f>SUMIFS(INDEX(detail_table[],,MATCH(M279,detail_table[#Headers],0)),detail_table[Project Type],$D$1)</f>
        <v>0</v>
      </c>
      <c r="Q279" s="62"/>
    </row>
    <row r="280" spans="1:17" ht="26.5" thickBot="1" x14ac:dyDescent="0.4">
      <c r="A280" s="52" t="s">
        <v>2096</v>
      </c>
      <c r="B280" s="107">
        <f t="shared" si="24"/>
        <v>0</v>
      </c>
      <c r="C280" s="71">
        <f t="shared" si="24"/>
        <v>0</v>
      </c>
      <c r="D280" s="71">
        <f t="shared" si="24"/>
        <v>0</v>
      </c>
      <c r="E280" s="153"/>
      <c r="F280" s="153"/>
      <c r="G280" s="153"/>
      <c r="H280" s="153"/>
      <c r="M280" s="64" t="s">
        <v>2017</v>
      </c>
      <c r="N280" s="61">
        <f>SUMIFS(INDEX(detail_table[],,MATCH(M280,detail_table[#Headers],0)),detail_table[Project Type],$D$1)</f>
        <v>0</v>
      </c>
    </row>
    <row r="281" spans="1:17" ht="26.5" thickBot="1" x14ac:dyDescent="0.4">
      <c r="A281" s="52" t="s">
        <v>2097</v>
      </c>
      <c r="B281" s="107">
        <f t="shared" si="24"/>
        <v>0</v>
      </c>
      <c r="C281" s="71">
        <f t="shared" si="24"/>
        <v>0</v>
      </c>
      <c r="D281" s="71">
        <f t="shared" si="24"/>
        <v>0</v>
      </c>
      <c r="E281" s="153"/>
      <c r="F281" s="153"/>
      <c r="G281" s="153"/>
      <c r="H281" s="153"/>
      <c r="M281" s="64" t="s">
        <v>2018</v>
      </c>
      <c r="N281" s="61">
        <f>SUMIFS(INDEX(detail_table[],,MATCH(M281,detail_table[#Headers],0)),detail_table[Project Type],$D$1)</f>
        <v>0</v>
      </c>
    </row>
    <row r="282" spans="1:17" ht="26.5" thickBot="1" x14ac:dyDescent="0.4">
      <c r="A282" s="52" t="s">
        <v>279</v>
      </c>
      <c r="B282" s="107">
        <f t="shared" si="24"/>
        <v>0</v>
      </c>
      <c r="C282" s="71">
        <f t="shared" si="24"/>
        <v>0</v>
      </c>
      <c r="D282" s="71">
        <f t="shared" si="24"/>
        <v>0</v>
      </c>
      <c r="E282" s="153"/>
      <c r="F282" s="153"/>
      <c r="G282" s="153"/>
      <c r="H282" s="153"/>
      <c r="M282" s="64" t="s">
        <v>2019</v>
      </c>
      <c r="N282" s="61">
        <f>SUMIFS(INDEX(detail_table[],,MATCH(M282,detail_table[#Headers],0)),detail_table[Project Type],$D$1)</f>
        <v>0</v>
      </c>
    </row>
    <row r="283" spans="1:17" ht="15" thickBot="1" x14ac:dyDescent="0.4">
      <c r="A283" s="52" t="s">
        <v>280</v>
      </c>
      <c r="B283" s="107">
        <f t="shared" si="24"/>
        <v>0</v>
      </c>
      <c r="C283" s="71">
        <f t="shared" si="24"/>
        <v>0</v>
      </c>
      <c r="D283" s="71">
        <f t="shared" si="24"/>
        <v>0</v>
      </c>
      <c r="E283" s="153"/>
      <c r="F283" s="153"/>
      <c r="G283" s="153"/>
      <c r="H283" s="153"/>
      <c r="M283" s="64" t="s">
        <v>2020</v>
      </c>
      <c r="N283" s="61">
        <f>SUMIFS(INDEX(detail_table[],,MATCH(M283,detail_table[#Headers],0)),detail_table[Project Type],$D$1)</f>
        <v>0</v>
      </c>
    </row>
    <row r="284" spans="1:17" ht="15" thickBot="1" x14ac:dyDescent="0.4">
      <c r="A284" s="2" t="s">
        <v>281</v>
      </c>
      <c r="B284" s="107">
        <f t="shared" si="24"/>
        <v>0</v>
      </c>
      <c r="C284" s="107">
        <f t="shared" si="24"/>
        <v>0</v>
      </c>
      <c r="D284" s="107">
        <f t="shared" si="24"/>
        <v>0</v>
      </c>
      <c r="E284" s="153"/>
      <c r="F284" s="153"/>
      <c r="G284" s="153"/>
      <c r="H284" s="153"/>
      <c r="M284" s="64" t="s">
        <v>2021</v>
      </c>
      <c r="N284" s="61">
        <f>SUMIFS(INDEX(detail_table[],,MATCH(M284,detail_table[#Headers],0)),detail_table[Project Type],$D$1)</f>
        <v>0</v>
      </c>
    </row>
    <row r="285" spans="1:17" x14ac:dyDescent="0.35">
      <c r="A285" s="60"/>
      <c r="B285" s="59"/>
      <c r="C285" s="59"/>
      <c r="D285" s="59"/>
      <c r="E285" s="194"/>
      <c r="F285" s="194"/>
      <c r="G285" s="153"/>
      <c r="H285" s="153"/>
      <c r="M285" s="64" t="s">
        <v>2022</v>
      </c>
      <c r="N285" s="61">
        <f>SUMIFS(INDEX(detail_table[],,MATCH(M285,detail_table[#Headers],0)),detail_table[Project Type],$D$1)</f>
        <v>0</v>
      </c>
    </row>
    <row r="286" spans="1:17" ht="65.5" thickBot="1" x14ac:dyDescent="0.4">
      <c r="A286" s="186" t="s">
        <v>126</v>
      </c>
      <c r="B286" s="153" t="s">
        <v>104</v>
      </c>
      <c r="C286" s="153"/>
      <c r="D286" s="153"/>
      <c r="E286" s="153"/>
      <c r="F286" s="153"/>
      <c r="G286" s="194"/>
      <c r="H286" s="194"/>
      <c r="M286" s="64" t="s">
        <v>2023</v>
      </c>
      <c r="N286" s="61">
        <f>SUMIFS(INDEX(detail_table[],,MATCH(M286,detail_table[#Headers],0)),detail_table[Project Type],$D$1)</f>
        <v>0</v>
      </c>
    </row>
    <row r="287" spans="1:17" ht="52.5" thickBot="1" x14ac:dyDescent="0.4">
      <c r="A287" s="154"/>
      <c r="B287" s="25" t="s">
        <v>8</v>
      </c>
      <c r="C287" s="25" t="s">
        <v>0</v>
      </c>
      <c r="D287" s="25" t="s">
        <v>1</v>
      </c>
      <c r="E287" s="25" t="s">
        <v>2</v>
      </c>
      <c r="F287" s="25" t="s">
        <v>3</v>
      </c>
      <c r="G287" s="153"/>
      <c r="H287" s="153"/>
      <c r="M287" s="64" t="s">
        <v>2024</v>
      </c>
      <c r="N287" s="61">
        <f>SUMIFS(INDEX(detail_table[],,MATCH(M287,detail_table[#Headers],0)),detail_table[Project Type],$D$1)</f>
        <v>0</v>
      </c>
    </row>
    <row r="288" spans="1:17" ht="15" thickBot="1" x14ac:dyDescent="0.4">
      <c r="A288" s="20" t="s">
        <v>267</v>
      </c>
      <c r="B288" s="21">
        <f t="shared" ref="B288:F297" si="25">INDEX($N$2:$N$1687,MATCH($B$286&amp;" | "&amp;$A288&amp;" | "&amp;B$287,$M$2:$M$1687,0))</f>
        <v>0</v>
      </c>
      <c r="C288" s="121">
        <f t="shared" si="25"/>
        <v>0</v>
      </c>
      <c r="D288" s="121">
        <f t="shared" si="25"/>
        <v>0</v>
      </c>
      <c r="E288" s="121">
        <f t="shared" si="25"/>
        <v>0</v>
      </c>
      <c r="F288" s="121">
        <f t="shared" si="25"/>
        <v>0</v>
      </c>
      <c r="G288" s="153"/>
      <c r="H288" s="153"/>
      <c r="J288" s="62"/>
      <c r="M288" s="64" t="s">
        <v>2025</v>
      </c>
      <c r="N288" s="61">
        <f>SUMIFS(INDEX(detail_table[],,MATCH(M288,detail_table[#Headers],0)),detail_table[Project Type],$D$1)</f>
        <v>0</v>
      </c>
    </row>
    <row r="289" spans="1:18" ht="15" thickBot="1" x14ac:dyDescent="0.4">
      <c r="A289" s="20" t="s">
        <v>268</v>
      </c>
      <c r="B289" s="21">
        <f t="shared" si="25"/>
        <v>0</v>
      </c>
      <c r="C289" s="121">
        <f t="shared" si="25"/>
        <v>0</v>
      </c>
      <c r="D289" s="121">
        <f t="shared" si="25"/>
        <v>0</v>
      </c>
      <c r="E289" s="121">
        <f t="shared" si="25"/>
        <v>0</v>
      </c>
      <c r="F289" s="121">
        <f t="shared" si="25"/>
        <v>0</v>
      </c>
      <c r="G289" s="153"/>
      <c r="H289" s="153"/>
      <c r="M289" s="64" t="s">
        <v>2026</v>
      </c>
      <c r="N289" s="61">
        <f>SUMIFS(INDEX(detail_table[],,MATCH(M289,detail_table[#Headers],0)),detail_table[Project Type],$D$1)</f>
        <v>0</v>
      </c>
    </row>
    <row r="290" spans="1:18" ht="15" thickBot="1" x14ac:dyDescent="0.4">
      <c r="A290" s="20" t="s">
        <v>269</v>
      </c>
      <c r="B290" s="21">
        <f t="shared" si="25"/>
        <v>0</v>
      </c>
      <c r="C290" s="121">
        <f t="shared" si="25"/>
        <v>0</v>
      </c>
      <c r="D290" s="121">
        <f t="shared" si="25"/>
        <v>0</v>
      </c>
      <c r="E290" s="121">
        <f t="shared" si="25"/>
        <v>0</v>
      </c>
      <c r="F290" s="121">
        <f t="shared" si="25"/>
        <v>0</v>
      </c>
      <c r="G290" s="153"/>
      <c r="H290" s="153"/>
      <c r="M290" s="64" t="s">
        <v>2027</v>
      </c>
      <c r="N290" s="61">
        <f>SUMIFS(INDEX(detail_table[],,MATCH(M290,detail_table[#Headers],0)),detail_table[Project Type],$D$1)</f>
        <v>0</v>
      </c>
    </row>
    <row r="291" spans="1:18" ht="15" thickBot="1" x14ac:dyDescent="0.4">
      <c r="A291" s="20" t="s">
        <v>270</v>
      </c>
      <c r="B291" s="21">
        <f t="shared" si="25"/>
        <v>0</v>
      </c>
      <c r="C291" s="121">
        <f t="shared" si="25"/>
        <v>0</v>
      </c>
      <c r="D291" s="121">
        <f t="shared" si="25"/>
        <v>0</v>
      </c>
      <c r="E291" s="121">
        <f t="shared" si="25"/>
        <v>0</v>
      </c>
      <c r="F291" s="121">
        <f t="shared" si="25"/>
        <v>0</v>
      </c>
      <c r="G291" s="153"/>
      <c r="H291" s="153"/>
      <c r="M291" s="64" t="s">
        <v>2028</v>
      </c>
      <c r="N291" s="61">
        <f>SUMIFS(INDEX(detail_table[],,MATCH(M291,detail_table[#Headers],0)),detail_table[Project Type],$D$1)</f>
        <v>0</v>
      </c>
      <c r="Q291" s="62"/>
    </row>
    <row r="292" spans="1:18" ht="15" thickBot="1" x14ac:dyDescent="0.4">
      <c r="A292" s="20" t="s">
        <v>271</v>
      </c>
      <c r="B292" s="21">
        <f t="shared" si="25"/>
        <v>0</v>
      </c>
      <c r="C292" s="121">
        <f t="shared" si="25"/>
        <v>0</v>
      </c>
      <c r="D292" s="121">
        <f t="shared" si="25"/>
        <v>0</v>
      </c>
      <c r="E292" s="121">
        <f t="shared" si="25"/>
        <v>0</v>
      </c>
      <c r="F292" s="121">
        <f t="shared" si="25"/>
        <v>0</v>
      </c>
      <c r="G292" s="153"/>
      <c r="H292" s="153"/>
      <c r="M292" s="64" t="s">
        <v>2029</v>
      </c>
      <c r="N292" s="61">
        <f>SUMIFS(INDEX(detail_table[],,MATCH(M292,detail_table[#Headers],0)),detail_table[Project Type],$D$1)</f>
        <v>0</v>
      </c>
    </row>
    <row r="293" spans="1:18" ht="15" thickBot="1" x14ac:dyDescent="0.4">
      <c r="A293" s="20" t="s">
        <v>346</v>
      </c>
      <c r="B293" s="21">
        <f t="shared" si="25"/>
        <v>0</v>
      </c>
      <c r="C293" s="121">
        <f t="shared" si="25"/>
        <v>0</v>
      </c>
      <c r="D293" s="121">
        <f t="shared" si="25"/>
        <v>0</v>
      </c>
      <c r="E293" s="121">
        <f t="shared" si="25"/>
        <v>0</v>
      </c>
      <c r="F293" s="121">
        <f t="shared" si="25"/>
        <v>0</v>
      </c>
      <c r="G293" s="153"/>
      <c r="H293" s="153"/>
      <c r="M293" s="64" t="s">
        <v>2030</v>
      </c>
      <c r="N293" s="61">
        <f>SUMIFS(INDEX(detail_table[],,MATCH(M293,detail_table[#Headers],0)),detail_table[Project Type],$D$1)</f>
        <v>0</v>
      </c>
      <c r="R293" s="62"/>
    </row>
    <row r="294" spans="1:18" ht="15" thickBot="1" x14ac:dyDescent="0.4">
      <c r="A294" s="20" t="s">
        <v>347</v>
      </c>
      <c r="B294" s="21">
        <f t="shared" si="25"/>
        <v>0</v>
      </c>
      <c r="C294" s="121">
        <f t="shared" si="25"/>
        <v>0</v>
      </c>
      <c r="D294" s="121">
        <f t="shared" si="25"/>
        <v>0</v>
      </c>
      <c r="E294" s="121">
        <f t="shared" si="25"/>
        <v>0</v>
      </c>
      <c r="F294" s="121">
        <f t="shared" si="25"/>
        <v>0</v>
      </c>
      <c r="G294" s="153"/>
      <c r="H294" s="153"/>
      <c r="M294" s="64" t="s">
        <v>2031</v>
      </c>
      <c r="N294" s="61">
        <f>SUMIFS(INDEX(detail_table[],,MATCH(M294,detail_table[#Headers],0)),detail_table[Project Type],$D$1)</f>
        <v>0</v>
      </c>
    </row>
    <row r="295" spans="1:18" ht="26.5" thickBot="1" x14ac:dyDescent="0.4">
      <c r="A295" s="20" t="s">
        <v>2098</v>
      </c>
      <c r="B295" s="21">
        <f t="shared" si="25"/>
        <v>0</v>
      </c>
      <c r="C295" s="121">
        <f t="shared" si="25"/>
        <v>0</v>
      </c>
      <c r="D295" s="121">
        <f t="shared" si="25"/>
        <v>0</v>
      </c>
      <c r="E295" s="121">
        <f t="shared" si="25"/>
        <v>0</v>
      </c>
      <c r="F295" s="121">
        <f t="shared" si="25"/>
        <v>0</v>
      </c>
      <c r="G295" s="153"/>
      <c r="H295" s="153"/>
      <c r="I295" s="62"/>
      <c r="M295" s="64" t="s">
        <v>2032</v>
      </c>
      <c r="N295" s="61">
        <f>SUMIFS(INDEX(detail_table[],,MATCH(M295,detail_table[#Headers],0)),detail_table[Project Type],$D$1)</f>
        <v>0</v>
      </c>
    </row>
    <row r="296" spans="1:18" s="62" customFormat="1" ht="15" thickBot="1" x14ac:dyDescent="0.4">
      <c r="A296" s="20" t="s">
        <v>349</v>
      </c>
      <c r="B296" s="21">
        <f t="shared" si="25"/>
        <v>0</v>
      </c>
      <c r="C296" s="121">
        <f t="shared" si="25"/>
        <v>0</v>
      </c>
      <c r="D296" s="121">
        <f t="shared" si="25"/>
        <v>0</v>
      </c>
      <c r="E296" s="121">
        <f t="shared" si="25"/>
        <v>0</v>
      </c>
      <c r="F296" s="121">
        <f t="shared" si="25"/>
        <v>0</v>
      </c>
      <c r="G296" s="153"/>
      <c r="H296" s="153"/>
      <c r="I296" s="61"/>
      <c r="J296" s="61"/>
      <c r="K296" s="61"/>
      <c r="L296" s="61"/>
      <c r="M296" s="64" t="s">
        <v>2033</v>
      </c>
      <c r="N296" s="61">
        <f>SUMIFS(INDEX(detail_table[],,MATCH(M296,detail_table[#Headers],0)),detail_table[Project Type],$D$1)</f>
        <v>0</v>
      </c>
      <c r="O296" s="61"/>
      <c r="P296" s="61"/>
      <c r="Q296" s="61"/>
      <c r="R296" s="61"/>
    </row>
    <row r="297" spans="1:18" ht="15" thickBot="1" x14ac:dyDescent="0.4">
      <c r="A297" s="20" t="s">
        <v>350</v>
      </c>
      <c r="B297" s="21">
        <f t="shared" si="25"/>
        <v>0</v>
      </c>
      <c r="C297" s="21">
        <f t="shared" si="25"/>
        <v>0</v>
      </c>
      <c r="D297" s="21">
        <f t="shared" si="25"/>
        <v>0</v>
      </c>
      <c r="E297" s="21">
        <f t="shared" si="25"/>
        <v>0</v>
      </c>
      <c r="F297" s="21">
        <f t="shared" si="25"/>
        <v>0</v>
      </c>
      <c r="G297" s="153"/>
      <c r="H297" s="153"/>
      <c r="M297" s="64" t="s">
        <v>2034</v>
      </c>
      <c r="N297" s="61">
        <f>SUMIFS(INDEX(detail_table[],,MATCH(M297,detail_table[#Headers],0)),detail_table[Project Type],$D$1)</f>
        <v>0</v>
      </c>
    </row>
    <row r="298" spans="1:18" x14ac:dyDescent="0.35">
      <c r="A298" s="59"/>
      <c r="B298" s="59"/>
      <c r="C298" s="59"/>
      <c r="D298" s="59"/>
      <c r="E298" s="59"/>
      <c r="F298" s="59"/>
      <c r="G298" s="153"/>
      <c r="H298" s="153"/>
      <c r="M298" s="64" t="s">
        <v>2035</v>
      </c>
      <c r="N298" s="61">
        <f>SUMIFS(INDEX(detail_table[],,MATCH(M298,detail_table[#Headers],0)),detail_table[Project Type],$D$1)</f>
        <v>0</v>
      </c>
    </row>
    <row r="299" spans="1:18" ht="39.5" thickBot="1" x14ac:dyDescent="0.4">
      <c r="A299" s="186" t="s">
        <v>68</v>
      </c>
      <c r="B299" s="153" t="s">
        <v>91</v>
      </c>
      <c r="C299" s="153"/>
      <c r="D299" s="153"/>
      <c r="E299" s="153"/>
      <c r="F299" s="153"/>
      <c r="G299" s="194"/>
      <c r="H299" s="194"/>
      <c r="M299" s="64" t="s">
        <v>2036</v>
      </c>
      <c r="N299" s="61">
        <f>SUMIFS(INDEX(detail_table[],,MATCH(M299,detail_table[#Headers],0)),detail_table[Project Type],$D$1)</f>
        <v>0</v>
      </c>
    </row>
    <row r="300" spans="1:18" ht="52.5" thickBot="1" x14ac:dyDescent="0.4">
      <c r="A300" s="154"/>
      <c r="B300" s="26" t="s">
        <v>8</v>
      </c>
      <c r="C300" s="26" t="s">
        <v>0</v>
      </c>
      <c r="D300" s="26" t="s">
        <v>1</v>
      </c>
      <c r="E300" s="26" t="s">
        <v>2</v>
      </c>
      <c r="F300" s="26" t="s">
        <v>3</v>
      </c>
      <c r="G300" s="153"/>
      <c r="H300" s="153"/>
      <c r="M300" s="64" t="s">
        <v>2037</v>
      </c>
      <c r="N300" s="61">
        <f>SUMIFS(INDEX(detail_table[],,MATCH(M300,detail_table[#Headers],0)),detail_table[Project Type],$D$1)</f>
        <v>0</v>
      </c>
    </row>
    <row r="301" spans="1:18" ht="15" thickBot="1" x14ac:dyDescent="0.4">
      <c r="A301" s="27" t="s">
        <v>365</v>
      </c>
      <c r="B301" s="28">
        <f t="shared" ref="B301:F315" si="26">INDEX($N$2:$N$1687,MATCH($B$299&amp;" | "&amp;$A301&amp;" | "&amp;B$300,$M$2:$M$1687,0))</f>
        <v>0</v>
      </c>
      <c r="C301" s="73">
        <f t="shared" si="26"/>
        <v>0</v>
      </c>
      <c r="D301" s="73">
        <f t="shared" si="26"/>
        <v>0</v>
      </c>
      <c r="E301" s="73">
        <f t="shared" si="26"/>
        <v>0</v>
      </c>
      <c r="F301" s="73">
        <f t="shared" si="26"/>
        <v>0</v>
      </c>
      <c r="G301" s="153"/>
      <c r="H301" s="153"/>
      <c r="J301" s="62"/>
      <c r="M301" s="64" t="s">
        <v>2038</v>
      </c>
      <c r="N301" s="61">
        <f>SUMIFS(INDEX(detail_table[],,MATCH(M301,detail_table[#Headers],0)),detail_table[Project Type],$D$1)</f>
        <v>0</v>
      </c>
    </row>
    <row r="302" spans="1:18" ht="15" thickBot="1" x14ac:dyDescent="0.4">
      <c r="A302" s="27" t="s">
        <v>366</v>
      </c>
      <c r="B302" s="28">
        <f t="shared" si="26"/>
        <v>0</v>
      </c>
      <c r="C302" s="73">
        <f t="shared" si="26"/>
        <v>0</v>
      </c>
      <c r="D302" s="73">
        <f t="shared" si="26"/>
        <v>0</v>
      </c>
      <c r="E302" s="73">
        <f t="shared" si="26"/>
        <v>0</v>
      </c>
      <c r="F302" s="73">
        <f t="shared" si="26"/>
        <v>0</v>
      </c>
      <c r="G302" s="153"/>
      <c r="H302" s="153"/>
      <c r="M302" s="64" t="s">
        <v>2039</v>
      </c>
      <c r="N302" s="61">
        <f>SUMIFS(INDEX(detail_table[],,MATCH(M302,detail_table[#Headers],0)),detail_table[Project Type],$D$1)</f>
        <v>0</v>
      </c>
    </row>
    <row r="303" spans="1:18" ht="15" thickBot="1" x14ac:dyDescent="0.4">
      <c r="A303" s="27" t="s">
        <v>367</v>
      </c>
      <c r="B303" s="28">
        <f t="shared" si="26"/>
        <v>0</v>
      </c>
      <c r="C303" s="73">
        <f t="shared" si="26"/>
        <v>0</v>
      </c>
      <c r="D303" s="73">
        <f t="shared" si="26"/>
        <v>0</v>
      </c>
      <c r="E303" s="73">
        <f t="shared" si="26"/>
        <v>0</v>
      </c>
      <c r="F303" s="73">
        <f t="shared" si="26"/>
        <v>0</v>
      </c>
      <c r="G303" s="153"/>
      <c r="H303" s="153"/>
      <c r="M303" s="64" t="s">
        <v>2040</v>
      </c>
      <c r="N303" s="61">
        <f>SUMIFS(INDEX(detail_table[],,MATCH(M303,detail_table[#Headers],0)),detail_table[Project Type],$D$1)</f>
        <v>0</v>
      </c>
    </row>
    <row r="304" spans="1:18" ht="15" thickBot="1" x14ac:dyDescent="0.4">
      <c r="A304" s="27" t="s">
        <v>270</v>
      </c>
      <c r="B304" s="28">
        <f t="shared" si="26"/>
        <v>0</v>
      </c>
      <c r="C304" s="73">
        <f t="shared" si="26"/>
        <v>0</v>
      </c>
      <c r="D304" s="73">
        <f t="shared" si="26"/>
        <v>0</v>
      </c>
      <c r="E304" s="73">
        <f t="shared" si="26"/>
        <v>0</v>
      </c>
      <c r="F304" s="73">
        <f t="shared" si="26"/>
        <v>0</v>
      </c>
      <c r="G304" s="153"/>
      <c r="H304" s="153"/>
      <c r="M304" s="64" t="s">
        <v>2041</v>
      </c>
      <c r="N304" s="61">
        <f>SUMIFS(INDEX(detail_table[],,MATCH(M304,detail_table[#Headers],0)),detail_table[Project Type],$D$1)</f>
        <v>0</v>
      </c>
    </row>
    <row r="305" spans="1:18" ht="15" thickBot="1" x14ac:dyDescent="0.4">
      <c r="A305" s="29" t="s">
        <v>271</v>
      </c>
      <c r="B305" s="28">
        <f t="shared" si="26"/>
        <v>0</v>
      </c>
      <c r="C305" s="73">
        <f t="shared" si="26"/>
        <v>0</v>
      </c>
      <c r="D305" s="73">
        <f t="shared" si="26"/>
        <v>0</v>
      </c>
      <c r="E305" s="73">
        <f t="shared" si="26"/>
        <v>0</v>
      </c>
      <c r="F305" s="73">
        <f t="shared" si="26"/>
        <v>0</v>
      </c>
      <c r="G305" s="153"/>
      <c r="H305" s="153"/>
      <c r="M305" s="64" t="s">
        <v>2042</v>
      </c>
      <c r="N305" s="61">
        <f>SUMIFS(INDEX(detail_table[],,MATCH(M305,detail_table[#Headers],0)),detail_table[Project Type],$D$1)</f>
        <v>0</v>
      </c>
    </row>
    <row r="306" spans="1:18" ht="15" thickBot="1" x14ac:dyDescent="0.4">
      <c r="A306" s="29" t="s">
        <v>272</v>
      </c>
      <c r="B306" s="28">
        <f t="shared" si="26"/>
        <v>0</v>
      </c>
      <c r="C306" s="73">
        <f t="shared" si="26"/>
        <v>0</v>
      </c>
      <c r="D306" s="73">
        <f t="shared" si="26"/>
        <v>0</v>
      </c>
      <c r="E306" s="73">
        <f t="shared" si="26"/>
        <v>0</v>
      </c>
      <c r="F306" s="73">
        <f t="shared" si="26"/>
        <v>0</v>
      </c>
      <c r="G306" s="153"/>
      <c r="H306" s="153"/>
      <c r="M306" s="64" t="s">
        <v>2043</v>
      </c>
      <c r="N306" s="61">
        <f>SUMIFS(INDEX(detail_table[],,MATCH(M306,detail_table[#Headers],0)),detail_table[Project Type],$D$1)</f>
        <v>0</v>
      </c>
      <c r="Q306" s="62"/>
    </row>
    <row r="307" spans="1:18" ht="15" thickBot="1" x14ac:dyDescent="0.4">
      <c r="A307" s="29" t="s">
        <v>273</v>
      </c>
      <c r="B307" s="28">
        <f t="shared" si="26"/>
        <v>0</v>
      </c>
      <c r="C307" s="73">
        <f t="shared" si="26"/>
        <v>0</v>
      </c>
      <c r="D307" s="73">
        <f t="shared" si="26"/>
        <v>0</v>
      </c>
      <c r="E307" s="73">
        <f t="shared" si="26"/>
        <v>0</v>
      </c>
      <c r="F307" s="73">
        <f t="shared" si="26"/>
        <v>0</v>
      </c>
      <c r="G307" s="153"/>
      <c r="H307" s="153"/>
      <c r="M307" s="64" t="s">
        <v>2044</v>
      </c>
      <c r="N307" s="61">
        <f>SUMIFS(INDEX(detail_table[],,MATCH(M307,detail_table[#Headers],0)),detail_table[Project Type],$D$1)</f>
        <v>0</v>
      </c>
      <c r="Q307" s="62"/>
    </row>
    <row r="308" spans="1:18" ht="15" thickBot="1" x14ac:dyDescent="0.4">
      <c r="A308" s="29" t="s">
        <v>274</v>
      </c>
      <c r="B308" s="28">
        <f t="shared" si="26"/>
        <v>0</v>
      </c>
      <c r="C308" s="73">
        <f t="shared" si="26"/>
        <v>0</v>
      </c>
      <c r="D308" s="73">
        <f t="shared" si="26"/>
        <v>0</v>
      </c>
      <c r="E308" s="73">
        <f t="shared" si="26"/>
        <v>0</v>
      </c>
      <c r="F308" s="73">
        <f t="shared" si="26"/>
        <v>0</v>
      </c>
      <c r="G308" s="153"/>
      <c r="H308" s="153"/>
      <c r="I308" s="62"/>
      <c r="M308" s="64" t="s">
        <v>2045</v>
      </c>
      <c r="N308" s="61">
        <f>SUMIFS(INDEX(detail_table[],,MATCH(M308,detail_table[#Headers],0)),detail_table[Project Type],$D$1)</f>
        <v>0</v>
      </c>
    </row>
    <row r="309" spans="1:18" s="62" customFormat="1" ht="26.5" thickBot="1" x14ac:dyDescent="0.4">
      <c r="A309" s="29" t="s">
        <v>2094</v>
      </c>
      <c r="B309" s="28">
        <f t="shared" si="26"/>
        <v>0</v>
      </c>
      <c r="C309" s="73">
        <f t="shared" si="26"/>
        <v>0</v>
      </c>
      <c r="D309" s="73">
        <f t="shared" si="26"/>
        <v>0</v>
      </c>
      <c r="E309" s="73">
        <f t="shared" si="26"/>
        <v>0</v>
      </c>
      <c r="F309" s="73">
        <f t="shared" si="26"/>
        <v>0</v>
      </c>
      <c r="G309" s="153"/>
      <c r="H309" s="153"/>
      <c r="I309" s="61"/>
      <c r="J309" s="61"/>
      <c r="K309" s="61"/>
      <c r="L309" s="61"/>
      <c r="M309" s="64" t="s">
        <v>633</v>
      </c>
      <c r="N309" s="61">
        <f>SUMIFS(INDEX(detail_table[],,MATCH(M309,detail_table[#Headers],0)),detail_table[Project Type],"&lt;&gt;"&amp;"")</f>
        <v>0</v>
      </c>
      <c r="O309" s="61"/>
      <c r="P309" s="61"/>
      <c r="Q309" s="61"/>
      <c r="R309" s="61"/>
    </row>
    <row r="310" spans="1:18" ht="26.5" thickBot="1" x14ac:dyDescent="0.4">
      <c r="A310" s="29" t="s">
        <v>2095</v>
      </c>
      <c r="B310" s="28">
        <f t="shared" si="26"/>
        <v>0</v>
      </c>
      <c r="C310" s="73">
        <f t="shared" si="26"/>
        <v>0</v>
      </c>
      <c r="D310" s="73">
        <f t="shared" si="26"/>
        <v>0</v>
      </c>
      <c r="E310" s="73">
        <f t="shared" si="26"/>
        <v>0</v>
      </c>
      <c r="F310" s="73">
        <f t="shared" si="26"/>
        <v>0</v>
      </c>
      <c r="G310" s="153"/>
      <c r="H310" s="153"/>
      <c r="M310" s="64" t="s">
        <v>634</v>
      </c>
      <c r="N310" s="61">
        <f>SUMIFS(INDEX(detail_table[],,MATCH(M310,detail_table[#Headers],0)),detail_table[Project Type],"&lt;&gt;"&amp;"")</f>
        <v>0</v>
      </c>
    </row>
    <row r="311" spans="1:18" ht="26.5" thickBot="1" x14ac:dyDescent="0.4">
      <c r="A311" s="29" t="s">
        <v>2096</v>
      </c>
      <c r="B311" s="28">
        <f t="shared" si="26"/>
        <v>0</v>
      </c>
      <c r="C311" s="73">
        <f t="shared" si="26"/>
        <v>0</v>
      </c>
      <c r="D311" s="73">
        <f t="shared" si="26"/>
        <v>0</v>
      </c>
      <c r="E311" s="73">
        <f t="shared" si="26"/>
        <v>0</v>
      </c>
      <c r="F311" s="73">
        <f t="shared" si="26"/>
        <v>0</v>
      </c>
      <c r="G311" s="153"/>
      <c r="H311" s="153"/>
      <c r="M311" s="64" t="s">
        <v>635</v>
      </c>
      <c r="N311" s="61">
        <f>SUMIFS(INDEX(detail_table[],,MATCH(M311,detail_table[#Headers],0)),detail_table[Project Type],"&lt;&gt;"&amp;"")</f>
        <v>0</v>
      </c>
    </row>
    <row r="312" spans="1:18" ht="26.5" thickBot="1" x14ac:dyDescent="0.4">
      <c r="A312" s="29" t="s">
        <v>2097</v>
      </c>
      <c r="B312" s="28">
        <f t="shared" si="26"/>
        <v>0</v>
      </c>
      <c r="C312" s="73">
        <f t="shared" si="26"/>
        <v>0</v>
      </c>
      <c r="D312" s="73">
        <f t="shared" si="26"/>
        <v>0</v>
      </c>
      <c r="E312" s="73">
        <f t="shared" si="26"/>
        <v>0</v>
      </c>
      <c r="F312" s="73">
        <f t="shared" si="26"/>
        <v>0</v>
      </c>
      <c r="G312" s="153"/>
      <c r="H312" s="153"/>
      <c r="M312" s="64" t="s">
        <v>636</v>
      </c>
      <c r="N312" s="61">
        <f>SUMIFS(INDEX(detail_table[],,MATCH(M312,detail_table[#Headers],0)),detail_table[Project Type],"&lt;&gt;"&amp;"")</f>
        <v>0</v>
      </c>
    </row>
    <row r="313" spans="1:18" ht="26.5" thickBot="1" x14ac:dyDescent="0.4">
      <c r="A313" s="29" t="s">
        <v>279</v>
      </c>
      <c r="B313" s="28">
        <f t="shared" si="26"/>
        <v>0</v>
      </c>
      <c r="C313" s="73">
        <f t="shared" si="26"/>
        <v>0</v>
      </c>
      <c r="D313" s="73">
        <f t="shared" si="26"/>
        <v>0</v>
      </c>
      <c r="E313" s="73">
        <f t="shared" si="26"/>
        <v>0</v>
      </c>
      <c r="F313" s="73">
        <f t="shared" si="26"/>
        <v>0</v>
      </c>
      <c r="G313" s="153"/>
      <c r="H313" s="153"/>
      <c r="M313" s="64" t="s">
        <v>637</v>
      </c>
      <c r="N313" s="61">
        <f>SUMIFS(INDEX(detail_table[],,MATCH(M313,detail_table[#Headers],0)),detail_table[Project Type],"&lt;&gt;"&amp;"")</f>
        <v>0</v>
      </c>
    </row>
    <row r="314" spans="1:18" ht="15" thickBot="1" x14ac:dyDescent="0.4">
      <c r="A314" s="29" t="s">
        <v>280</v>
      </c>
      <c r="B314" s="31">
        <f t="shared" si="26"/>
        <v>0</v>
      </c>
      <c r="C314" s="110">
        <f t="shared" si="26"/>
        <v>0</v>
      </c>
      <c r="D314" s="110">
        <f t="shared" si="26"/>
        <v>0</v>
      </c>
      <c r="E314" s="110">
        <f t="shared" si="26"/>
        <v>0</v>
      </c>
      <c r="F314" s="110">
        <f t="shared" si="26"/>
        <v>0</v>
      </c>
      <c r="G314" s="153"/>
      <c r="H314" s="153"/>
      <c r="M314" s="64" t="s">
        <v>638</v>
      </c>
      <c r="N314" s="61">
        <f>SUMIFS(INDEX(detail_table[],,MATCH(M314,detail_table[#Headers],0)),detail_table[Project Type],"&lt;&gt;"&amp;"")</f>
        <v>0</v>
      </c>
    </row>
    <row r="315" spans="1:18" ht="15" thickBot="1" x14ac:dyDescent="0.4">
      <c r="A315" s="157" t="s">
        <v>281</v>
      </c>
      <c r="B315" s="28">
        <f t="shared" si="26"/>
        <v>0</v>
      </c>
      <c r="C315" s="28">
        <f t="shared" si="26"/>
        <v>0</v>
      </c>
      <c r="D315" s="28">
        <f t="shared" si="26"/>
        <v>0</v>
      </c>
      <c r="E315" s="28">
        <f t="shared" si="26"/>
        <v>0</v>
      </c>
      <c r="F315" s="28">
        <f t="shared" si="26"/>
        <v>0</v>
      </c>
      <c r="G315" s="153"/>
      <c r="H315" s="153"/>
      <c r="M315" s="64" t="s">
        <v>639</v>
      </c>
      <c r="N315" s="61">
        <f>SUMIFS(INDEX(detail_table[],,MATCH(M315,detail_table[#Headers],0)),detail_table[Project Type],"&lt;&gt;"&amp;"")</f>
        <v>0</v>
      </c>
    </row>
    <row r="316" spans="1:18" x14ac:dyDescent="0.35">
      <c r="A316" s="67"/>
      <c r="B316" s="68"/>
      <c r="C316" s="68"/>
      <c r="D316" s="68"/>
      <c r="E316" s="70"/>
      <c r="F316" s="70"/>
      <c r="G316" s="194"/>
      <c r="H316" s="194"/>
      <c r="M316" s="64" t="s">
        <v>640</v>
      </c>
      <c r="N316" s="61">
        <f>SUMIFS(INDEX(detail_table[],,MATCH(M316,detail_table[#Headers],0)),detail_table[Project Type],"&lt;&gt;"&amp;"")</f>
        <v>0</v>
      </c>
    </row>
    <row r="317" spans="1:18" ht="26.5" thickBot="1" x14ac:dyDescent="0.4">
      <c r="A317" s="189" t="s">
        <v>127</v>
      </c>
      <c r="B317" s="153" t="s">
        <v>92</v>
      </c>
      <c r="C317" s="153"/>
      <c r="D317" s="153"/>
      <c r="E317" s="153"/>
      <c r="F317" s="153"/>
      <c r="G317" s="194"/>
      <c r="H317" s="194"/>
      <c r="M317" s="64" t="s">
        <v>641</v>
      </c>
      <c r="N317" s="61">
        <f>SUMIFS(INDEX(detail_table[],,MATCH(M317,detail_table[#Headers],0)),detail_table[Project Type],"&lt;&gt;"&amp;"")</f>
        <v>0</v>
      </c>
    </row>
    <row r="318" spans="1:18" ht="52.5" thickBot="1" x14ac:dyDescent="0.4">
      <c r="A318" s="1"/>
      <c r="B318" s="3" t="s">
        <v>8</v>
      </c>
      <c r="C318" s="3" t="s">
        <v>0</v>
      </c>
      <c r="D318" s="3" t="s">
        <v>1</v>
      </c>
      <c r="E318" s="3" t="s">
        <v>2</v>
      </c>
      <c r="F318" s="3" t="s">
        <v>3</v>
      </c>
      <c r="G318" s="153"/>
      <c r="H318" s="153"/>
      <c r="J318" s="62"/>
      <c r="M318" s="64" t="s">
        <v>642</v>
      </c>
      <c r="N318" s="61">
        <f>SUMIFS(INDEX(detail_table[],,MATCH(M318,detail_table[#Headers],0)),detail_table[Project Type],"&lt;&gt;"&amp;"")</f>
        <v>0</v>
      </c>
    </row>
    <row r="319" spans="1:18" ht="26.5" thickBot="1" x14ac:dyDescent="0.4">
      <c r="A319" s="1" t="s">
        <v>282</v>
      </c>
      <c r="B319" s="23"/>
      <c r="C319" s="23"/>
      <c r="D319" s="23"/>
      <c r="E319" s="23"/>
      <c r="F319" s="23"/>
      <c r="G319" s="153"/>
      <c r="H319" s="153"/>
      <c r="J319" s="62"/>
      <c r="M319" s="64" t="s">
        <v>643</v>
      </c>
      <c r="N319" s="61">
        <f>SUMIFS(INDEX(detail_table[],,MATCH(M319,detail_table[#Headers],0)),detail_table[Project Type],"&lt;&gt;"&amp;"")</f>
        <v>0</v>
      </c>
    </row>
    <row r="320" spans="1:18" ht="39.5" thickBot="1" x14ac:dyDescent="0.4">
      <c r="A320" s="23" t="s">
        <v>283</v>
      </c>
      <c r="B320" s="105">
        <f t="shared" ref="B320:F330" si="27">INDEX($N$2:$N$1687,MATCH($B$317&amp;" | "&amp;$A320&amp;" | "&amp;B$318,$M$2:$M$1687,0))</f>
        <v>0</v>
      </c>
      <c r="C320" s="23">
        <f t="shared" si="27"/>
        <v>0</v>
      </c>
      <c r="D320" s="23">
        <f t="shared" si="27"/>
        <v>0</v>
      </c>
      <c r="E320" s="23">
        <f t="shared" si="27"/>
        <v>0</v>
      </c>
      <c r="F320" s="23">
        <f t="shared" si="27"/>
        <v>0</v>
      </c>
      <c r="G320" s="153"/>
      <c r="H320" s="153"/>
      <c r="M320" s="64" t="s">
        <v>644</v>
      </c>
      <c r="N320" s="61">
        <f>SUMIFS(INDEX(detail_table[],,MATCH(M320,detail_table[#Headers],0)),detail_table[Project Type],"&lt;&gt;"&amp;"")</f>
        <v>0</v>
      </c>
    </row>
    <row r="321" spans="1:18" ht="26.5" thickBot="1" x14ac:dyDescent="0.4">
      <c r="A321" s="23" t="s">
        <v>284</v>
      </c>
      <c r="B321" s="105">
        <f t="shared" si="27"/>
        <v>0</v>
      </c>
      <c r="C321" s="23">
        <f t="shared" si="27"/>
        <v>0</v>
      </c>
      <c r="D321" s="23">
        <f t="shared" si="27"/>
        <v>0</v>
      </c>
      <c r="E321" s="23">
        <f t="shared" si="27"/>
        <v>0</v>
      </c>
      <c r="F321" s="23">
        <f t="shared" si="27"/>
        <v>0</v>
      </c>
      <c r="G321" s="153"/>
      <c r="H321" s="153"/>
      <c r="M321" s="64" t="s">
        <v>645</v>
      </c>
      <c r="N321" s="61">
        <f>SUMIFS(INDEX(detail_table[],,MATCH(M321,detail_table[#Headers],0)),detail_table[Project Type],"&lt;&gt;"&amp;"")</f>
        <v>0</v>
      </c>
      <c r="R321" s="62"/>
    </row>
    <row r="322" spans="1:18" ht="26.5" thickBot="1" x14ac:dyDescent="0.4">
      <c r="A322" s="23" t="s">
        <v>285</v>
      </c>
      <c r="B322" s="105">
        <f t="shared" si="27"/>
        <v>0</v>
      </c>
      <c r="C322" s="23">
        <f t="shared" si="27"/>
        <v>0</v>
      </c>
      <c r="D322" s="23">
        <f t="shared" si="27"/>
        <v>0</v>
      </c>
      <c r="E322" s="23">
        <f t="shared" si="27"/>
        <v>0</v>
      </c>
      <c r="F322" s="23">
        <f t="shared" si="27"/>
        <v>0</v>
      </c>
      <c r="G322" s="153"/>
      <c r="H322" s="153"/>
      <c r="M322" s="64" t="s">
        <v>646</v>
      </c>
      <c r="N322" s="61">
        <f>SUMIFS(INDEX(detail_table[],,MATCH(M322,detail_table[#Headers],0)),detail_table[Project Type],"&lt;&gt;"&amp;"")</f>
        <v>0</v>
      </c>
      <c r="R322" s="62"/>
    </row>
    <row r="323" spans="1:18" ht="26.5" thickBot="1" x14ac:dyDescent="0.4">
      <c r="A323" s="23" t="s">
        <v>286</v>
      </c>
      <c r="B323" s="105">
        <f t="shared" si="27"/>
        <v>0</v>
      </c>
      <c r="C323" s="23">
        <f t="shared" si="27"/>
        <v>0</v>
      </c>
      <c r="D323" s="23">
        <f t="shared" si="27"/>
        <v>0</v>
      </c>
      <c r="E323" s="23">
        <f t="shared" si="27"/>
        <v>0</v>
      </c>
      <c r="F323" s="23">
        <f t="shared" si="27"/>
        <v>0</v>
      </c>
      <c r="G323" s="153"/>
      <c r="H323" s="153"/>
      <c r="M323" s="64" t="s">
        <v>647</v>
      </c>
      <c r="N323" s="61">
        <f>SUMIFS(INDEX(detail_table[],,MATCH(M323,detail_table[#Headers],0)),detail_table[Project Type],"&lt;&gt;"&amp;"")</f>
        <v>0</v>
      </c>
    </row>
    <row r="324" spans="1:18" ht="26.5" thickBot="1" x14ac:dyDescent="0.4">
      <c r="A324" s="23" t="s">
        <v>287</v>
      </c>
      <c r="B324" s="105">
        <f t="shared" si="27"/>
        <v>0</v>
      </c>
      <c r="C324" s="23">
        <f t="shared" si="27"/>
        <v>0</v>
      </c>
      <c r="D324" s="23">
        <f t="shared" si="27"/>
        <v>0</v>
      </c>
      <c r="E324" s="23">
        <f t="shared" si="27"/>
        <v>0</v>
      </c>
      <c r="F324" s="23">
        <f t="shared" si="27"/>
        <v>0</v>
      </c>
      <c r="G324" s="153"/>
      <c r="H324" s="153"/>
      <c r="M324" s="64" t="s">
        <v>648</v>
      </c>
      <c r="N324" s="61">
        <f>SUMIFS(INDEX(detail_table[],,MATCH(M324,detail_table[#Headers],0)),detail_table[Project Type],"&lt;&gt;"&amp;"")</f>
        <v>0</v>
      </c>
    </row>
    <row r="325" spans="1:18" ht="39.5" thickBot="1" x14ac:dyDescent="0.4">
      <c r="A325" s="23" t="s">
        <v>288</v>
      </c>
      <c r="B325" s="105">
        <f t="shared" si="27"/>
        <v>0</v>
      </c>
      <c r="C325" s="23">
        <f t="shared" si="27"/>
        <v>0</v>
      </c>
      <c r="D325" s="23">
        <f t="shared" si="27"/>
        <v>0</v>
      </c>
      <c r="E325" s="23">
        <f t="shared" si="27"/>
        <v>0</v>
      </c>
      <c r="F325" s="23">
        <f t="shared" si="27"/>
        <v>0</v>
      </c>
      <c r="G325" s="153"/>
      <c r="H325" s="153"/>
      <c r="I325" s="62"/>
      <c r="M325" s="64" t="s">
        <v>649</v>
      </c>
      <c r="N325" s="61">
        <f>SUMIFS(INDEX(detail_table[],,MATCH(M325,detail_table[#Headers],0)),detail_table[Project Type],"&lt;&gt;"&amp;"")</f>
        <v>0</v>
      </c>
    </row>
    <row r="326" spans="1:18" s="62" customFormat="1" ht="26.5" thickBot="1" x14ac:dyDescent="0.4">
      <c r="A326" s="23" t="s">
        <v>289</v>
      </c>
      <c r="B326" s="105">
        <f t="shared" si="27"/>
        <v>0</v>
      </c>
      <c r="C326" s="23">
        <f t="shared" si="27"/>
        <v>0</v>
      </c>
      <c r="D326" s="23">
        <f t="shared" si="27"/>
        <v>0</v>
      </c>
      <c r="E326" s="23">
        <f t="shared" si="27"/>
        <v>0</v>
      </c>
      <c r="F326" s="23">
        <f t="shared" si="27"/>
        <v>0</v>
      </c>
      <c r="G326" s="153"/>
      <c r="H326" s="153"/>
      <c r="J326" s="61"/>
      <c r="K326" s="61"/>
      <c r="L326" s="61"/>
      <c r="M326" s="64" t="s">
        <v>650</v>
      </c>
      <c r="N326" s="61">
        <f>SUMIFS(INDEX(detail_table[],,MATCH(M326,detail_table[#Headers],0)),detail_table[Project Type],"&lt;&gt;"&amp;"")</f>
        <v>0</v>
      </c>
      <c r="O326" s="61"/>
      <c r="P326" s="61"/>
      <c r="Q326" s="61"/>
      <c r="R326" s="61"/>
    </row>
    <row r="327" spans="1:18" s="62" customFormat="1" ht="39.5" thickBot="1" x14ac:dyDescent="0.4">
      <c r="A327" s="23" t="s">
        <v>290</v>
      </c>
      <c r="B327" s="105">
        <f t="shared" si="27"/>
        <v>0</v>
      </c>
      <c r="C327" s="23">
        <f t="shared" si="27"/>
        <v>0</v>
      </c>
      <c r="D327" s="23">
        <f t="shared" si="27"/>
        <v>0</v>
      </c>
      <c r="E327" s="23">
        <f t="shared" si="27"/>
        <v>0</v>
      </c>
      <c r="F327" s="23">
        <f t="shared" si="27"/>
        <v>0</v>
      </c>
      <c r="G327" s="153"/>
      <c r="H327" s="153"/>
      <c r="I327" s="61"/>
      <c r="J327" s="61"/>
      <c r="K327" s="61"/>
      <c r="L327" s="61"/>
      <c r="M327" s="64" t="s">
        <v>651</v>
      </c>
      <c r="N327" s="61">
        <f>SUMIFS(INDEX(detail_table[],,MATCH(M327,detail_table[#Headers],0)),detail_table[Project Type],"&lt;&gt;"&amp;"")</f>
        <v>0</v>
      </c>
      <c r="O327" s="61"/>
      <c r="P327" s="61"/>
      <c r="Q327" s="61"/>
      <c r="R327" s="61"/>
    </row>
    <row r="328" spans="1:18" ht="39.5" thickBot="1" x14ac:dyDescent="0.4">
      <c r="A328" s="23" t="s">
        <v>291</v>
      </c>
      <c r="B328" s="105">
        <f t="shared" si="27"/>
        <v>0</v>
      </c>
      <c r="C328" s="23">
        <f t="shared" si="27"/>
        <v>0</v>
      </c>
      <c r="D328" s="23">
        <f t="shared" si="27"/>
        <v>0</v>
      </c>
      <c r="E328" s="23">
        <f t="shared" si="27"/>
        <v>0</v>
      </c>
      <c r="F328" s="23">
        <f t="shared" si="27"/>
        <v>0</v>
      </c>
      <c r="G328" s="153"/>
      <c r="H328" s="153"/>
      <c r="M328" s="64" t="s">
        <v>652</v>
      </c>
      <c r="N328" s="61">
        <f>SUMIFS(INDEX(detail_table[],,MATCH(M328,detail_table[#Headers],0)),detail_table[Project Type],"&lt;&gt;"&amp;"")</f>
        <v>0</v>
      </c>
    </row>
    <row r="329" spans="1:18" ht="39.5" thickBot="1" x14ac:dyDescent="0.4">
      <c r="A329" s="23" t="s">
        <v>292</v>
      </c>
      <c r="B329" s="105">
        <f t="shared" si="27"/>
        <v>0</v>
      </c>
      <c r="C329" s="23">
        <f t="shared" si="27"/>
        <v>0</v>
      </c>
      <c r="D329" s="23">
        <f t="shared" si="27"/>
        <v>0</v>
      </c>
      <c r="E329" s="23">
        <f t="shared" si="27"/>
        <v>0</v>
      </c>
      <c r="F329" s="23">
        <f t="shared" si="27"/>
        <v>0</v>
      </c>
      <c r="G329" s="153"/>
      <c r="H329" s="153"/>
      <c r="M329" s="64" t="s">
        <v>653</v>
      </c>
      <c r="N329" s="61">
        <f>SUMIFS(INDEX(detail_table[],,MATCH(M329,detail_table[#Headers],0)),detail_table[Project Type],"&lt;&gt;"&amp;"")</f>
        <v>0</v>
      </c>
    </row>
    <row r="330" spans="1:18" ht="15" thickBot="1" x14ac:dyDescent="0.4">
      <c r="A330" s="23" t="s">
        <v>231</v>
      </c>
      <c r="B330" s="105">
        <f t="shared" si="27"/>
        <v>0</v>
      </c>
      <c r="C330" s="23">
        <f t="shared" si="27"/>
        <v>0</v>
      </c>
      <c r="D330" s="23">
        <f t="shared" si="27"/>
        <v>0</v>
      </c>
      <c r="E330" s="23">
        <f t="shared" si="27"/>
        <v>0</v>
      </c>
      <c r="F330" s="23">
        <f t="shared" si="27"/>
        <v>0</v>
      </c>
      <c r="G330" s="153"/>
      <c r="H330" s="153"/>
      <c r="M330" s="64" t="s">
        <v>654</v>
      </c>
      <c r="N330" s="61">
        <f>SUMIFS(INDEX(detail_table[],,MATCH(M330,detail_table[#Headers],0)),detail_table[Project Type],"&lt;&gt;"&amp;"")</f>
        <v>0</v>
      </c>
    </row>
    <row r="331" spans="1:18" ht="26.5" thickBot="1" x14ac:dyDescent="0.4">
      <c r="A331" s="1" t="s">
        <v>293</v>
      </c>
      <c r="B331" s="105"/>
      <c r="C331" s="23"/>
      <c r="D331" s="23"/>
      <c r="E331" s="23"/>
      <c r="F331" s="23"/>
      <c r="G331" s="153"/>
      <c r="H331" s="153"/>
      <c r="M331" s="64" t="s">
        <v>655</v>
      </c>
      <c r="N331" s="61">
        <f>SUMIFS(INDEX(detail_table[],,MATCH(M331,detail_table[#Headers],0)),detail_table[Project Type],"&lt;&gt;"&amp;"")</f>
        <v>0</v>
      </c>
    </row>
    <row r="332" spans="1:18" ht="15" thickBot="1" x14ac:dyDescent="0.4">
      <c r="A332" s="23" t="s">
        <v>294</v>
      </c>
      <c r="B332" s="105">
        <f t="shared" ref="B332:F340" si="28">INDEX($N$2:$N$1687,MATCH($B$317&amp;" | "&amp;$A332&amp;" | "&amp;B$318,$M$2:$M$1687,0))</f>
        <v>0</v>
      </c>
      <c r="C332" s="23">
        <f t="shared" si="28"/>
        <v>0</v>
      </c>
      <c r="D332" s="23">
        <f t="shared" si="28"/>
        <v>0</v>
      </c>
      <c r="E332" s="23">
        <f t="shared" si="28"/>
        <v>0</v>
      </c>
      <c r="F332" s="23">
        <f t="shared" si="28"/>
        <v>0</v>
      </c>
      <c r="G332" s="153"/>
      <c r="H332" s="153"/>
      <c r="M332" s="64" t="s">
        <v>656</v>
      </c>
      <c r="N332" s="61">
        <f>SUMIFS(INDEX(detail_table[],,MATCH(M332,detail_table[#Headers],0)),detail_table[Project Type],"&lt;&gt;"&amp;"")</f>
        <v>0</v>
      </c>
    </row>
    <row r="333" spans="1:18" ht="39.5" thickBot="1" x14ac:dyDescent="0.4">
      <c r="A333" s="23" t="s">
        <v>295</v>
      </c>
      <c r="B333" s="105">
        <f t="shared" si="28"/>
        <v>0</v>
      </c>
      <c r="C333" s="23">
        <f t="shared" si="28"/>
        <v>0</v>
      </c>
      <c r="D333" s="23">
        <f t="shared" si="28"/>
        <v>0</v>
      </c>
      <c r="E333" s="23">
        <f t="shared" si="28"/>
        <v>0</v>
      </c>
      <c r="F333" s="23">
        <f t="shared" si="28"/>
        <v>0</v>
      </c>
      <c r="G333" s="153"/>
      <c r="H333" s="153"/>
      <c r="M333" s="64" t="s">
        <v>657</v>
      </c>
      <c r="N333" s="61">
        <f>SUMIFS(INDEX(detail_table[],,MATCH(M333,detail_table[#Headers],0)),detail_table[Project Type],"&lt;&gt;"&amp;"")</f>
        <v>0</v>
      </c>
    </row>
    <row r="334" spans="1:18" ht="39.5" thickBot="1" x14ac:dyDescent="0.4">
      <c r="A334" s="23" t="s">
        <v>296</v>
      </c>
      <c r="B334" s="105">
        <f t="shared" si="28"/>
        <v>0</v>
      </c>
      <c r="C334" s="23">
        <f t="shared" si="28"/>
        <v>0</v>
      </c>
      <c r="D334" s="23">
        <f t="shared" si="28"/>
        <v>0</v>
      </c>
      <c r="E334" s="23">
        <f t="shared" si="28"/>
        <v>0</v>
      </c>
      <c r="F334" s="23">
        <f t="shared" si="28"/>
        <v>0</v>
      </c>
      <c r="G334" s="153"/>
      <c r="H334" s="153"/>
      <c r="M334" s="64" t="s">
        <v>658</v>
      </c>
      <c r="N334" s="61">
        <f>SUMIFS(INDEX(detail_table[],,MATCH(M334,detail_table[#Headers],0)),detail_table[Project Type],"&lt;&gt;"&amp;"")</f>
        <v>0</v>
      </c>
    </row>
    <row r="335" spans="1:18" ht="26.5" thickBot="1" x14ac:dyDescent="0.4">
      <c r="A335" s="23" t="s">
        <v>1961</v>
      </c>
      <c r="B335" s="105">
        <f t="shared" si="28"/>
        <v>0</v>
      </c>
      <c r="C335" s="23">
        <f t="shared" si="28"/>
        <v>0</v>
      </c>
      <c r="D335" s="23">
        <f t="shared" si="28"/>
        <v>0</v>
      </c>
      <c r="E335" s="23">
        <f t="shared" si="28"/>
        <v>0</v>
      </c>
      <c r="F335" s="23">
        <f t="shared" si="28"/>
        <v>0</v>
      </c>
      <c r="G335" s="153"/>
      <c r="H335" s="153"/>
      <c r="M335" s="64" t="s">
        <v>659</v>
      </c>
      <c r="N335" s="61">
        <f>SUMIFS(INDEX(detail_table[],,MATCH(M335,detail_table[#Headers],0)),detail_table[Project Type],"&lt;&gt;"&amp;"")</f>
        <v>0</v>
      </c>
    </row>
    <row r="336" spans="1:18" ht="39.5" thickBot="1" x14ac:dyDescent="0.4">
      <c r="A336" s="23" t="s">
        <v>298</v>
      </c>
      <c r="B336" s="105">
        <f t="shared" si="28"/>
        <v>0</v>
      </c>
      <c r="C336" s="23">
        <f t="shared" si="28"/>
        <v>0</v>
      </c>
      <c r="D336" s="23">
        <f t="shared" si="28"/>
        <v>0</v>
      </c>
      <c r="E336" s="23">
        <f t="shared" si="28"/>
        <v>0</v>
      </c>
      <c r="F336" s="23">
        <f t="shared" si="28"/>
        <v>0</v>
      </c>
      <c r="G336" s="153"/>
      <c r="H336" s="153"/>
      <c r="M336" s="64" t="s">
        <v>660</v>
      </c>
      <c r="N336" s="61">
        <f>SUMIFS(INDEX(detail_table[],,MATCH(M336,detail_table[#Headers],0)),detail_table[Project Type],"&lt;&gt;"&amp;"")</f>
        <v>0</v>
      </c>
    </row>
    <row r="337" spans="1:17" ht="26.5" thickBot="1" x14ac:dyDescent="0.4">
      <c r="A337" s="23" t="s">
        <v>299</v>
      </c>
      <c r="B337" s="105">
        <f t="shared" si="28"/>
        <v>0</v>
      </c>
      <c r="C337" s="23">
        <f t="shared" si="28"/>
        <v>0</v>
      </c>
      <c r="D337" s="23">
        <f t="shared" si="28"/>
        <v>0</v>
      </c>
      <c r="E337" s="23">
        <f t="shared" si="28"/>
        <v>0</v>
      </c>
      <c r="F337" s="23">
        <f t="shared" si="28"/>
        <v>0</v>
      </c>
      <c r="G337" s="153"/>
      <c r="H337" s="153"/>
      <c r="M337" s="64" t="s">
        <v>661</v>
      </c>
      <c r="N337" s="61">
        <f>SUMIFS(INDEX(detail_table[],,MATCH(M337,detail_table[#Headers],0)),detail_table[Project Type],"&lt;&gt;"&amp;"")</f>
        <v>0</v>
      </c>
    </row>
    <row r="338" spans="1:17" ht="15" thickBot="1" x14ac:dyDescent="0.4">
      <c r="A338" s="23" t="s">
        <v>300</v>
      </c>
      <c r="B338" s="105">
        <f t="shared" si="28"/>
        <v>0</v>
      </c>
      <c r="C338" s="23">
        <f t="shared" si="28"/>
        <v>0</v>
      </c>
      <c r="D338" s="23">
        <f t="shared" si="28"/>
        <v>0</v>
      </c>
      <c r="E338" s="23">
        <f t="shared" si="28"/>
        <v>0</v>
      </c>
      <c r="F338" s="23">
        <f t="shared" si="28"/>
        <v>0</v>
      </c>
      <c r="G338" s="153"/>
      <c r="H338" s="153"/>
      <c r="M338" s="64" t="s">
        <v>662</v>
      </c>
      <c r="N338" s="61">
        <f>SUMIFS(INDEX(detail_table[],,MATCH(M338,detail_table[#Headers],0)),detail_table[Project Type],"&lt;&gt;"&amp;"")</f>
        <v>0</v>
      </c>
    </row>
    <row r="339" spans="1:17" ht="26.5" thickBot="1" x14ac:dyDescent="0.4">
      <c r="A339" s="23" t="s">
        <v>301</v>
      </c>
      <c r="B339" s="105">
        <f t="shared" si="28"/>
        <v>0</v>
      </c>
      <c r="C339" s="23">
        <f t="shared" si="28"/>
        <v>0</v>
      </c>
      <c r="D339" s="23">
        <f t="shared" si="28"/>
        <v>0</v>
      </c>
      <c r="E339" s="23">
        <f t="shared" si="28"/>
        <v>0</v>
      </c>
      <c r="F339" s="23">
        <f t="shared" si="28"/>
        <v>0</v>
      </c>
      <c r="G339" s="153"/>
      <c r="H339" s="153"/>
      <c r="M339" s="64" t="s">
        <v>663</v>
      </c>
      <c r="N339" s="61">
        <f>SUMIFS(INDEX(detail_table[],,MATCH(M339,detail_table[#Headers],0)),detail_table[Project Type],"&lt;&gt;"&amp;"")</f>
        <v>0</v>
      </c>
    </row>
    <row r="340" spans="1:17" ht="15" thickBot="1" x14ac:dyDescent="0.4">
      <c r="A340" s="23" t="s">
        <v>240</v>
      </c>
      <c r="B340" s="105">
        <f t="shared" si="28"/>
        <v>0</v>
      </c>
      <c r="C340" s="23">
        <f t="shared" si="28"/>
        <v>0</v>
      </c>
      <c r="D340" s="23">
        <f t="shared" si="28"/>
        <v>0</v>
      </c>
      <c r="E340" s="23">
        <f t="shared" si="28"/>
        <v>0</v>
      </c>
      <c r="F340" s="23">
        <f t="shared" si="28"/>
        <v>0</v>
      </c>
      <c r="G340" s="153"/>
      <c r="H340" s="153"/>
      <c r="M340" s="64" t="s">
        <v>664</v>
      </c>
      <c r="N340" s="61">
        <f>SUMIFS(INDEX(detail_table[],,MATCH(M340,detail_table[#Headers],0)),detail_table[Project Type],"&lt;&gt;"&amp;"")</f>
        <v>0</v>
      </c>
    </row>
    <row r="341" spans="1:17" ht="15" thickBot="1" x14ac:dyDescent="0.4">
      <c r="A341" s="1" t="s">
        <v>302</v>
      </c>
      <c r="B341" s="105"/>
      <c r="C341" s="23"/>
      <c r="D341" s="23"/>
      <c r="E341" s="23"/>
      <c r="F341" s="23"/>
      <c r="G341" s="153"/>
      <c r="H341" s="153"/>
      <c r="M341" s="64" t="s">
        <v>665</v>
      </c>
      <c r="N341" s="61">
        <f>SUMIFS(INDEX(detail_table[],,MATCH(M341,detail_table[#Headers],0)),detail_table[Project Type],"&lt;&gt;"&amp;"")</f>
        <v>0</v>
      </c>
    </row>
    <row r="342" spans="1:17" ht="39.5" thickBot="1" x14ac:dyDescent="0.4">
      <c r="A342" s="23" t="s">
        <v>303</v>
      </c>
      <c r="B342" s="105">
        <f t="shared" ref="B342:F348" si="29">INDEX($N$2:$N$1687,MATCH($B$317&amp;" | "&amp;$A342&amp;" | "&amp;B$318,$M$2:$M$1687,0))</f>
        <v>0</v>
      </c>
      <c r="C342" s="23">
        <f t="shared" si="29"/>
        <v>0</v>
      </c>
      <c r="D342" s="23">
        <f t="shared" si="29"/>
        <v>0</v>
      </c>
      <c r="E342" s="23">
        <f t="shared" si="29"/>
        <v>0</v>
      </c>
      <c r="F342" s="23">
        <f t="shared" si="29"/>
        <v>0</v>
      </c>
      <c r="G342" s="153"/>
      <c r="H342" s="153"/>
      <c r="M342" s="64" t="s">
        <v>666</v>
      </c>
      <c r="N342" s="61">
        <f>SUMIFS(INDEX(detail_table[],,MATCH(M342,detail_table[#Headers],0)),detail_table[Project Type],"&lt;&gt;"&amp;"")</f>
        <v>0</v>
      </c>
    </row>
    <row r="343" spans="1:17" ht="39.5" thickBot="1" x14ac:dyDescent="0.4">
      <c r="A343" s="23" t="s">
        <v>304</v>
      </c>
      <c r="B343" s="105">
        <f t="shared" si="29"/>
        <v>0</v>
      </c>
      <c r="C343" s="23">
        <f t="shared" si="29"/>
        <v>0</v>
      </c>
      <c r="D343" s="23">
        <f t="shared" si="29"/>
        <v>0</v>
      </c>
      <c r="E343" s="23">
        <f t="shared" si="29"/>
        <v>0</v>
      </c>
      <c r="F343" s="23">
        <f t="shared" si="29"/>
        <v>0</v>
      </c>
      <c r="G343" s="153"/>
      <c r="H343" s="153"/>
      <c r="M343" s="64" t="s">
        <v>667</v>
      </c>
      <c r="N343" s="61">
        <f>SUMIFS(INDEX(detail_table[],,MATCH(M343,detail_table[#Headers],0)),detail_table[Project Type],"&lt;&gt;"&amp;"")</f>
        <v>0</v>
      </c>
    </row>
    <row r="344" spans="1:17" ht="39.5" thickBot="1" x14ac:dyDescent="0.4">
      <c r="A344" s="23" t="s">
        <v>305</v>
      </c>
      <c r="B344" s="105">
        <f t="shared" si="29"/>
        <v>0</v>
      </c>
      <c r="C344" s="23">
        <f t="shared" si="29"/>
        <v>0</v>
      </c>
      <c r="D344" s="23">
        <f t="shared" si="29"/>
        <v>0</v>
      </c>
      <c r="E344" s="23">
        <f t="shared" si="29"/>
        <v>0</v>
      </c>
      <c r="F344" s="23">
        <f t="shared" si="29"/>
        <v>0</v>
      </c>
      <c r="G344" s="153"/>
      <c r="H344" s="153"/>
      <c r="M344" s="64" t="s">
        <v>668</v>
      </c>
      <c r="N344" s="61">
        <f>SUMIFS(INDEX(detail_table[],,MATCH(M344,detail_table[#Headers],0)),detail_table[Project Type],"&lt;&gt;"&amp;"")</f>
        <v>0</v>
      </c>
    </row>
    <row r="345" spans="1:17" ht="52.5" thickBot="1" x14ac:dyDescent="0.4">
      <c r="A345" s="23" t="s">
        <v>306</v>
      </c>
      <c r="B345" s="105">
        <f t="shared" si="29"/>
        <v>0</v>
      </c>
      <c r="C345" s="23">
        <f t="shared" si="29"/>
        <v>0</v>
      </c>
      <c r="D345" s="23">
        <f t="shared" si="29"/>
        <v>0</v>
      </c>
      <c r="E345" s="23">
        <f t="shared" si="29"/>
        <v>0</v>
      </c>
      <c r="F345" s="23">
        <f t="shared" si="29"/>
        <v>0</v>
      </c>
      <c r="G345" s="153"/>
      <c r="H345" s="153"/>
      <c r="M345" s="64" t="s">
        <v>669</v>
      </c>
      <c r="N345" s="61">
        <f>SUMIFS(INDEX(detail_table[],,MATCH(M345,detail_table[#Headers],0)),detail_table[Project Type],"&lt;&gt;"&amp;"")</f>
        <v>0</v>
      </c>
      <c r="Q345" s="62"/>
    </row>
    <row r="346" spans="1:17" ht="39.5" thickBot="1" x14ac:dyDescent="0.4">
      <c r="A346" s="23" t="s">
        <v>307</v>
      </c>
      <c r="B346" s="105">
        <f t="shared" si="29"/>
        <v>0</v>
      </c>
      <c r="C346" s="23">
        <f t="shared" si="29"/>
        <v>0</v>
      </c>
      <c r="D346" s="23">
        <f t="shared" si="29"/>
        <v>0</v>
      </c>
      <c r="E346" s="23">
        <f t="shared" si="29"/>
        <v>0</v>
      </c>
      <c r="F346" s="23">
        <f t="shared" si="29"/>
        <v>0</v>
      </c>
      <c r="G346" s="153"/>
      <c r="H346" s="153"/>
      <c r="M346" s="64" t="s">
        <v>670</v>
      </c>
      <c r="N346" s="61">
        <f>SUMIFS(INDEX(detail_table[],,MATCH(M346,detail_table[#Headers],0)),detail_table[Project Type],"&lt;&gt;"&amp;"")</f>
        <v>0</v>
      </c>
      <c r="Q346" s="62"/>
    </row>
    <row r="347" spans="1:17" ht="39.5" thickBot="1" x14ac:dyDescent="0.4">
      <c r="A347" s="23" t="s">
        <v>308</v>
      </c>
      <c r="B347" s="105">
        <f t="shared" si="29"/>
        <v>0</v>
      </c>
      <c r="C347" s="23">
        <f t="shared" si="29"/>
        <v>0</v>
      </c>
      <c r="D347" s="23">
        <f t="shared" si="29"/>
        <v>0</v>
      </c>
      <c r="E347" s="23">
        <f t="shared" si="29"/>
        <v>0</v>
      </c>
      <c r="F347" s="23">
        <f t="shared" si="29"/>
        <v>0</v>
      </c>
      <c r="G347" s="153"/>
      <c r="H347" s="153"/>
      <c r="M347" s="64" t="s">
        <v>671</v>
      </c>
      <c r="N347" s="61">
        <f>SUMIFS(INDEX(detail_table[],,MATCH(M347,detail_table[#Headers],0)),detail_table[Project Type],"&lt;&gt;"&amp;"")</f>
        <v>0</v>
      </c>
      <c r="Q347" s="62"/>
    </row>
    <row r="348" spans="1:17" ht="15" thickBot="1" x14ac:dyDescent="0.4">
      <c r="A348" s="23" t="s">
        <v>255</v>
      </c>
      <c r="B348" s="105">
        <f t="shared" si="29"/>
        <v>0</v>
      </c>
      <c r="C348" s="23">
        <f t="shared" si="29"/>
        <v>0</v>
      </c>
      <c r="D348" s="23">
        <f t="shared" si="29"/>
        <v>0</v>
      </c>
      <c r="E348" s="23">
        <f t="shared" si="29"/>
        <v>0</v>
      </c>
      <c r="F348" s="23">
        <f t="shared" si="29"/>
        <v>0</v>
      </c>
      <c r="G348" s="153"/>
      <c r="H348" s="153"/>
      <c r="M348" s="64" t="s">
        <v>672</v>
      </c>
      <c r="N348" s="61">
        <f>SUMIFS(INDEX(detail_table[],,MATCH(M348,detail_table[#Headers],0)),detail_table[Project Type],"&lt;&gt;"&amp;"")</f>
        <v>0</v>
      </c>
    </row>
    <row r="349" spans="1:17" ht="15" thickBot="1" x14ac:dyDescent="0.4">
      <c r="A349" s="1" t="s">
        <v>309</v>
      </c>
      <c r="B349" s="105"/>
      <c r="C349" s="23"/>
      <c r="D349" s="23"/>
      <c r="E349" s="23"/>
      <c r="F349" s="23"/>
      <c r="G349" s="153"/>
      <c r="H349" s="153"/>
      <c r="M349" s="64" t="s">
        <v>673</v>
      </c>
      <c r="N349" s="61">
        <f>SUMIFS(INDEX(detail_table[],,MATCH(M349,detail_table[#Headers],0)),detail_table[Project Type],"&lt;&gt;"&amp;"")</f>
        <v>0</v>
      </c>
    </row>
    <row r="350" spans="1:17" ht="39.5" thickBot="1" x14ac:dyDescent="0.4">
      <c r="A350" s="23" t="s">
        <v>310</v>
      </c>
      <c r="B350" s="105">
        <f t="shared" ref="B350:F356" si="30">INDEX($N$2:$N$1687,MATCH($B$317&amp;" | "&amp;$A350&amp;" | "&amp;B$318,$M$2:$M$1687,0))</f>
        <v>0</v>
      </c>
      <c r="C350" s="23">
        <f t="shared" si="30"/>
        <v>0</v>
      </c>
      <c r="D350" s="23">
        <f t="shared" si="30"/>
        <v>0</v>
      </c>
      <c r="E350" s="23">
        <f t="shared" si="30"/>
        <v>0</v>
      </c>
      <c r="F350" s="23">
        <f t="shared" si="30"/>
        <v>0</v>
      </c>
      <c r="G350" s="153"/>
      <c r="H350" s="153"/>
      <c r="M350" s="64" t="s">
        <v>674</v>
      </c>
      <c r="N350" s="61">
        <f>SUMIFS(INDEX(detail_table[],,MATCH(M350,detail_table[#Headers],0)),detail_table[Project Type],"&lt;&gt;"&amp;"")</f>
        <v>0</v>
      </c>
    </row>
    <row r="351" spans="1:17" ht="15" thickBot="1" x14ac:dyDescent="0.4">
      <c r="A351" s="23" t="s">
        <v>311</v>
      </c>
      <c r="B351" s="105">
        <f t="shared" si="30"/>
        <v>0</v>
      </c>
      <c r="C351" s="23">
        <f t="shared" si="30"/>
        <v>0</v>
      </c>
      <c r="D351" s="23">
        <f t="shared" si="30"/>
        <v>0</v>
      </c>
      <c r="E351" s="23">
        <f t="shared" si="30"/>
        <v>0</v>
      </c>
      <c r="F351" s="23">
        <f t="shared" si="30"/>
        <v>0</v>
      </c>
      <c r="G351" s="153"/>
      <c r="H351" s="153"/>
      <c r="M351" s="64" t="s">
        <v>675</v>
      </c>
      <c r="N351" s="61">
        <f>SUMIFS(INDEX(detail_table[],,MATCH(M351,detail_table[#Headers],0)),detail_table[Project Type],"&lt;&gt;"&amp;"")</f>
        <v>0</v>
      </c>
    </row>
    <row r="352" spans="1:17" ht="15" thickBot="1" x14ac:dyDescent="0.4">
      <c r="A352" s="23" t="s">
        <v>312</v>
      </c>
      <c r="B352" s="105">
        <f t="shared" si="30"/>
        <v>0</v>
      </c>
      <c r="C352" s="23">
        <f t="shared" si="30"/>
        <v>0</v>
      </c>
      <c r="D352" s="23">
        <f t="shared" si="30"/>
        <v>0</v>
      </c>
      <c r="E352" s="23">
        <f t="shared" si="30"/>
        <v>0</v>
      </c>
      <c r="F352" s="23">
        <f t="shared" si="30"/>
        <v>0</v>
      </c>
      <c r="G352" s="153"/>
      <c r="H352" s="153"/>
      <c r="M352" s="64" t="s">
        <v>676</v>
      </c>
      <c r="N352" s="61">
        <f>SUMIFS(INDEX(detail_table[],,MATCH(M352,detail_table[#Headers],0)),detail_table[Project Type],"&lt;&gt;"&amp;"")</f>
        <v>0</v>
      </c>
    </row>
    <row r="353" spans="1:18" ht="26.5" thickBot="1" x14ac:dyDescent="0.4">
      <c r="A353" s="23" t="s">
        <v>313</v>
      </c>
      <c r="B353" s="105">
        <f t="shared" si="30"/>
        <v>0</v>
      </c>
      <c r="C353" s="23">
        <f t="shared" si="30"/>
        <v>0</v>
      </c>
      <c r="D353" s="23">
        <f t="shared" si="30"/>
        <v>0</v>
      </c>
      <c r="E353" s="23">
        <f t="shared" si="30"/>
        <v>0</v>
      </c>
      <c r="F353" s="23">
        <f t="shared" si="30"/>
        <v>0</v>
      </c>
      <c r="G353" s="153"/>
      <c r="H353" s="153"/>
      <c r="M353" s="64" t="s">
        <v>677</v>
      </c>
      <c r="N353" s="61">
        <f>SUMIFS(INDEX(detail_table[],,MATCH(M353,detail_table[#Headers],0)),detail_table[Project Type],"&lt;&gt;"&amp;"")</f>
        <v>0</v>
      </c>
    </row>
    <row r="354" spans="1:18" ht="26.5" thickBot="1" x14ac:dyDescent="0.4">
      <c r="A354" s="23" t="s">
        <v>314</v>
      </c>
      <c r="B354" s="105">
        <f t="shared" si="30"/>
        <v>0</v>
      </c>
      <c r="C354" s="23">
        <f t="shared" si="30"/>
        <v>0</v>
      </c>
      <c r="D354" s="23">
        <f t="shared" si="30"/>
        <v>0</v>
      </c>
      <c r="E354" s="23">
        <f t="shared" si="30"/>
        <v>0</v>
      </c>
      <c r="F354" s="23">
        <f t="shared" si="30"/>
        <v>0</v>
      </c>
      <c r="G354" s="153"/>
      <c r="H354" s="153"/>
      <c r="M354" s="64" t="s">
        <v>678</v>
      </c>
      <c r="N354" s="61">
        <f>SUMIFS(INDEX(detail_table[],,MATCH(M354,detail_table[#Headers],0)),detail_table[Project Type],"&lt;&gt;"&amp;"")</f>
        <v>0</v>
      </c>
    </row>
    <row r="355" spans="1:18" ht="15" thickBot="1" x14ac:dyDescent="0.4">
      <c r="A355" s="23" t="s">
        <v>315</v>
      </c>
      <c r="B355" s="105">
        <f t="shared" si="30"/>
        <v>0</v>
      </c>
      <c r="C355" s="23">
        <f t="shared" si="30"/>
        <v>0</v>
      </c>
      <c r="D355" s="23">
        <f t="shared" si="30"/>
        <v>0</v>
      </c>
      <c r="E355" s="23">
        <f t="shared" si="30"/>
        <v>0</v>
      </c>
      <c r="F355" s="23">
        <f t="shared" si="30"/>
        <v>0</v>
      </c>
      <c r="G355" s="153"/>
      <c r="H355" s="153"/>
      <c r="M355" s="64" t="s">
        <v>679</v>
      </c>
      <c r="N355" s="61">
        <f>SUMIFS(INDEX(detail_table[],,MATCH(M355,detail_table[#Headers],0)),detail_table[Project Type],"&lt;&gt;"&amp;"")</f>
        <v>0</v>
      </c>
    </row>
    <row r="356" spans="1:18" ht="15" thickBot="1" x14ac:dyDescent="0.4">
      <c r="A356" s="109" t="s">
        <v>144</v>
      </c>
      <c r="B356" s="105">
        <f t="shared" si="30"/>
        <v>0</v>
      </c>
      <c r="C356" s="105">
        <f t="shared" si="30"/>
        <v>0</v>
      </c>
      <c r="D356" s="105">
        <f t="shared" si="30"/>
        <v>0</v>
      </c>
      <c r="E356" s="105">
        <f t="shared" si="30"/>
        <v>0</v>
      </c>
      <c r="F356" s="105">
        <f t="shared" si="30"/>
        <v>0</v>
      </c>
      <c r="G356" s="153"/>
      <c r="H356" s="153"/>
      <c r="M356" s="64" t="s">
        <v>680</v>
      </c>
      <c r="N356" s="61">
        <f>SUMIFS(INDEX(detail_table[],,MATCH(M356,detail_table[#Headers],0)),detail_table[Project Type],"&lt;&gt;"&amp;"")</f>
        <v>0</v>
      </c>
    </row>
    <row r="357" spans="1:18" x14ac:dyDescent="0.35">
      <c r="A357" s="60"/>
      <c r="B357" s="59"/>
      <c r="C357" s="59"/>
      <c r="D357" s="59"/>
      <c r="E357" s="59"/>
      <c r="F357" s="59"/>
      <c r="G357" s="153"/>
      <c r="H357" s="153"/>
      <c r="M357" s="64" t="s">
        <v>681</v>
      </c>
      <c r="N357" s="61">
        <f>SUMIFS(INDEX(detail_table[],,MATCH(M357,detail_table[#Headers],0)),detail_table[Project Type],"&lt;&gt;"&amp;"")</f>
        <v>0</v>
      </c>
    </row>
    <row r="358" spans="1:18" ht="39.5" thickBot="1" x14ac:dyDescent="0.4">
      <c r="A358" s="186" t="s">
        <v>128</v>
      </c>
      <c r="B358" s="153" t="s">
        <v>135</v>
      </c>
      <c r="C358" s="153"/>
      <c r="D358" s="153"/>
      <c r="E358" s="153"/>
      <c r="F358" s="153"/>
      <c r="G358" s="194"/>
      <c r="H358" s="194"/>
      <c r="M358" s="64" t="s">
        <v>682</v>
      </c>
      <c r="N358" s="61">
        <f>SUMIFS(INDEX(detail_table[],,MATCH(M358,detail_table[#Headers],0)),detail_table[Project Type],"&lt;&gt;"&amp;"")</f>
        <v>0</v>
      </c>
    </row>
    <row r="359" spans="1:18" ht="52.5" thickBot="1" x14ac:dyDescent="0.4">
      <c r="A359" s="1"/>
      <c r="B359" s="3" t="s">
        <v>8</v>
      </c>
      <c r="C359" s="3" t="s">
        <v>0</v>
      </c>
      <c r="D359" s="3" t="s">
        <v>1</v>
      </c>
      <c r="E359" s="3" t="s">
        <v>2</v>
      </c>
      <c r="F359" s="3" t="s">
        <v>3</v>
      </c>
      <c r="G359" s="194"/>
      <c r="H359" s="194"/>
      <c r="M359" s="64" t="s">
        <v>683</v>
      </c>
      <c r="N359" s="61">
        <f>SUMIFS(INDEX(detail_table[],,MATCH(M359,detail_table[#Headers],0)),detail_table[Project Type],"&lt;&gt;"&amp;"")</f>
        <v>0</v>
      </c>
    </row>
    <row r="360" spans="1:18" ht="26.5" thickBot="1" x14ac:dyDescent="0.4">
      <c r="A360" s="1" t="s">
        <v>282</v>
      </c>
      <c r="B360" s="23"/>
      <c r="C360" s="23"/>
      <c r="D360" s="23"/>
      <c r="E360" s="23"/>
      <c r="F360" s="23"/>
      <c r="G360" s="153"/>
      <c r="H360" s="153"/>
      <c r="J360" s="62"/>
      <c r="M360" s="64" t="s">
        <v>684</v>
      </c>
      <c r="N360" s="61">
        <f>SUMIFS(INDEX(detail_table[],,MATCH(M360,detail_table[#Headers],0)),detail_table[Project Type],"&lt;&gt;"&amp;"")</f>
        <v>0</v>
      </c>
    </row>
    <row r="361" spans="1:18" ht="39.5" thickBot="1" x14ac:dyDescent="0.4">
      <c r="A361" s="23" t="s">
        <v>283</v>
      </c>
      <c r="B361" s="105">
        <f t="shared" ref="B361:F371" si="31">INDEX($N$2:$N$1687,MATCH($B$358&amp;" | "&amp;$A361&amp;" | "&amp;B$359,$M$2:$M$1687,0))</f>
        <v>0</v>
      </c>
      <c r="C361" s="23">
        <f t="shared" si="31"/>
        <v>0</v>
      </c>
      <c r="D361" s="23">
        <f t="shared" si="31"/>
        <v>0</v>
      </c>
      <c r="E361" s="23">
        <f t="shared" si="31"/>
        <v>0</v>
      </c>
      <c r="F361" s="23">
        <f t="shared" si="31"/>
        <v>0</v>
      </c>
      <c r="G361" s="153"/>
      <c r="H361" s="153"/>
      <c r="J361" s="62"/>
      <c r="M361" s="64" t="s">
        <v>685</v>
      </c>
      <c r="N361" s="61">
        <f>SUMIFS(INDEX(detail_table[],,MATCH(M361,detail_table[#Headers],0)),detail_table[Project Type],"&lt;&gt;"&amp;"")</f>
        <v>0</v>
      </c>
    </row>
    <row r="362" spans="1:18" ht="26.5" thickBot="1" x14ac:dyDescent="0.4">
      <c r="A362" s="23" t="s">
        <v>284</v>
      </c>
      <c r="B362" s="105">
        <f t="shared" si="31"/>
        <v>0</v>
      </c>
      <c r="C362" s="23">
        <f t="shared" si="31"/>
        <v>0</v>
      </c>
      <c r="D362" s="23">
        <f t="shared" si="31"/>
        <v>0</v>
      </c>
      <c r="E362" s="23">
        <f t="shared" si="31"/>
        <v>0</v>
      </c>
      <c r="F362" s="23">
        <f t="shared" si="31"/>
        <v>0</v>
      </c>
      <c r="G362" s="153"/>
      <c r="H362" s="153"/>
      <c r="J362" s="62"/>
      <c r="M362" s="64" t="s">
        <v>686</v>
      </c>
      <c r="N362" s="61">
        <f>SUMIFS(INDEX(detail_table[],,MATCH(M362,detail_table[#Headers],0)),detail_table[Project Type],"&lt;&gt;"&amp;"")</f>
        <v>0</v>
      </c>
    </row>
    <row r="363" spans="1:18" ht="26.5" thickBot="1" x14ac:dyDescent="0.4">
      <c r="A363" s="23" t="s">
        <v>285</v>
      </c>
      <c r="B363" s="105">
        <f t="shared" si="31"/>
        <v>0</v>
      </c>
      <c r="C363" s="23">
        <f t="shared" si="31"/>
        <v>0</v>
      </c>
      <c r="D363" s="23">
        <f t="shared" si="31"/>
        <v>0</v>
      </c>
      <c r="E363" s="23">
        <f t="shared" si="31"/>
        <v>0</v>
      </c>
      <c r="F363" s="23">
        <f t="shared" si="31"/>
        <v>0</v>
      </c>
      <c r="G363" s="153"/>
      <c r="H363" s="153"/>
      <c r="M363" s="64" t="s">
        <v>687</v>
      </c>
      <c r="N363" s="61">
        <f>SUMIFS(INDEX(detail_table[],,MATCH(M363,detail_table[#Headers],0)),detail_table[Project Type],"&lt;&gt;"&amp;"")</f>
        <v>0</v>
      </c>
      <c r="R363" s="62"/>
    </row>
    <row r="364" spans="1:18" ht="26.5" thickBot="1" x14ac:dyDescent="0.4">
      <c r="A364" s="23" t="s">
        <v>286</v>
      </c>
      <c r="B364" s="105">
        <f t="shared" si="31"/>
        <v>0</v>
      </c>
      <c r="C364" s="23">
        <f t="shared" si="31"/>
        <v>0</v>
      </c>
      <c r="D364" s="23">
        <f t="shared" si="31"/>
        <v>0</v>
      </c>
      <c r="E364" s="23">
        <f t="shared" si="31"/>
        <v>0</v>
      </c>
      <c r="F364" s="23">
        <f t="shared" si="31"/>
        <v>0</v>
      </c>
      <c r="G364" s="153"/>
      <c r="H364" s="153"/>
      <c r="M364" s="64" t="s">
        <v>688</v>
      </c>
      <c r="N364" s="61">
        <f>SUMIFS(INDEX(detail_table[],,MATCH(M364,detail_table[#Headers],0)),detail_table[Project Type],"&lt;&gt;"&amp;"")</f>
        <v>0</v>
      </c>
      <c r="R364" s="62"/>
    </row>
    <row r="365" spans="1:18" ht="26.5" thickBot="1" x14ac:dyDescent="0.4">
      <c r="A365" s="23" t="s">
        <v>287</v>
      </c>
      <c r="B365" s="105">
        <f t="shared" si="31"/>
        <v>0</v>
      </c>
      <c r="C365" s="23">
        <f t="shared" si="31"/>
        <v>0</v>
      </c>
      <c r="D365" s="23">
        <f t="shared" si="31"/>
        <v>0</v>
      </c>
      <c r="E365" s="23">
        <f t="shared" si="31"/>
        <v>0</v>
      </c>
      <c r="F365" s="23">
        <f t="shared" si="31"/>
        <v>0</v>
      </c>
      <c r="G365" s="153"/>
      <c r="H365" s="153"/>
      <c r="M365" s="64" t="s">
        <v>689</v>
      </c>
      <c r="N365" s="61">
        <f>SUMIFS(INDEX(detail_table[],,MATCH(M365,detail_table[#Headers],0)),detail_table[Project Type],"&lt;&gt;"&amp;"")</f>
        <v>0</v>
      </c>
      <c r="R365" s="62"/>
    </row>
    <row r="366" spans="1:18" ht="39.5" thickBot="1" x14ac:dyDescent="0.4">
      <c r="A366" s="23" t="s">
        <v>288</v>
      </c>
      <c r="B366" s="105">
        <f t="shared" si="31"/>
        <v>0</v>
      </c>
      <c r="C366" s="23">
        <f t="shared" si="31"/>
        <v>0</v>
      </c>
      <c r="D366" s="23">
        <f t="shared" si="31"/>
        <v>0</v>
      </c>
      <c r="E366" s="23">
        <f t="shared" si="31"/>
        <v>0</v>
      </c>
      <c r="F366" s="23">
        <f t="shared" si="31"/>
        <v>0</v>
      </c>
      <c r="G366" s="153"/>
      <c r="H366" s="153"/>
      <c r="M366" s="64" t="s">
        <v>690</v>
      </c>
      <c r="N366" s="61">
        <f>SUMIFS(INDEX(detail_table[],,MATCH(M366,detail_table[#Headers],0)),detail_table[Project Type],"&lt;&gt;"&amp;"")</f>
        <v>0</v>
      </c>
    </row>
    <row r="367" spans="1:18" ht="26.5" thickBot="1" x14ac:dyDescent="0.4">
      <c r="A367" s="23" t="s">
        <v>289</v>
      </c>
      <c r="B367" s="105">
        <f t="shared" si="31"/>
        <v>0</v>
      </c>
      <c r="C367" s="23">
        <f t="shared" si="31"/>
        <v>0</v>
      </c>
      <c r="D367" s="23">
        <f t="shared" si="31"/>
        <v>0</v>
      </c>
      <c r="E367" s="23">
        <f t="shared" si="31"/>
        <v>0</v>
      </c>
      <c r="F367" s="23">
        <f t="shared" si="31"/>
        <v>0</v>
      </c>
      <c r="G367" s="153"/>
      <c r="H367" s="153"/>
      <c r="I367" s="62"/>
      <c r="M367" s="64" t="s">
        <v>691</v>
      </c>
      <c r="N367" s="61">
        <f>SUMIFS(INDEX(detail_table[],,MATCH(M367,detail_table[#Headers],0)),detail_table[Project Type],"&lt;&gt;"&amp;"")</f>
        <v>0</v>
      </c>
    </row>
    <row r="368" spans="1:18" s="62" customFormat="1" ht="39.5" thickBot="1" x14ac:dyDescent="0.4">
      <c r="A368" s="23" t="s">
        <v>290</v>
      </c>
      <c r="B368" s="105">
        <f t="shared" si="31"/>
        <v>0</v>
      </c>
      <c r="C368" s="23">
        <f t="shared" si="31"/>
        <v>0</v>
      </c>
      <c r="D368" s="23">
        <f t="shared" si="31"/>
        <v>0</v>
      </c>
      <c r="E368" s="23">
        <f t="shared" si="31"/>
        <v>0</v>
      </c>
      <c r="F368" s="23">
        <f t="shared" si="31"/>
        <v>0</v>
      </c>
      <c r="G368" s="153"/>
      <c r="H368" s="153"/>
      <c r="J368" s="61"/>
      <c r="K368" s="61"/>
      <c r="L368" s="61"/>
      <c r="M368" s="64" t="s">
        <v>692</v>
      </c>
      <c r="N368" s="61">
        <f>SUMIFS(INDEX(detail_table[],,MATCH(M368,detail_table[#Headers],0)),detail_table[Project Type],"&lt;&gt;"&amp;"")</f>
        <v>0</v>
      </c>
      <c r="O368" s="61"/>
      <c r="P368" s="61"/>
      <c r="Q368" s="61"/>
      <c r="R368" s="61"/>
    </row>
    <row r="369" spans="1:18" s="62" customFormat="1" ht="39.5" thickBot="1" x14ac:dyDescent="0.4">
      <c r="A369" s="23" t="s">
        <v>291</v>
      </c>
      <c r="B369" s="105">
        <f t="shared" si="31"/>
        <v>0</v>
      </c>
      <c r="C369" s="23">
        <f t="shared" si="31"/>
        <v>0</v>
      </c>
      <c r="D369" s="23">
        <f t="shared" si="31"/>
        <v>0</v>
      </c>
      <c r="E369" s="23">
        <f t="shared" si="31"/>
        <v>0</v>
      </c>
      <c r="F369" s="23">
        <f t="shared" si="31"/>
        <v>0</v>
      </c>
      <c r="G369" s="153"/>
      <c r="H369" s="153"/>
      <c r="J369" s="61"/>
      <c r="K369" s="61"/>
      <c r="L369" s="61"/>
      <c r="M369" s="64" t="s">
        <v>693</v>
      </c>
      <c r="N369" s="61">
        <f>SUMIFS(INDEX(detail_table[],,MATCH(M369,detail_table[#Headers],0)),detail_table[Project Type],"&lt;&gt;"&amp;"")</f>
        <v>0</v>
      </c>
      <c r="O369" s="61"/>
      <c r="P369" s="61"/>
      <c r="Q369" s="61"/>
      <c r="R369" s="61"/>
    </row>
    <row r="370" spans="1:18" s="62" customFormat="1" ht="39.5" thickBot="1" x14ac:dyDescent="0.4">
      <c r="A370" s="23" t="s">
        <v>292</v>
      </c>
      <c r="B370" s="105">
        <f t="shared" si="31"/>
        <v>0</v>
      </c>
      <c r="C370" s="23">
        <f t="shared" si="31"/>
        <v>0</v>
      </c>
      <c r="D370" s="23">
        <f t="shared" si="31"/>
        <v>0</v>
      </c>
      <c r="E370" s="23">
        <f t="shared" si="31"/>
        <v>0</v>
      </c>
      <c r="F370" s="23">
        <f t="shared" si="31"/>
        <v>0</v>
      </c>
      <c r="G370" s="153"/>
      <c r="H370" s="153"/>
      <c r="I370" s="61"/>
      <c r="J370" s="61"/>
      <c r="K370" s="61"/>
      <c r="L370" s="61"/>
      <c r="M370" s="64" t="s">
        <v>694</v>
      </c>
      <c r="N370" s="61">
        <f>SUMIFS(INDEX(detail_table[],,MATCH(M370,detail_table[#Headers],0)),detail_table[Project Type],"&lt;&gt;"&amp;"")</f>
        <v>0</v>
      </c>
      <c r="O370" s="61"/>
      <c r="P370" s="61"/>
      <c r="Q370" s="61"/>
      <c r="R370" s="61"/>
    </row>
    <row r="371" spans="1:18" ht="15" thickBot="1" x14ac:dyDescent="0.4">
      <c r="A371" s="23" t="s">
        <v>231</v>
      </c>
      <c r="B371" s="105">
        <f t="shared" si="31"/>
        <v>0</v>
      </c>
      <c r="C371" s="23">
        <f t="shared" si="31"/>
        <v>0</v>
      </c>
      <c r="D371" s="23">
        <f t="shared" si="31"/>
        <v>0</v>
      </c>
      <c r="E371" s="23">
        <f t="shared" si="31"/>
        <v>0</v>
      </c>
      <c r="F371" s="23">
        <f t="shared" si="31"/>
        <v>0</v>
      </c>
      <c r="G371" s="153"/>
      <c r="H371" s="153"/>
      <c r="M371" s="64" t="s">
        <v>695</v>
      </c>
      <c r="N371" s="61">
        <f>SUMIFS(INDEX(detail_table[],,MATCH(M371,detail_table[#Headers],0)),detail_table[Project Type],"&lt;&gt;"&amp;"")</f>
        <v>0</v>
      </c>
    </row>
    <row r="372" spans="1:18" ht="26.5" thickBot="1" x14ac:dyDescent="0.4">
      <c r="A372" s="1" t="s">
        <v>293</v>
      </c>
      <c r="B372" s="105"/>
      <c r="C372" s="23"/>
      <c r="D372" s="23"/>
      <c r="E372" s="23"/>
      <c r="F372" s="23"/>
      <c r="G372" s="153"/>
      <c r="H372" s="153"/>
      <c r="M372" s="64" t="s">
        <v>696</v>
      </c>
      <c r="N372" s="61">
        <f>SUMIFS(INDEX(detail_table[],,MATCH(M372,detail_table[#Headers],0)),detail_table[Project Type],"&lt;&gt;"&amp;"")</f>
        <v>0</v>
      </c>
    </row>
    <row r="373" spans="1:18" ht="15" thickBot="1" x14ac:dyDescent="0.4">
      <c r="A373" s="23" t="s">
        <v>294</v>
      </c>
      <c r="B373" s="105">
        <f t="shared" ref="B373:F381" si="32">INDEX($N$2:$N$1687,MATCH($B$358&amp;" | "&amp;$A373&amp;" | "&amp;B$359,$M$2:$M$1687,0))</f>
        <v>0</v>
      </c>
      <c r="C373" s="23">
        <f t="shared" si="32"/>
        <v>0</v>
      </c>
      <c r="D373" s="23">
        <f t="shared" si="32"/>
        <v>0</v>
      </c>
      <c r="E373" s="23">
        <f t="shared" si="32"/>
        <v>0</v>
      </c>
      <c r="F373" s="23">
        <f t="shared" si="32"/>
        <v>0</v>
      </c>
      <c r="G373" s="153"/>
      <c r="H373" s="153"/>
      <c r="M373" s="64" t="s">
        <v>697</v>
      </c>
      <c r="N373" s="61">
        <f>SUMIFS(INDEX(detail_table[],,MATCH(M373,detail_table[#Headers],0)),detail_table[Project Type],"&lt;&gt;"&amp;"")</f>
        <v>0</v>
      </c>
    </row>
    <row r="374" spans="1:18" ht="39.5" thickBot="1" x14ac:dyDescent="0.4">
      <c r="A374" s="23" t="s">
        <v>295</v>
      </c>
      <c r="B374" s="105">
        <f t="shared" si="32"/>
        <v>0</v>
      </c>
      <c r="C374" s="23">
        <f t="shared" si="32"/>
        <v>0</v>
      </c>
      <c r="D374" s="23">
        <f t="shared" si="32"/>
        <v>0</v>
      </c>
      <c r="E374" s="23">
        <f t="shared" si="32"/>
        <v>0</v>
      </c>
      <c r="F374" s="23">
        <f t="shared" si="32"/>
        <v>0</v>
      </c>
      <c r="G374" s="153"/>
      <c r="H374" s="153"/>
      <c r="M374" s="64" t="s">
        <v>698</v>
      </c>
      <c r="N374" s="61">
        <f>SUMIFS(INDEX(detail_table[],,MATCH(M374,detail_table[#Headers],0)),detail_table[Project Type],"&lt;&gt;"&amp;"")</f>
        <v>0</v>
      </c>
    </row>
    <row r="375" spans="1:18" ht="39.5" thickBot="1" x14ac:dyDescent="0.4">
      <c r="A375" s="23" t="s">
        <v>296</v>
      </c>
      <c r="B375" s="105">
        <f t="shared" si="32"/>
        <v>0</v>
      </c>
      <c r="C375" s="23">
        <f t="shared" si="32"/>
        <v>0</v>
      </c>
      <c r="D375" s="23">
        <f t="shared" si="32"/>
        <v>0</v>
      </c>
      <c r="E375" s="23">
        <f t="shared" si="32"/>
        <v>0</v>
      </c>
      <c r="F375" s="23">
        <f t="shared" si="32"/>
        <v>0</v>
      </c>
      <c r="G375" s="153"/>
      <c r="H375" s="153"/>
      <c r="M375" s="64" t="s">
        <v>699</v>
      </c>
      <c r="N375" s="61">
        <f>SUMIFS(INDEX(detail_table[],,MATCH(M375,detail_table[#Headers],0)),detail_table[Project Type],"&lt;&gt;"&amp;"")</f>
        <v>0</v>
      </c>
    </row>
    <row r="376" spans="1:18" ht="26.5" thickBot="1" x14ac:dyDescent="0.4">
      <c r="A376" s="23" t="s">
        <v>1961</v>
      </c>
      <c r="B376" s="105">
        <f t="shared" si="32"/>
        <v>0</v>
      </c>
      <c r="C376" s="23">
        <f t="shared" si="32"/>
        <v>0</v>
      </c>
      <c r="D376" s="23">
        <f t="shared" si="32"/>
        <v>0</v>
      </c>
      <c r="E376" s="23">
        <f t="shared" si="32"/>
        <v>0</v>
      </c>
      <c r="F376" s="23">
        <f t="shared" si="32"/>
        <v>0</v>
      </c>
      <c r="G376" s="153"/>
      <c r="H376" s="153"/>
      <c r="M376" s="64" t="s">
        <v>700</v>
      </c>
      <c r="N376" s="61">
        <f>SUMIFS(INDEX(detail_table[],,MATCH(M376,detail_table[#Headers],0)),detail_table[Project Type],"&lt;&gt;"&amp;"")</f>
        <v>0</v>
      </c>
    </row>
    <row r="377" spans="1:18" ht="39.5" thickBot="1" x14ac:dyDescent="0.4">
      <c r="A377" s="23" t="s">
        <v>298</v>
      </c>
      <c r="B377" s="105">
        <f t="shared" si="32"/>
        <v>0</v>
      </c>
      <c r="C377" s="23">
        <f t="shared" si="32"/>
        <v>0</v>
      </c>
      <c r="D377" s="23">
        <f t="shared" si="32"/>
        <v>0</v>
      </c>
      <c r="E377" s="23">
        <f t="shared" si="32"/>
        <v>0</v>
      </c>
      <c r="F377" s="23">
        <f t="shared" si="32"/>
        <v>0</v>
      </c>
      <c r="G377" s="153"/>
      <c r="H377" s="153"/>
      <c r="M377" s="64" t="s">
        <v>701</v>
      </c>
      <c r="N377" s="61">
        <f>SUMIFS(INDEX(detail_table[],,MATCH(M377,detail_table[#Headers],0)),detail_table[Project Type],"&lt;&gt;"&amp;"")</f>
        <v>0</v>
      </c>
    </row>
    <row r="378" spans="1:18" ht="26.5" thickBot="1" x14ac:dyDescent="0.4">
      <c r="A378" s="23" t="s">
        <v>299</v>
      </c>
      <c r="B378" s="105">
        <f t="shared" si="32"/>
        <v>0</v>
      </c>
      <c r="C378" s="23">
        <f t="shared" si="32"/>
        <v>0</v>
      </c>
      <c r="D378" s="23">
        <f t="shared" si="32"/>
        <v>0</v>
      </c>
      <c r="E378" s="23">
        <f t="shared" si="32"/>
        <v>0</v>
      </c>
      <c r="F378" s="23">
        <f t="shared" si="32"/>
        <v>0</v>
      </c>
      <c r="G378" s="153"/>
      <c r="H378" s="153"/>
      <c r="M378" s="64" t="s">
        <v>702</v>
      </c>
      <c r="N378" s="61">
        <f>SUMIFS(INDEX(detail_table[],,MATCH(M378,detail_table[#Headers],0)),detail_table[Project Type],"&lt;&gt;"&amp;"")</f>
        <v>0</v>
      </c>
    </row>
    <row r="379" spans="1:18" ht="15" thickBot="1" x14ac:dyDescent="0.4">
      <c r="A379" s="23" t="s">
        <v>300</v>
      </c>
      <c r="B379" s="105">
        <f t="shared" si="32"/>
        <v>0</v>
      </c>
      <c r="C379" s="23">
        <f t="shared" si="32"/>
        <v>0</v>
      </c>
      <c r="D379" s="23">
        <f t="shared" si="32"/>
        <v>0</v>
      </c>
      <c r="E379" s="23">
        <f t="shared" si="32"/>
        <v>0</v>
      </c>
      <c r="F379" s="23">
        <f t="shared" si="32"/>
        <v>0</v>
      </c>
      <c r="G379" s="153"/>
      <c r="H379" s="153"/>
      <c r="M379" s="64" t="s">
        <v>703</v>
      </c>
      <c r="N379" s="61">
        <f>SUMIFS(INDEX(detail_table[],,MATCH(M379,detail_table[#Headers],0)),detail_table[Project Type],"&lt;&gt;"&amp;"")</f>
        <v>0</v>
      </c>
    </row>
    <row r="380" spans="1:18" ht="26.5" thickBot="1" x14ac:dyDescent="0.4">
      <c r="A380" s="23" t="s">
        <v>301</v>
      </c>
      <c r="B380" s="105">
        <f t="shared" si="32"/>
        <v>0</v>
      </c>
      <c r="C380" s="23">
        <f t="shared" si="32"/>
        <v>0</v>
      </c>
      <c r="D380" s="23">
        <f t="shared" si="32"/>
        <v>0</v>
      </c>
      <c r="E380" s="23">
        <f t="shared" si="32"/>
        <v>0</v>
      </c>
      <c r="F380" s="23">
        <f t="shared" si="32"/>
        <v>0</v>
      </c>
      <c r="G380" s="153"/>
      <c r="H380" s="153"/>
      <c r="M380" s="64" t="s">
        <v>704</v>
      </c>
      <c r="N380" s="61">
        <f>SUMIFS(INDEX(detail_table[],,MATCH(M380,detail_table[#Headers],0)),detail_table[Project Type],"&lt;&gt;"&amp;"")</f>
        <v>0</v>
      </c>
    </row>
    <row r="381" spans="1:18" ht="15" thickBot="1" x14ac:dyDescent="0.4">
      <c r="A381" s="23" t="s">
        <v>240</v>
      </c>
      <c r="B381" s="105">
        <f t="shared" si="32"/>
        <v>0</v>
      </c>
      <c r="C381" s="23">
        <f t="shared" si="32"/>
        <v>0</v>
      </c>
      <c r="D381" s="23">
        <f t="shared" si="32"/>
        <v>0</v>
      </c>
      <c r="E381" s="23">
        <f t="shared" si="32"/>
        <v>0</v>
      </c>
      <c r="F381" s="23">
        <f t="shared" si="32"/>
        <v>0</v>
      </c>
      <c r="G381" s="153"/>
      <c r="H381" s="153"/>
      <c r="M381" s="64" t="s">
        <v>705</v>
      </c>
      <c r="N381" s="61">
        <f>SUMIFS(INDEX(detail_table[],,MATCH(M381,detail_table[#Headers],0)),detail_table[Project Type],"&lt;&gt;"&amp;"")</f>
        <v>0</v>
      </c>
    </row>
    <row r="382" spans="1:18" ht="15" thickBot="1" x14ac:dyDescent="0.4">
      <c r="A382" s="1" t="s">
        <v>302</v>
      </c>
      <c r="B382" s="105"/>
      <c r="C382" s="23"/>
      <c r="D382" s="23"/>
      <c r="E382" s="23"/>
      <c r="F382" s="23"/>
      <c r="G382" s="153"/>
      <c r="H382" s="153"/>
      <c r="M382" s="64" t="s">
        <v>706</v>
      </c>
      <c r="N382" s="61">
        <f>SUMIFS(INDEX(detail_table[],,MATCH(M382,detail_table[#Headers],0)),detail_table[Project Type],"&lt;&gt;"&amp;"")</f>
        <v>0</v>
      </c>
    </row>
    <row r="383" spans="1:18" ht="39.5" thickBot="1" x14ac:dyDescent="0.4">
      <c r="A383" s="23" t="s">
        <v>303</v>
      </c>
      <c r="B383" s="105">
        <f t="shared" ref="B383:F389" si="33">INDEX($N$2:$N$1687,MATCH($B$358&amp;" | "&amp;$A383&amp;" | "&amp;B$359,$M$2:$M$1687,0))</f>
        <v>0</v>
      </c>
      <c r="C383" s="23">
        <f t="shared" si="33"/>
        <v>0</v>
      </c>
      <c r="D383" s="23">
        <f t="shared" si="33"/>
        <v>0</v>
      </c>
      <c r="E383" s="23">
        <f t="shared" si="33"/>
        <v>0</v>
      </c>
      <c r="F383" s="23">
        <f t="shared" si="33"/>
        <v>0</v>
      </c>
      <c r="G383" s="153"/>
      <c r="H383" s="153"/>
      <c r="M383" s="64" t="s">
        <v>707</v>
      </c>
      <c r="N383" s="61">
        <f>SUMIFS(INDEX(detail_table[],,MATCH(M383,detail_table[#Headers],0)),detail_table[Project Type],"&lt;&gt;"&amp;"")</f>
        <v>0</v>
      </c>
    </row>
    <row r="384" spans="1:18" ht="39.5" thickBot="1" x14ac:dyDescent="0.4">
      <c r="A384" s="23" t="s">
        <v>304</v>
      </c>
      <c r="B384" s="105">
        <f t="shared" si="33"/>
        <v>0</v>
      </c>
      <c r="C384" s="23">
        <f t="shared" si="33"/>
        <v>0</v>
      </c>
      <c r="D384" s="23">
        <f t="shared" si="33"/>
        <v>0</v>
      </c>
      <c r="E384" s="23">
        <f t="shared" si="33"/>
        <v>0</v>
      </c>
      <c r="F384" s="23">
        <f t="shared" si="33"/>
        <v>0</v>
      </c>
      <c r="G384" s="153"/>
      <c r="H384" s="153"/>
      <c r="K384" s="62"/>
      <c r="M384" s="64" t="s">
        <v>708</v>
      </c>
      <c r="N384" s="61">
        <f>SUMIFS(INDEX(detail_table[],,MATCH(M384,detail_table[#Headers],0)),detail_table[Project Type],"&lt;&gt;"&amp;"")</f>
        <v>0</v>
      </c>
    </row>
    <row r="385" spans="1:17" ht="39.5" thickBot="1" x14ac:dyDescent="0.4">
      <c r="A385" s="23" t="s">
        <v>305</v>
      </c>
      <c r="B385" s="105">
        <f t="shared" si="33"/>
        <v>0</v>
      </c>
      <c r="C385" s="23">
        <f t="shared" si="33"/>
        <v>0</v>
      </c>
      <c r="D385" s="23">
        <f t="shared" si="33"/>
        <v>0</v>
      </c>
      <c r="E385" s="23">
        <f t="shared" si="33"/>
        <v>0</v>
      </c>
      <c r="F385" s="23">
        <f t="shared" si="33"/>
        <v>0</v>
      </c>
      <c r="G385" s="153"/>
      <c r="H385" s="153"/>
      <c r="K385" s="62"/>
      <c r="M385" s="64" t="s">
        <v>709</v>
      </c>
      <c r="N385" s="61">
        <f>SUMIFS(INDEX(detail_table[],,MATCH(M385,detail_table[#Headers],0)),detail_table[Project Type],"&lt;&gt;"&amp;"")</f>
        <v>0</v>
      </c>
    </row>
    <row r="386" spans="1:17" ht="52.5" thickBot="1" x14ac:dyDescent="0.4">
      <c r="A386" s="23" t="s">
        <v>306</v>
      </c>
      <c r="B386" s="105">
        <f t="shared" si="33"/>
        <v>0</v>
      </c>
      <c r="C386" s="23">
        <f t="shared" si="33"/>
        <v>0</v>
      </c>
      <c r="D386" s="23">
        <f t="shared" si="33"/>
        <v>0</v>
      </c>
      <c r="E386" s="23">
        <f t="shared" si="33"/>
        <v>0</v>
      </c>
      <c r="F386" s="23">
        <f t="shared" si="33"/>
        <v>0</v>
      </c>
      <c r="G386" s="153"/>
      <c r="H386" s="153"/>
      <c r="M386" s="64" t="s">
        <v>710</v>
      </c>
      <c r="N386" s="61">
        <f>SUMIFS(INDEX(detail_table[],,MATCH(M386,detail_table[#Headers],0)),detail_table[Project Type],"&lt;&gt;"&amp;"")</f>
        <v>0</v>
      </c>
      <c r="Q386" s="62"/>
    </row>
    <row r="387" spans="1:17" ht="39.5" thickBot="1" x14ac:dyDescent="0.4">
      <c r="A387" s="23" t="s">
        <v>307</v>
      </c>
      <c r="B387" s="105">
        <f t="shared" si="33"/>
        <v>0</v>
      </c>
      <c r="C387" s="23">
        <f t="shared" si="33"/>
        <v>0</v>
      </c>
      <c r="D387" s="23">
        <f t="shared" si="33"/>
        <v>0</v>
      </c>
      <c r="E387" s="23">
        <f t="shared" si="33"/>
        <v>0</v>
      </c>
      <c r="F387" s="23">
        <f t="shared" si="33"/>
        <v>0</v>
      </c>
      <c r="G387" s="153"/>
      <c r="H387" s="153"/>
      <c r="M387" s="64" t="s">
        <v>711</v>
      </c>
      <c r="N387" s="61">
        <f>SUMIFS(INDEX(detail_table[],,MATCH(M387,detail_table[#Headers],0)),detail_table[Project Type],"&lt;&gt;"&amp;"")</f>
        <v>0</v>
      </c>
      <c r="Q387" s="62"/>
    </row>
    <row r="388" spans="1:17" ht="39.5" thickBot="1" x14ac:dyDescent="0.4">
      <c r="A388" s="23" t="s">
        <v>308</v>
      </c>
      <c r="B388" s="105">
        <f t="shared" si="33"/>
        <v>0</v>
      </c>
      <c r="C388" s="23">
        <f t="shared" si="33"/>
        <v>0</v>
      </c>
      <c r="D388" s="23">
        <f t="shared" si="33"/>
        <v>0</v>
      </c>
      <c r="E388" s="23">
        <f t="shared" si="33"/>
        <v>0</v>
      </c>
      <c r="F388" s="23">
        <f t="shared" si="33"/>
        <v>0</v>
      </c>
      <c r="G388" s="153"/>
      <c r="H388" s="153"/>
      <c r="M388" s="64" t="s">
        <v>712</v>
      </c>
      <c r="N388" s="61">
        <f>SUMIFS(INDEX(detail_table[],,MATCH(M388,detail_table[#Headers],0)),detail_table[Project Type],"&lt;&gt;"&amp;"")</f>
        <v>0</v>
      </c>
    </row>
    <row r="389" spans="1:17" ht="15" thickBot="1" x14ac:dyDescent="0.4">
      <c r="A389" s="23" t="s">
        <v>255</v>
      </c>
      <c r="B389" s="105">
        <f t="shared" si="33"/>
        <v>0</v>
      </c>
      <c r="C389" s="23">
        <f t="shared" si="33"/>
        <v>0</v>
      </c>
      <c r="D389" s="23">
        <f t="shared" si="33"/>
        <v>0</v>
      </c>
      <c r="E389" s="23">
        <f t="shared" si="33"/>
        <v>0</v>
      </c>
      <c r="F389" s="23">
        <f t="shared" si="33"/>
        <v>0</v>
      </c>
      <c r="G389" s="153"/>
      <c r="H389" s="153"/>
      <c r="M389" s="64" t="s">
        <v>713</v>
      </c>
      <c r="N389" s="61">
        <f>SUMIFS(INDEX(detail_table[],,MATCH(M389,detail_table[#Headers],0)),detail_table[Project Type],"&lt;&gt;"&amp;"")</f>
        <v>0</v>
      </c>
    </row>
    <row r="390" spans="1:17" ht="15" thickBot="1" x14ac:dyDescent="0.4">
      <c r="A390" s="1" t="s">
        <v>309</v>
      </c>
      <c r="B390" s="105"/>
      <c r="C390" s="23"/>
      <c r="D390" s="23"/>
      <c r="E390" s="23"/>
      <c r="F390" s="23"/>
      <c r="G390" s="153"/>
      <c r="H390" s="153"/>
      <c r="M390" s="64" t="s">
        <v>714</v>
      </c>
      <c r="N390" s="61">
        <f>SUMIFS(INDEX(detail_table[],,MATCH(M390,detail_table[#Headers],0)),detail_table[Project Type],"&lt;&gt;"&amp;"")</f>
        <v>0</v>
      </c>
    </row>
    <row r="391" spans="1:17" ht="39.5" thickBot="1" x14ac:dyDescent="0.4">
      <c r="A391" s="23" t="s">
        <v>310</v>
      </c>
      <c r="B391" s="105">
        <f t="shared" ref="B391:F397" si="34">INDEX($N$2:$N$1687,MATCH($B$358&amp;" | "&amp;$A391&amp;" | "&amp;B$359,$M$2:$M$1687,0))</f>
        <v>0</v>
      </c>
      <c r="C391" s="23">
        <f t="shared" si="34"/>
        <v>0</v>
      </c>
      <c r="D391" s="23">
        <f t="shared" si="34"/>
        <v>0</v>
      </c>
      <c r="E391" s="23">
        <f t="shared" si="34"/>
        <v>0</v>
      </c>
      <c r="F391" s="23">
        <f t="shared" si="34"/>
        <v>0</v>
      </c>
      <c r="G391" s="153"/>
      <c r="H391" s="153"/>
      <c r="M391" s="64" t="s">
        <v>715</v>
      </c>
      <c r="N391" s="61">
        <f>SUMIFS(INDEX(detail_table[],,MATCH(M391,detail_table[#Headers],0)),detail_table[Project Type],"&lt;&gt;"&amp;"")</f>
        <v>0</v>
      </c>
    </row>
    <row r="392" spans="1:17" ht="15" thickBot="1" x14ac:dyDescent="0.4">
      <c r="A392" s="23" t="s">
        <v>311</v>
      </c>
      <c r="B392" s="105">
        <f t="shared" si="34"/>
        <v>0</v>
      </c>
      <c r="C392" s="23">
        <f t="shared" si="34"/>
        <v>0</v>
      </c>
      <c r="D392" s="23">
        <f t="shared" si="34"/>
        <v>0</v>
      </c>
      <c r="E392" s="23">
        <f t="shared" si="34"/>
        <v>0</v>
      </c>
      <c r="F392" s="23">
        <f t="shared" si="34"/>
        <v>0</v>
      </c>
      <c r="G392" s="153"/>
      <c r="H392" s="153"/>
      <c r="M392" s="64" t="s">
        <v>716</v>
      </c>
      <c r="N392" s="61">
        <f>SUMIFS(INDEX(detail_table[],,MATCH(M392,detail_table[#Headers],0)),detail_table[Project Type],"&lt;&gt;"&amp;"")</f>
        <v>0</v>
      </c>
    </row>
    <row r="393" spans="1:17" ht="15" thickBot="1" x14ac:dyDescent="0.4">
      <c r="A393" s="23" t="s">
        <v>312</v>
      </c>
      <c r="B393" s="105">
        <f t="shared" si="34"/>
        <v>0</v>
      </c>
      <c r="C393" s="23">
        <f t="shared" si="34"/>
        <v>0</v>
      </c>
      <c r="D393" s="23">
        <f t="shared" si="34"/>
        <v>0</v>
      </c>
      <c r="E393" s="23">
        <f t="shared" si="34"/>
        <v>0</v>
      </c>
      <c r="F393" s="23">
        <f t="shared" si="34"/>
        <v>0</v>
      </c>
      <c r="G393" s="153"/>
      <c r="H393" s="153"/>
      <c r="M393" s="64" t="s">
        <v>717</v>
      </c>
      <c r="N393" s="61">
        <f>SUMIFS(INDEX(detail_table[],,MATCH(M393,detail_table[#Headers],0)),detail_table[Project Type],"&lt;&gt;"&amp;"")</f>
        <v>0</v>
      </c>
    </row>
    <row r="394" spans="1:17" ht="26.5" thickBot="1" x14ac:dyDescent="0.4">
      <c r="A394" s="23" t="s">
        <v>313</v>
      </c>
      <c r="B394" s="105">
        <f t="shared" si="34"/>
        <v>0</v>
      </c>
      <c r="C394" s="23">
        <f t="shared" si="34"/>
        <v>0</v>
      </c>
      <c r="D394" s="23">
        <f t="shared" si="34"/>
        <v>0</v>
      </c>
      <c r="E394" s="23">
        <f t="shared" si="34"/>
        <v>0</v>
      </c>
      <c r="F394" s="23">
        <f t="shared" si="34"/>
        <v>0</v>
      </c>
      <c r="G394" s="153"/>
      <c r="H394" s="153"/>
      <c r="M394" s="64" t="s">
        <v>718</v>
      </c>
      <c r="N394" s="61">
        <f>SUMIFS(INDEX(detail_table[],,MATCH(M394,detail_table[#Headers],0)),detail_table[Project Type],"&lt;&gt;"&amp;"")</f>
        <v>0</v>
      </c>
    </row>
    <row r="395" spans="1:17" ht="26.5" thickBot="1" x14ac:dyDescent="0.4">
      <c r="A395" s="23" t="s">
        <v>314</v>
      </c>
      <c r="B395" s="105">
        <f t="shared" si="34"/>
        <v>0</v>
      </c>
      <c r="C395" s="23">
        <f t="shared" si="34"/>
        <v>0</v>
      </c>
      <c r="D395" s="23">
        <f t="shared" si="34"/>
        <v>0</v>
      </c>
      <c r="E395" s="23">
        <f t="shared" si="34"/>
        <v>0</v>
      </c>
      <c r="F395" s="23">
        <f t="shared" si="34"/>
        <v>0</v>
      </c>
      <c r="G395" s="153"/>
      <c r="H395" s="153"/>
      <c r="M395" s="64" t="s">
        <v>719</v>
      </c>
      <c r="N395" s="61">
        <f>SUMIFS(INDEX(detail_table[],,MATCH(M395,detail_table[#Headers],0)),detail_table[Project Type],"&lt;&gt;"&amp;"")</f>
        <v>0</v>
      </c>
    </row>
    <row r="396" spans="1:17" ht="15" thickBot="1" x14ac:dyDescent="0.4">
      <c r="A396" s="23" t="s">
        <v>315</v>
      </c>
      <c r="B396" s="105">
        <f t="shared" si="34"/>
        <v>0</v>
      </c>
      <c r="C396" s="23">
        <f t="shared" si="34"/>
        <v>0</v>
      </c>
      <c r="D396" s="23">
        <f t="shared" si="34"/>
        <v>0</v>
      </c>
      <c r="E396" s="23">
        <f t="shared" si="34"/>
        <v>0</v>
      </c>
      <c r="F396" s="23">
        <f t="shared" si="34"/>
        <v>0</v>
      </c>
      <c r="G396" s="153"/>
      <c r="H396" s="153"/>
      <c r="M396" s="64" t="s">
        <v>720</v>
      </c>
      <c r="N396" s="61">
        <f>SUMIFS(INDEX(detail_table[],,MATCH(M396,detail_table[#Headers],0)),detail_table[Project Type],"&lt;&gt;"&amp;"")</f>
        <v>0</v>
      </c>
    </row>
    <row r="397" spans="1:17" ht="15" thickBot="1" x14ac:dyDescent="0.4">
      <c r="A397" s="109" t="s">
        <v>144</v>
      </c>
      <c r="B397" s="105">
        <f t="shared" si="34"/>
        <v>0</v>
      </c>
      <c r="C397" s="105">
        <f t="shared" si="34"/>
        <v>0</v>
      </c>
      <c r="D397" s="105">
        <f t="shared" si="34"/>
        <v>0</v>
      </c>
      <c r="E397" s="105">
        <f t="shared" si="34"/>
        <v>0</v>
      </c>
      <c r="F397" s="105">
        <f t="shared" si="34"/>
        <v>0</v>
      </c>
      <c r="G397" s="153"/>
      <c r="H397" s="153"/>
      <c r="M397" s="64" t="s">
        <v>721</v>
      </c>
      <c r="N397" s="61">
        <f>SUMIFS(INDEX(detail_table[],,MATCH(M397,detail_table[#Headers],0)),detail_table[Project Type],"&lt;&gt;"&amp;"")</f>
        <v>0</v>
      </c>
    </row>
    <row r="398" spans="1:17" x14ac:dyDescent="0.35">
      <c r="A398" s="60"/>
      <c r="B398" s="59"/>
      <c r="C398" s="59"/>
      <c r="D398" s="59"/>
      <c r="E398" s="59"/>
      <c r="F398" s="59"/>
      <c r="G398" s="153"/>
      <c r="H398" s="153"/>
      <c r="M398" s="64" t="s">
        <v>722</v>
      </c>
      <c r="N398" s="61">
        <f>SUMIFS(INDEX(detail_table[],,MATCH(M398,detail_table[#Headers],0)),detail_table[Project Type],"&lt;&gt;"&amp;"")</f>
        <v>0</v>
      </c>
    </row>
    <row r="399" spans="1:17" ht="39.5" thickBot="1" x14ac:dyDescent="0.4">
      <c r="A399" s="186" t="s">
        <v>129</v>
      </c>
      <c r="B399" s="153" t="s">
        <v>136</v>
      </c>
      <c r="C399" s="153"/>
      <c r="D399" s="153"/>
      <c r="E399" s="153"/>
      <c r="F399" s="153"/>
      <c r="G399" s="153"/>
      <c r="H399" s="153"/>
      <c r="M399" s="64" t="s">
        <v>723</v>
      </c>
      <c r="N399" s="61">
        <f>SUMIFS(INDEX(detail_table[],,MATCH(M399,detail_table[#Headers],0)),detail_table[Project Type],"&lt;&gt;"&amp;"")</f>
        <v>0</v>
      </c>
    </row>
    <row r="400" spans="1:17" ht="52.5" thickBot="1" x14ac:dyDescent="0.4">
      <c r="A400" s="30"/>
      <c r="B400" s="26" t="s">
        <v>8</v>
      </c>
      <c r="C400" s="26" t="s">
        <v>0</v>
      </c>
      <c r="D400" s="26" t="s">
        <v>1</v>
      </c>
      <c r="E400" s="26" t="s">
        <v>2</v>
      </c>
      <c r="F400" s="26" t="s">
        <v>3</v>
      </c>
      <c r="G400" s="194"/>
      <c r="H400" s="194"/>
      <c r="M400" s="64" t="s">
        <v>724</v>
      </c>
      <c r="N400" s="61">
        <f>SUMIFS(INDEX(detail_table[],,MATCH(M400,detail_table[#Headers],0)),detail_table[Project Type],"&lt;&gt;"&amp;"")</f>
        <v>0</v>
      </c>
    </row>
    <row r="401" spans="1:18" ht="52.5" thickBot="1" x14ac:dyDescent="0.4">
      <c r="A401" s="27" t="s">
        <v>316</v>
      </c>
      <c r="B401" s="122">
        <f t="shared" ref="B401:F415" si="35">INDEX($N$2:$N$1687,MATCH($B$399&amp;" | "&amp;$A401&amp;" | "&amp;B$400,$M$2:$M$1687,0))</f>
        <v>0</v>
      </c>
      <c r="C401" s="110">
        <f t="shared" si="35"/>
        <v>0</v>
      </c>
      <c r="D401" s="110">
        <f t="shared" si="35"/>
        <v>0</v>
      </c>
      <c r="E401" s="110">
        <f t="shared" si="35"/>
        <v>0</v>
      </c>
      <c r="F401" s="110">
        <f t="shared" si="35"/>
        <v>0</v>
      </c>
      <c r="G401" s="194"/>
      <c r="H401" s="194"/>
      <c r="M401" s="64" t="s">
        <v>725</v>
      </c>
      <c r="N401" s="61">
        <f>SUMIFS(INDEX(detail_table[],,MATCH(M401,detail_table[#Headers],0)),detail_table[Project Type],"&lt;&gt;"&amp;"")</f>
        <v>0</v>
      </c>
    </row>
    <row r="402" spans="1:18" ht="65.5" thickBot="1" x14ac:dyDescent="0.4">
      <c r="A402" s="27" t="s">
        <v>317</v>
      </c>
      <c r="B402" s="122">
        <f t="shared" si="35"/>
        <v>0</v>
      </c>
      <c r="C402" s="110">
        <f t="shared" si="35"/>
        <v>0</v>
      </c>
      <c r="D402" s="110">
        <f t="shared" si="35"/>
        <v>0</v>
      </c>
      <c r="E402" s="110">
        <f t="shared" si="35"/>
        <v>0</v>
      </c>
      <c r="F402" s="110">
        <f t="shared" si="35"/>
        <v>0</v>
      </c>
      <c r="G402" s="153"/>
      <c r="H402" s="153"/>
      <c r="M402" s="64" t="s">
        <v>726</v>
      </c>
      <c r="N402" s="61">
        <f>SUMIFS(INDEX(detail_table[],,MATCH(M402,detail_table[#Headers],0)),detail_table[Project Type],"&lt;&gt;"&amp;"")</f>
        <v>0</v>
      </c>
      <c r="R402" s="62"/>
    </row>
    <row r="403" spans="1:18" ht="78.5" thickBot="1" x14ac:dyDescent="0.4">
      <c r="A403" s="27" t="s">
        <v>318</v>
      </c>
      <c r="B403" s="122">
        <f t="shared" si="35"/>
        <v>0</v>
      </c>
      <c r="C403" s="110">
        <f t="shared" si="35"/>
        <v>0</v>
      </c>
      <c r="D403" s="110">
        <f t="shared" si="35"/>
        <v>0</v>
      </c>
      <c r="E403" s="110">
        <f t="shared" si="35"/>
        <v>0</v>
      </c>
      <c r="F403" s="110">
        <f t="shared" si="35"/>
        <v>0</v>
      </c>
      <c r="G403" s="153"/>
      <c r="H403" s="153"/>
      <c r="J403" s="62"/>
      <c r="M403" s="64" t="s">
        <v>727</v>
      </c>
      <c r="N403" s="61">
        <f>SUMIFS(INDEX(detail_table[],,MATCH(M403,detail_table[#Headers],0)),detail_table[Project Type],"&lt;&gt;"&amp;"")</f>
        <v>0</v>
      </c>
    </row>
    <row r="404" spans="1:18" ht="78.5" thickBot="1" x14ac:dyDescent="0.4">
      <c r="A404" s="27" t="s">
        <v>319</v>
      </c>
      <c r="B404" s="122">
        <f t="shared" si="35"/>
        <v>0</v>
      </c>
      <c r="C404" s="110">
        <f t="shared" si="35"/>
        <v>0</v>
      </c>
      <c r="D404" s="110">
        <f t="shared" si="35"/>
        <v>0</v>
      </c>
      <c r="E404" s="110">
        <f t="shared" si="35"/>
        <v>0</v>
      </c>
      <c r="F404" s="110">
        <f t="shared" si="35"/>
        <v>0</v>
      </c>
      <c r="G404" s="153"/>
      <c r="H404" s="153"/>
      <c r="J404" s="62"/>
      <c r="M404" s="64" t="s">
        <v>728</v>
      </c>
      <c r="N404" s="61">
        <f>SUMIFS(INDEX(detail_table[],,MATCH(M404,detail_table[#Headers],0)),detail_table[Project Type],"&lt;&gt;"&amp;"")</f>
        <v>0</v>
      </c>
    </row>
    <row r="405" spans="1:18" ht="39.5" thickBot="1" x14ac:dyDescent="0.4">
      <c r="A405" s="27" t="s">
        <v>320</v>
      </c>
      <c r="B405" s="122">
        <f t="shared" si="35"/>
        <v>0</v>
      </c>
      <c r="C405" s="110">
        <f t="shared" si="35"/>
        <v>0</v>
      </c>
      <c r="D405" s="110">
        <f t="shared" si="35"/>
        <v>0</v>
      </c>
      <c r="E405" s="110">
        <f t="shared" si="35"/>
        <v>0</v>
      </c>
      <c r="F405" s="110">
        <f t="shared" si="35"/>
        <v>0</v>
      </c>
      <c r="G405" s="153"/>
      <c r="H405" s="153"/>
      <c r="M405" s="64" t="s">
        <v>729</v>
      </c>
      <c r="N405" s="61">
        <f>SUMIFS(INDEX(detail_table[],,MATCH(M405,detail_table[#Headers],0)),detail_table[Project Type],"&lt;&gt;"&amp;"")</f>
        <v>0</v>
      </c>
    </row>
    <row r="406" spans="1:18" ht="39.5" thickBot="1" x14ac:dyDescent="0.4">
      <c r="A406" s="27" t="s">
        <v>321</v>
      </c>
      <c r="B406" s="122">
        <f t="shared" si="35"/>
        <v>0</v>
      </c>
      <c r="C406" s="110">
        <f t="shared" si="35"/>
        <v>0</v>
      </c>
      <c r="D406" s="110">
        <f t="shared" si="35"/>
        <v>0</v>
      </c>
      <c r="E406" s="110">
        <f t="shared" si="35"/>
        <v>0</v>
      </c>
      <c r="F406" s="110">
        <f t="shared" si="35"/>
        <v>0</v>
      </c>
      <c r="G406" s="153"/>
      <c r="H406" s="153"/>
      <c r="M406" s="64" t="s">
        <v>730</v>
      </c>
      <c r="N406" s="61">
        <f>SUMIFS(INDEX(detail_table[],,MATCH(M406,detail_table[#Headers],0)),detail_table[Project Type],"&lt;&gt;"&amp;"")</f>
        <v>0</v>
      </c>
    </row>
    <row r="407" spans="1:18" ht="39.5" thickBot="1" x14ac:dyDescent="0.4">
      <c r="A407" s="27" t="s">
        <v>322</v>
      </c>
      <c r="B407" s="122">
        <f t="shared" si="35"/>
        <v>0</v>
      </c>
      <c r="C407" s="110">
        <f t="shared" si="35"/>
        <v>0</v>
      </c>
      <c r="D407" s="110">
        <f t="shared" si="35"/>
        <v>0</v>
      </c>
      <c r="E407" s="110">
        <f t="shared" si="35"/>
        <v>0</v>
      </c>
      <c r="F407" s="110">
        <f t="shared" si="35"/>
        <v>0</v>
      </c>
      <c r="G407" s="153"/>
      <c r="H407" s="153"/>
      <c r="M407" s="64" t="s">
        <v>731</v>
      </c>
      <c r="N407" s="61">
        <f>SUMIFS(INDEX(detail_table[],,MATCH(M407,detail_table[#Headers],0)),detail_table[Project Type],"&lt;&gt;"&amp;"")</f>
        <v>0</v>
      </c>
    </row>
    <row r="408" spans="1:18" ht="39.5" thickBot="1" x14ac:dyDescent="0.4">
      <c r="A408" s="27" t="s">
        <v>323</v>
      </c>
      <c r="B408" s="122">
        <f t="shared" si="35"/>
        <v>0</v>
      </c>
      <c r="C408" s="110">
        <f t="shared" si="35"/>
        <v>0</v>
      </c>
      <c r="D408" s="110">
        <f t="shared" si="35"/>
        <v>0</v>
      </c>
      <c r="E408" s="110">
        <f t="shared" si="35"/>
        <v>0</v>
      </c>
      <c r="F408" s="110">
        <f t="shared" si="35"/>
        <v>0</v>
      </c>
      <c r="G408" s="153"/>
      <c r="H408" s="153"/>
      <c r="M408" s="64" t="s">
        <v>732</v>
      </c>
      <c r="N408" s="61">
        <f>SUMIFS(INDEX(detail_table[],,MATCH(M408,detail_table[#Headers],0)),detail_table[Project Type],"&lt;&gt;"&amp;"")</f>
        <v>0</v>
      </c>
    </row>
    <row r="409" spans="1:18" ht="52.5" thickBot="1" x14ac:dyDescent="0.4">
      <c r="A409" s="27" t="s">
        <v>324</v>
      </c>
      <c r="B409" s="122">
        <f t="shared" si="35"/>
        <v>0</v>
      </c>
      <c r="C409" s="110">
        <f t="shared" si="35"/>
        <v>0</v>
      </c>
      <c r="D409" s="110">
        <f t="shared" si="35"/>
        <v>0</v>
      </c>
      <c r="E409" s="110">
        <f t="shared" si="35"/>
        <v>0</v>
      </c>
      <c r="F409" s="110">
        <f t="shared" si="35"/>
        <v>0</v>
      </c>
      <c r="G409" s="153"/>
      <c r="H409" s="153"/>
      <c r="M409" s="64" t="s">
        <v>733</v>
      </c>
      <c r="N409" s="61">
        <f>SUMIFS(INDEX(detail_table[],,MATCH(M409,detail_table[#Headers],0)),detail_table[Project Type],"&lt;&gt;"&amp;"")</f>
        <v>0</v>
      </c>
    </row>
    <row r="410" spans="1:18" ht="65.5" thickBot="1" x14ac:dyDescent="0.4">
      <c r="A410" s="27" t="s">
        <v>2170</v>
      </c>
      <c r="B410" s="122">
        <f t="shared" si="35"/>
        <v>0</v>
      </c>
      <c r="C410" s="110">
        <f t="shared" si="35"/>
        <v>0</v>
      </c>
      <c r="D410" s="110">
        <f t="shared" si="35"/>
        <v>0</v>
      </c>
      <c r="E410" s="110">
        <f t="shared" si="35"/>
        <v>0</v>
      </c>
      <c r="F410" s="110">
        <f t="shared" si="35"/>
        <v>0</v>
      </c>
      <c r="G410" s="153"/>
      <c r="H410" s="153"/>
      <c r="I410" s="62"/>
      <c r="M410" s="64" t="s">
        <v>734</v>
      </c>
      <c r="N410" s="61">
        <f>SUMIFS(INDEX(detail_table[],,MATCH(M410,detail_table[#Headers],0)),detail_table[Project Type],"&lt;&gt;"&amp;"")</f>
        <v>0</v>
      </c>
    </row>
    <row r="411" spans="1:18" s="62" customFormat="1" ht="26.5" thickBot="1" x14ac:dyDescent="0.4">
      <c r="A411" s="27" t="s">
        <v>326</v>
      </c>
      <c r="B411" s="122">
        <f t="shared" si="35"/>
        <v>0</v>
      </c>
      <c r="C411" s="110">
        <f t="shared" si="35"/>
        <v>0</v>
      </c>
      <c r="D411" s="110">
        <f t="shared" si="35"/>
        <v>0</v>
      </c>
      <c r="E411" s="110">
        <f t="shared" si="35"/>
        <v>0</v>
      </c>
      <c r="F411" s="110">
        <f t="shared" si="35"/>
        <v>0</v>
      </c>
      <c r="G411" s="153"/>
      <c r="H411" s="153"/>
      <c r="J411" s="61"/>
      <c r="K411" s="61"/>
      <c r="L411" s="61"/>
      <c r="M411" s="64" t="s">
        <v>735</v>
      </c>
      <c r="N411" s="61">
        <f>SUMIFS(INDEX(detail_table[],,MATCH(M411,detail_table[#Headers],0)),detail_table[Project Type],"&lt;&gt;"&amp;"")</f>
        <v>0</v>
      </c>
      <c r="O411" s="61"/>
      <c r="P411" s="61"/>
      <c r="Q411" s="61"/>
      <c r="R411" s="61"/>
    </row>
    <row r="412" spans="1:18" s="62" customFormat="1" ht="15" thickBot="1" x14ac:dyDescent="0.4">
      <c r="A412" s="27" t="s">
        <v>327</v>
      </c>
      <c r="B412" s="122">
        <f t="shared" si="35"/>
        <v>0</v>
      </c>
      <c r="C412" s="110">
        <f t="shared" si="35"/>
        <v>0</v>
      </c>
      <c r="D412" s="110">
        <f t="shared" si="35"/>
        <v>0</v>
      </c>
      <c r="E412" s="110">
        <f t="shared" si="35"/>
        <v>0</v>
      </c>
      <c r="F412" s="110">
        <f t="shared" si="35"/>
        <v>0</v>
      </c>
      <c r="G412" s="153"/>
      <c r="H412" s="153"/>
      <c r="I412" s="61"/>
      <c r="J412" s="61"/>
      <c r="K412" s="61"/>
      <c r="L412" s="61"/>
      <c r="M412" s="64" t="s">
        <v>736</v>
      </c>
      <c r="N412" s="61">
        <f>SUMIFS(INDEX(detail_table[],,MATCH(M412,detail_table[#Headers],0)),detail_table[Project Type],"&lt;&gt;"&amp;"")</f>
        <v>0</v>
      </c>
      <c r="O412" s="61"/>
      <c r="P412" s="61"/>
      <c r="Q412" s="61"/>
      <c r="R412" s="61"/>
    </row>
    <row r="413" spans="1:18" ht="26.5" thickBot="1" x14ac:dyDescent="0.4">
      <c r="A413" s="27" t="s">
        <v>2099</v>
      </c>
      <c r="B413" s="122">
        <f t="shared" si="35"/>
        <v>0</v>
      </c>
      <c r="C413" s="110">
        <f t="shared" si="35"/>
        <v>0</v>
      </c>
      <c r="D413" s="110">
        <f t="shared" si="35"/>
        <v>0</v>
      </c>
      <c r="E413" s="110">
        <f t="shared" si="35"/>
        <v>0</v>
      </c>
      <c r="F413" s="110">
        <f t="shared" si="35"/>
        <v>0</v>
      </c>
      <c r="G413" s="153"/>
      <c r="H413" s="153"/>
      <c r="M413" s="64" t="s">
        <v>737</v>
      </c>
      <c r="N413" s="61">
        <f>SUMIFS(INDEX(detail_table[],,MATCH(M413,detail_table[#Headers],0)),detail_table[Project Type],"&lt;&gt;"&amp;"")</f>
        <v>0</v>
      </c>
    </row>
    <row r="414" spans="1:18" ht="39.5" thickBot="1" x14ac:dyDescent="0.4">
      <c r="A414" s="27" t="s">
        <v>328</v>
      </c>
      <c r="B414" s="122">
        <f t="shared" si="35"/>
        <v>0</v>
      </c>
      <c r="C414" s="110">
        <f t="shared" si="35"/>
        <v>0</v>
      </c>
      <c r="D414" s="110">
        <f t="shared" si="35"/>
        <v>0</v>
      </c>
      <c r="E414" s="110">
        <f t="shared" si="35"/>
        <v>0</v>
      </c>
      <c r="F414" s="110">
        <f t="shared" si="35"/>
        <v>0</v>
      </c>
      <c r="G414" s="153"/>
      <c r="H414" s="153"/>
      <c r="M414" s="64" t="s">
        <v>738</v>
      </c>
      <c r="N414" s="61">
        <f>SUMIFS(INDEX(detail_table[],,MATCH(M414,detail_table[#Headers],0)),detail_table[Project Type],"&lt;&gt;"&amp;"")</f>
        <v>0</v>
      </c>
    </row>
    <row r="415" spans="1:18" ht="15" thickBot="1" x14ac:dyDescent="0.4">
      <c r="A415" s="32" t="s">
        <v>281</v>
      </c>
      <c r="B415" s="122">
        <f t="shared" si="35"/>
        <v>0</v>
      </c>
      <c r="C415" s="122">
        <f t="shared" si="35"/>
        <v>0</v>
      </c>
      <c r="D415" s="122">
        <f t="shared" si="35"/>
        <v>0</v>
      </c>
      <c r="E415" s="122">
        <f t="shared" si="35"/>
        <v>0</v>
      </c>
      <c r="F415" s="122">
        <f t="shared" si="35"/>
        <v>0</v>
      </c>
      <c r="G415" s="153"/>
      <c r="H415" s="153"/>
      <c r="M415" s="64" t="s">
        <v>739</v>
      </c>
      <c r="N415" s="61">
        <f>SUMIFS(INDEX(detail_table[],,MATCH(M415,detail_table[#Headers],0)),detail_table[Project Type],"&lt;&gt;"&amp;"")</f>
        <v>0</v>
      </c>
    </row>
    <row r="416" spans="1:18" x14ac:dyDescent="0.35">
      <c r="A416" s="69"/>
      <c r="B416" s="70"/>
      <c r="C416" s="70"/>
      <c r="D416" s="70"/>
      <c r="E416" s="70"/>
      <c r="F416" s="70"/>
      <c r="G416" s="153"/>
      <c r="H416" s="153"/>
      <c r="M416" s="64" t="s">
        <v>740</v>
      </c>
      <c r="N416" s="61">
        <f>SUMIFS(INDEX(detail_table[],,MATCH(M416,detail_table[#Headers],0)),detail_table[Project Type],"&lt;&gt;"&amp;"")</f>
        <v>0</v>
      </c>
    </row>
    <row r="417" spans="1:14" ht="26.5" thickBot="1" x14ac:dyDescent="0.4">
      <c r="A417" s="189" t="s">
        <v>130</v>
      </c>
      <c r="B417" s="153" t="s">
        <v>93</v>
      </c>
      <c r="C417" s="153"/>
      <c r="D417" s="153"/>
      <c r="E417" s="153"/>
      <c r="F417" s="153"/>
      <c r="G417" s="153"/>
      <c r="H417" s="153"/>
      <c r="M417" s="64" t="s">
        <v>741</v>
      </c>
      <c r="N417" s="61">
        <f>SUMIFS(INDEX(detail_table[],,MATCH(M417,detail_table[#Headers],0)),detail_table[Project Type],"&lt;&gt;"&amp;"")</f>
        <v>0</v>
      </c>
    </row>
    <row r="418" spans="1:14" ht="52.5" thickBot="1" x14ac:dyDescent="0.4">
      <c r="A418" s="1"/>
      <c r="B418" s="3" t="s">
        <v>8</v>
      </c>
      <c r="C418" s="3" t="s">
        <v>0</v>
      </c>
      <c r="D418" s="3" t="s">
        <v>1</v>
      </c>
      <c r="E418" s="3" t="s">
        <v>2</v>
      </c>
      <c r="F418" s="3" t="s">
        <v>3</v>
      </c>
      <c r="G418" s="153"/>
      <c r="H418" s="153"/>
      <c r="M418" s="64" t="s">
        <v>742</v>
      </c>
      <c r="N418" s="61">
        <f>SUMIFS(INDEX(detail_table[],,MATCH(M418,detail_table[#Headers],0)),detail_table[Project Type],"&lt;&gt;"&amp;"")</f>
        <v>0</v>
      </c>
    </row>
    <row r="419" spans="1:14" ht="26.5" thickBot="1" x14ac:dyDescent="0.4">
      <c r="A419" s="1" t="s">
        <v>282</v>
      </c>
      <c r="B419" s="23"/>
      <c r="C419" s="23"/>
      <c r="D419" s="23"/>
      <c r="E419" s="23"/>
      <c r="F419" s="23"/>
      <c r="G419" s="153"/>
      <c r="H419" s="153"/>
      <c r="M419" s="64" t="s">
        <v>743</v>
      </c>
      <c r="N419" s="61">
        <f>SUMIFS(INDEX(detail_table[],,MATCH(M419,detail_table[#Headers],0)),detail_table[Project Type],"&lt;&gt;"&amp;"")</f>
        <v>0</v>
      </c>
    </row>
    <row r="420" spans="1:14" ht="39.5" thickBot="1" x14ac:dyDescent="0.4">
      <c r="A420" s="23" t="s">
        <v>283</v>
      </c>
      <c r="B420" s="105">
        <f t="shared" ref="B420:F430" si="36">INDEX($N$2:$N$1687,MATCH($B$417&amp;" | "&amp;$A420&amp;" | "&amp;B$418,$M$2:$M$1687,0))</f>
        <v>0</v>
      </c>
      <c r="C420" s="23">
        <f t="shared" si="36"/>
        <v>0</v>
      </c>
      <c r="D420" s="23">
        <f t="shared" si="36"/>
        <v>0</v>
      </c>
      <c r="E420" s="23">
        <f t="shared" si="36"/>
        <v>0</v>
      </c>
      <c r="F420" s="23">
        <f t="shared" si="36"/>
        <v>0</v>
      </c>
      <c r="G420" s="153"/>
      <c r="H420" s="153"/>
      <c r="M420" s="64" t="s">
        <v>744</v>
      </c>
      <c r="N420" s="61">
        <f>SUMIFS(INDEX(detail_table[],,MATCH(M420,detail_table[#Headers],0)),detail_table[Project Type],"&lt;&gt;"&amp;"")</f>
        <v>0</v>
      </c>
    </row>
    <row r="421" spans="1:14" ht="26.5" thickBot="1" x14ac:dyDescent="0.4">
      <c r="A421" s="23" t="s">
        <v>284</v>
      </c>
      <c r="B421" s="105">
        <f t="shared" si="36"/>
        <v>0</v>
      </c>
      <c r="C421" s="23">
        <f t="shared" si="36"/>
        <v>0</v>
      </c>
      <c r="D421" s="23">
        <f t="shared" si="36"/>
        <v>0</v>
      </c>
      <c r="E421" s="23">
        <f t="shared" si="36"/>
        <v>0</v>
      </c>
      <c r="F421" s="23">
        <f t="shared" si="36"/>
        <v>0</v>
      </c>
      <c r="G421" s="153"/>
      <c r="H421" s="153"/>
      <c r="M421" s="64" t="s">
        <v>745</v>
      </c>
      <c r="N421" s="61">
        <f>SUMIFS(INDEX(detail_table[],,MATCH(M421,detail_table[#Headers],0)),detail_table[Project Type],"&lt;&gt;"&amp;"")</f>
        <v>0</v>
      </c>
    </row>
    <row r="422" spans="1:14" ht="26.5" thickBot="1" x14ac:dyDescent="0.4">
      <c r="A422" s="23" t="s">
        <v>285</v>
      </c>
      <c r="B422" s="105">
        <f t="shared" si="36"/>
        <v>0</v>
      </c>
      <c r="C422" s="23">
        <f t="shared" si="36"/>
        <v>0</v>
      </c>
      <c r="D422" s="23">
        <f t="shared" si="36"/>
        <v>0</v>
      </c>
      <c r="E422" s="23">
        <f t="shared" si="36"/>
        <v>0</v>
      </c>
      <c r="F422" s="23">
        <f t="shared" si="36"/>
        <v>0</v>
      </c>
      <c r="G422" s="153"/>
      <c r="H422" s="153"/>
      <c r="M422" s="64" t="s">
        <v>746</v>
      </c>
      <c r="N422" s="61">
        <f>SUMIFS(INDEX(detail_table[],,MATCH(M422,detail_table[#Headers],0)),detail_table[Project Type],"&lt;&gt;"&amp;"")</f>
        <v>0</v>
      </c>
    </row>
    <row r="423" spans="1:14" ht="26.5" thickBot="1" x14ac:dyDescent="0.4">
      <c r="A423" s="23" t="s">
        <v>286</v>
      </c>
      <c r="B423" s="105">
        <f t="shared" si="36"/>
        <v>0</v>
      </c>
      <c r="C423" s="23">
        <f t="shared" si="36"/>
        <v>0</v>
      </c>
      <c r="D423" s="23">
        <f t="shared" si="36"/>
        <v>0</v>
      </c>
      <c r="E423" s="23">
        <f t="shared" si="36"/>
        <v>0</v>
      </c>
      <c r="F423" s="23">
        <f t="shared" si="36"/>
        <v>0</v>
      </c>
      <c r="G423" s="153"/>
      <c r="H423" s="153"/>
      <c r="M423" s="64" t="s">
        <v>747</v>
      </c>
      <c r="N423" s="61">
        <f>SUMIFS(INDEX(detail_table[],,MATCH(M423,detail_table[#Headers],0)),detail_table[Project Type],"&lt;&gt;"&amp;"")</f>
        <v>0</v>
      </c>
    </row>
    <row r="424" spans="1:14" ht="26.5" thickBot="1" x14ac:dyDescent="0.4">
      <c r="A424" s="23" t="s">
        <v>287</v>
      </c>
      <c r="B424" s="105">
        <f t="shared" si="36"/>
        <v>0</v>
      </c>
      <c r="C424" s="23">
        <f t="shared" si="36"/>
        <v>0</v>
      </c>
      <c r="D424" s="23">
        <f t="shared" si="36"/>
        <v>0</v>
      </c>
      <c r="E424" s="23">
        <f t="shared" si="36"/>
        <v>0</v>
      </c>
      <c r="F424" s="23">
        <f t="shared" si="36"/>
        <v>0</v>
      </c>
      <c r="G424" s="153"/>
      <c r="H424" s="153"/>
      <c r="M424" s="64" t="s">
        <v>748</v>
      </c>
      <c r="N424" s="61">
        <f>SUMIFS(INDEX(detail_table[],,MATCH(M424,detail_table[#Headers],0)),detail_table[Project Type],"&lt;&gt;"&amp;"")</f>
        <v>0</v>
      </c>
    </row>
    <row r="425" spans="1:14" ht="39.5" thickBot="1" x14ac:dyDescent="0.4">
      <c r="A425" s="23" t="s">
        <v>288</v>
      </c>
      <c r="B425" s="105">
        <f t="shared" si="36"/>
        <v>0</v>
      </c>
      <c r="C425" s="23">
        <f t="shared" si="36"/>
        <v>0</v>
      </c>
      <c r="D425" s="23">
        <f t="shared" si="36"/>
        <v>0</v>
      </c>
      <c r="E425" s="23">
        <f t="shared" si="36"/>
        <v>0</v>
      </c>
      <c r="F425" s="23">
        <f t="shared" si="36"/>
        <v>0</v>
      </c>
      <c r="G425" s="153"/>
      <c r="H425" s="153"/>
      <c r="M425" s="64" t="s">
        <v>749</v>
      </c>
      <c r="N425" s="61">
        <f>SUMIFS(INDEX(detail_table[],,MATCH(M425,detail_table[#Headers],0)),detail_table[Project Type],"&lt;&gt;"&amp;"")</f>
        <v>0</v>
      </c>
    </row>
    <row r="426" spans="1:14" ht="26.5" thickBot="1" x14ac:dyDescent="0.4">
      <c r="A426" s="23" t="s">
        <v>289</v>
      </c>
      <c r="B426" s="105">
        <f t="shared" si="36"/>
        <v>0</v>
      </c>
      <c r="C426" s="23">
        <f t="shared" si="36"/>
        <v>0</v>
      </c>
      <c r="D426" s="23">
        <f t="shared" si="36"/>
        <v>0</v>
      </c>
      <c r="E426" s="23">
        <f t="shared" si="36"/>
        <v>0</v>
      </c>
      <c r="F426" s="23">
        <f t="shared" si="36"/>
        <v>0</v>
      </c>
      <c r="G426" s="153"/>
      <c r="H426" s="153"/>
      <c r="M426" s="64" t="s">
        <v>750</v>
      </c>
      <c r="N426" s="61">
        <f>SUMIFS(INDEX(detail_table[],,MATCH(M426,detail_table[#Headers],0)),detail_table[Project Type],"&lt;&gt;"&amp;"")</f>
        <v>0</v>
      </c>
    </row>
    <row r="427" spans="1:14" ht="39.5" thickBot="1" x14ac:dyDescent="0.4">
      <c r="A427" s="23" t="s">
        <v>290</v>
      </c>
      <c r="B427" s="105">
        <f t="shared" si="36"/>
        <v>0</v>
      </c>
      <c r="C427" s="23">
        <f t="shared" si="36"/>
        <v>0</v>
      </c>
      <c r="D427" s="23">
        <f t="shared" si="36"/>
        <v>0</v>
      </c>
      <c r="E427" s="23">
        <f t="shared" si="36"/>
        <v>0</v>
      </c>
      <c r="F427" s="23">
        <f t="shared" si="36"/>
        <v>0</v>
      </c>
      <c r="G427" s="153"/>
      <c r="H427" s="153"/>
      <c r="M427" s="64" t="s">
        <v>751</v>
      </c>
      <c r="N427" s="61">
        <f>SUMIFS(INDEX(detail_table[],,MATCH(M427,detail_table[#Headers],0)),detail_table[Project Type],"&lt;&gt;"&amp;"")</f>
        <v>0</v>
      </c>
    </row>
    <row r="428" spans="1:14" ht="39.5" thickBot="1" x14ac:dyDescent="0.4">
      <c r="A428" s="23" t="s">
        <v>291</v>
      </c>
      <c r="B428" s="105">
        <f t="shared" si="36"/>
        <v>0</v>
      </c>
      <c r="C428" s="23">
        <f t="shared" si="36"/>
        <v>0</v>
      </c>
      <c r="D428" s="23">
        <f t="shared" si="36"/>
        <v>0</v>
      </c>
      <c r="E428" s="23">
        <f t="shared" si="36"/>
        <v>0</v>
      </c>
      <c r="F428" s="23">
        <f t="shared" si="36"/>
        <v>0</v>
      </c>
      <c r="G428" s="153"/>
      <c r="H428" s="153"/>
      <c r="M428" s="64" t="s">
        <v>752</v>
      </c>
      <c r="N428" s="61">
        <f>SUMIFS(INDEX(detail_table[],,MATCH(M428,detail_table[#Headers],0)),detail_table[Project Type],"&lt;&gt;"&amp;"")</f>
        <v>0</v>
      </c>
    </row>
    <row r="429" spans="1:14" ht="39.5" thickBot="1" x14ac:dyDescent="0.4">
      <c r="A429" s="23" t="s">
        <v>292</v>
      </c>
      <c r="B429" s="105">
        <f t="shared" si="36"/>
        <v>0</v>
      </c>
      <c r="C429" s="23">
        <f t="shared" si="36"/>
        <v>0</v>
      </c>
      <c r="D429" s="23">
        <f t="shared" si="36"/>
        <v>0</v>
      </c>
      <c r="E429" s="23">
        <f t="shared" si="36"/>
        <v>0</v>
      </c>
      <c r="F429" s="23">
        <f t="shared" si="36"/>
        <v>0</v>
      </c>
      <c r="G429" s="153"/>
      <c r="H429" s="153"/>
      <c r="M429" s="64" t="s">
        <v>753</v>
      </c>
      <c r="N429" s="61">
        <f>SUMIFS(INDEX(detail_table[],,MATCH(M429,detail_table[#Headers],0)),detail_table[Project Type],"&lt;&gt;"&amp;"")</f>
        <v>0</v>
      </c>
    </row>
    <row r="430" spans="1:14" ht="15" thickBot="1" x14ac:dyDescent="0.4">
      <c r="A430" s="23" t="s">
        <v>231</v>
      </c>
      <c r="B430" s="105">
        <f t="shared" si="36"/>
        <v>0</v>
      </c>
      <c r="C430" s="23">
        <f t="shared" si="36"/>
        <v>0</v>
      </c>
      <c r="D430" s="23">
        <f t="shared" si="36"/>
        <v>0</v>
      </c>
      <c r="E430" s="23">
        <f t="shared" si="36"/>
        <v>0</v>
      </c>
      <c r="F430" s="23">
        <f t="shared" si="36"/>
        <v>0</v>
      </c>
      <c r="G430" s="153"/>
      <c r="H430" s="153"/>
      <c r="M430" s="64" t="s">
        <v>754</v>
      </c>
      <c r="N430" s="61">
        <f>SUMIFS(INDEX(detail_table[],,MATCH(M430,detail_table[#Headers],0)),detail_table[Project Type],"&lt;&gt;"&amp;"")</f>
        <v>0</v>
      </c>
    </row>
    <row r="431" spans="1:14" ht="26.5" thickBot="1" x14ac:dyDescent="0.4">
      <c r="A431" s="1" t="s">
        <v>293</v>
      </c>
      <c r="B431" s="105"/>
      <c r="C431" s="23"/>
      <c r="D431" s="23"/>
      <c r="E431" s="23"/>
      <c r="F431" s="23"/>
      <c r="G431" s="153"/>
      <c r="H431" s="153"/>
      <c r="M431" s="64" t="s">
        <v>755</v>
      </c>
      <c r="N431" s="61">
        <f>SUMIFS(INDEX(detail_table[],,MATCH(M431,detail_table[#Headers],0)),detail_table[Project Type],"&lt;&gt;"&amp;"")</f>
        <v>0</v>
      </c>
    </row>
    <row r="432" spans="1:14" ht="15" thickBot="1" x14ac:dyDescent="0.4">
      <c r="A432" s="23" t="s">
        <v>294</v>
      </c>
      <c r="B432" s="105">
        <f t="shared" ref="B432:F440" si="37">INDEX($N$2:$N$1687,MATCH($B$417&amp;" | "&amp;$A432&amp;" | "&amp;B$418,$M$2:$M$1687,0))</f>
        <v>0</v>
      </c>
      <c r="C432" s="23">
        <f t="shared" si="37"/>
        <v>0</v>
      </c>
      <c r="D432" s="23">
        <f t="shared" si="37"/>
        <v>0</v>
      </c>
      <c r="E432" s="23">
        <f t="shared" si="37"/>
        <v>0</v>
      </c>
      <c r="F432" s="23">
        <f t="shared" si="37"/>
        <v>0</v>
      </c>
      <c r="G432" s="153"/>
      <c r="H432" s="153"/>
      <c r="M432" s="64" t="s">
        <v>756</v>
      </c>
      <c r="N432" s="61">
        <f>SUMIFS(INDEX(detail_table[],,MATCH(M432,detail_table[#Headers],0)),detail_table[Project Type],"&lt;&gt;"&amp;"")</f>
        <v>0</v>
      </c>
    </row>
    <row r="433" spans="1:14" ht="39.5" thickBot="1" x14ac:dyDescent="0.4">
      <c r="A433" s="23" t="s">
        <v>295</v>
      </c>
      <c r="B433" s="105">
        <f t="shared" si="37"/>
        <v>0</v>
      </c>
      <c r="C433" s="23">
        <f t="shared" si="37"/>
        <v>0</v>
      </c>
      <c r="D433" s="23">
        <f t="shared" si="37"/>
        <v>0</v>
      </c>
      <c r="E433" s="23">
        <f t="shared" si="37"/>
        <v>0</v>
      </c>
      <c r="F433" s="23">
        <f t="shared" si="37"/>
        <v>0</v>
      </c>
      <c r="G433" s="153"/>
      <c r="H433" s="153"/>
      <c r="M433" s="64" t="s">
        <v>757</v>
      </c>
      <c r="N433" s="61">
        <f>SUMIFS(INDEX(detail_table[],,MATCH(M433,detail_table[#Headers],0)),detail_table[Project Type],"&lt;&gt;"&amp;"")</f>
        <v>0</v>
      </c>
    </row>
    <row r="434" spans="1:14" ht="39.5" thickBot="1" x14ac:dyDescent="0.4">
      <c r="A434" s="23" t="s">
        <v>296</v>
      </c>
      <c r="B434" s="105">
        <f t="shared" si="37"/>
        <v>0</v>
      </c>
      <c r="C434" s="23">
        <f t="shared" si="37"/>
        <v>0</v>
      </c>
      <c r="D434" s="23">
        <f t="shared" si="37"/>
        <v>0</v>
      </c>
      <c r="E434" s="23">
        <f t="shared" si="37"/>
        <v>0</v>
      </c>
      <c r="F434" s="23">
        <f t="shared" si="37"/>
        <v>0</v>
      </c>
      <c r="G434" s="153"/>
      <c r="H434" s="153"/>
      <c r="M434" s="64" t="s">
        <v>758</v>
      </c>
      <c r="N434" s="61">
        <f>SUMIFS(INDEX(detail_table[],,MATCH(M434,detail_table[#Headers],0)),detail_table[Project Type],"&lt;&gt;"&amp;"")</f>
        <v>0</v>
      </c>
    </row>
    <row r="435" spans="1:14" ht="26.5" thickBot="1" x14ac:dyDescent="0.4">
      <c r="A435" s="23" t="s">
        <v>1961</v>
      </c>
      <c r="B435" s="105">
        <f t="shared" si="37"/>
        <v>0</v>
      </c>
      <c r="C435" s="23">
        <f t="shared" si="37"/>
        <v>0</v>
      </c>
      <c r="D435" s="23">
        <f t="shared" si="37"/>
        <v>0</v>
      </c>
      <c r="E435" s="23">
        <f t="shared" si="37"/>
        <v>0</v>
      </c>
      <c r="F435" s="23">
        <f t="shared" si="37"/>
        <v>0</v>
      </c>
      <c r="G435" s="153"/>
      <c r="H435" s="153"/>
      <c r="M435" s="64" t="s">
        <v>759</v>
      </c>
      <c r="N435" s="61">
        <f>SUMIFS(INDEX(detail_table[],,MATCH(M435,detail_table[#Headers],0)),detail_table[Project Type],"&lt;&gt;"&amp;"")</f>
        <v>0</v>
      </c>
    </row>
    <row r="436" spans="1:14" ht="39.5" thickBot="1" x14ac:dyDescent="0.4">
      <c r="A436" s="23" t="s">
        <v>298</v>
      </c>
      <c r="B436" s="105">
        <f t="shared" si="37"/>
        <v>0</v>
      </c>
      <c r="C436" s="23">
        <f t="shared" si="37"/>
        <v>0</v>
      </c>
      <c r="D436" s="23">
        <f t="shared" si="37"/>
        <v>0</v>
      </c>
      <c r="E436" s="23">
        <f t="shared" si="37"/>
        <v>0</v>
      </c>
      <c r="F436" s="23">
        <f t="shared" si="37"/>
        <v>0</v>
      </c>
      <c r="G436" s="153"/>
      <c r="H436" s="153"/>
      <c r="M436" s="64" t="s">
        <v>760</v>
      </c>
      <c r="N436" s="61">
        <f>SUMIFS(INDEX(detail_table[],,MATCH(M436,detail_table[#Headers],0)),detail_table[Project Type],"&lt;&gt;"&amp;"")</f>
        <v>0</v>
      </c>
    </row>
    <row r="437" spans="1:14" ht="26.5" thickBot="1" x14ac:dyDescent="0.4">
      <c r="A437" s="23" t="s">
        <v>299</v>
      </c>
      <c r="B437" s="105">
        <f t="shared" si="37"/>
        <v>0</v>
      </c>
      <c r="C437" s="23">
        <f t="shared" si="37"/>
        <v>0</v>
      </c>
      <c r="D437" s="23">
        <f t="shared" si="37"/>
        <v>0</v>
      </c>
      <c r="E437" s="23">
        <f t="shared" si="37"/>
        <v>0</v>
      </c>
      <c r="F437" s="23">
        <f t="shared" si="37"/>
        <v>0</v>
      </c>
      <c r="G437" s="153"/>
      <c r="H437" s="153"/>
      <c r="M437" s="64" t="s">
        <v>761</v>
      </c>
      <c r="N437" s="61">
        <f>SUMIFS(INDEX(detail_table[],,MATCH(M437,detail_table[#Headers],0)),detail_table[Project Type],"&lt;&gt;"&amp;"")</f>
        <v>0</v>
      </c>
    </row>
    <row r="438" spans="1:14" ht="15" thickBot="1" x14ac:dyDescent="0.4">
      <c r="A438" s="23" t="s">
        <v>300</v>
      </c>
      <c r="B438" s="105">
        <f t="shared" si="37"/>
        <v>0</v>
      </c>
      <c r="C438" s="23">
        <f t="shared" si="37"/>
        <v>0</v>
      </c>
      <c r="D438" s="23">
        <f t="shared" si="37"/>
        <v>0</v>
      </c>
      <c r="E438" s="23">
        <f t="shared" si="37"/>
        <v>0</v>
      </c>
      <c r="F438" s="23">
        <f t="shared" si="37"/>
        <v>0</v>
      </c>
      <c r="G438" s="153"/>
      <c r="H438" s="153"/>
      <c r="M438" s="64" t="s">
        <v>762</v>
      </c>
      <c r="N438" s="61">
        <f>SUMIFS(INDEX(detail_table[],,MATCH(M438,detail_table[#Headers],0)),detail_table[Project Type],"&lt;&gt;"&amp;"")</f>
        <v>0</v>
      </c>
    </row>
    <row r="439" spans="1:14" ht="26.5" thickBot="1" x14ac:dyDescent="0.4">
      <c r="A439" s="23" t="s">
        <v>301</v>
      </c>
      <c r="B439" s="105">
        <f t="shared" si="37"/>
        <v>0</v>
      </c>
      <c r="C439" s="23">
        <f t="shared" si="37"/>
        <v>0</v>
      </c>
      <c r="D439" s="23">
        <f t="shared" si="37"/>
        <v>0</v>
      </c>
      <c r="E439" s="23">
        <f t="shared" si="37"/>
        <v>0</v>
      </c>
      <c r="F439" s="23">
        <f t="shared" si="37"/>
        <v>0</v>
      </c>
      <c r="G439" s="153"/>
      <c r="H439" s="153"/>
      <c r="M439" s="64" t="s">
        <v>763</v>
      </c>
      <c r="N439" s="61">
        <f>SUMIFS(INDEX(detail_table[],,MATCH(M439,detail_table[#Headers],0)),detail_table[Project Type],"&lt;&gt;"&amp;"")</f>
        <v>0</v>
      </c>
    </row>
    <row r="440" spans="1:14" ht="15" thickBot="1" x14ac:dyDescent="0.4">
      <c r="A440" s="23" t="s">
        <v>240</v>
      </c>
      <c r="B440" s="105">
        <f t="shared" si="37"/>
        <v>0</v>
      </c>
      <c r="C440" s="23">
        <f t="shared" si="37"/>
        <v>0</v>
      </c>
      <c r="D440" s="23">
        <f t="shared" si="37"/>
        <v>0</v>
      </c>
      <c r="E440" s="23">
        <f t="shared" si="37"/>
        <v>0</v>
      </c>
      <c r="F440" s="23">
        <f t="shared" si="37"/>
        <v>0</v>
      </c>
      <c r="G440" s="153"/>
      <c r="H440" s="153"/>
      <c r="M440" s="64" t="s">
        <v>764</v>
      </c>
      <c r="N440" s="61">
        <f>SUMIFS(INDEX(detail_table[],,MATCH(M440,detail_table[#Headers],0)),detail_table[Project Type],"&lt;&gt;"&amp;"")</f>
        <v>0</v>
      </c>
    </row>
    <row r="441" spans="1:14" ht="15" thickBot="1" x14ac:dyDescent="0.4">
      <c r="A441" s="1" t="s">
        <v>302</v>
      </c>
      <c r="B441" s="105"/>
      <c r="C441" s="23"/>
      <c r="D441" s="23"/>
      <c r="E441" s="23"/>
      <c r="F441" s="23"/>
      <c r="G441" s="153"/>
      <c r="H441" s="153"/>
      <c r="M441" s="64" t="s">
        <v>765</v>
      </c>
      <c r="N441" s="61">
        <f>SUMIFS(INDEX(detail_table[],,MATCH(M441,detail_table[#Headers],0)),detail_table[Project Type],"&lt;&gt;"&amp;"")</f>
        <v>0</v>
      </c>
    </row>
    <row r="442" spans="1:14" ht="39.5" thickBot="1" x14ac:dyDescent="0.4">
      <c r="A442" s="23" t="s">
        <v>303</v>
      </c>
      <c r="B442" s="105">
        <f t="shared" ref="B442:F448" si="38">INDEX($N$2:$N$1687,MATCH($B$417&amp;" | "&amp;$A442&amp;" | "&amp;B$418,$M$2:$M$1687,0))</f>
        <v>0</v>
      </c>
      <c r="C442" s="23">
        <f t="shared" si="38"/>
        <v>0</v>
      </c>
      <c r="D442" s="23">
        <f t="shared" si="38"/>
        <v>0</v>
      </c>
      <c r="E442" s="23">
        <f t="shared" si="38"/>
        <v>0</v>
      </c>
      <c r="F442" s="23">
        <f t="shared" si="38"/>
        <v>0</v>
      </c>
      <c r="G442" s="153"/>
      <c r="H442" s="153"/>
      <c r="M442" s="64" t="s">
        <v>766</v>
      </c>
      <c r="N442" s="61">
        <f>SUMIFS(INDEX(detail_table[],,MATCH(M442,detail_table[#Headers],0)),detail_table[Project Type],"&lt;&gt;"&amp;"")</f>
        <v>0</v>
      </c>
    </row>
    <row r="443" spans="1:14" ht="39.5" thickBot="1" x14ac:dyDescent="0.4">
      <c r="A443" s="23" t="s">
        <v>304</v>
      </c>
      <c r="B443" s="105">
        <f t="shared" si="38"/>
        <v>0</v>
      </c>
      <c r="C443" s="23">
        <f t="shared" si="38"/>
        <v>0</v>
      </c>
      <c r="D443" s="23">
        <f t="shared" si="38"/>
        <v>0</v>
      </c>
      <c r="E443" s="23">
        <f t="shared" si="38"/>
        <v>0</v>
      </c>
      <c r="F443" s="23">
        <f t="shared" si="38"/>
        <v>0</v>
      </c>
      <c r="G443" s="153"/>
      <c r="H443" s="153"/>
      <c r="M443" s="64" t="s">
        <v>767</v>
      </c>
      <c r="N443" s="61">
        <f>SUMIFS(INDEX(detail_table[],,MATCH(M443,detail_table[#Headers],0)),detail_table[Project Type],"&lt;&gt;"&amp;"")</f>
        <v>0</v>
      </c>
    </row>
    <row r="444" spans="1:14" ht="39.5" thickBot="1" x14ac:dyDescent="0.4">
      <c r="A444" s="23" t="s">
        <v>305</v>
      </c>
      <c r="B444" s="105">
        <f t="shared" si="38"/>
        <v>0</v>
      </c>
      <c r="C444" s="23">
        <f t="shared" si="38"/>
        <v>0</v>
      </c>
      <c r="D444" s="23">
        <f t="shared" si="38"/>
        <v>0</v>
      </c>
      <c r="E444" s="23">
        <f t="shared" si="38"/>
        <v>0</v>
      </c>
      <c r="F444" s="23">
        <f t="shared" si="38"/>
        <v>0</v>
      </c>
      <c r="G444" s="153"/>
      <c r="H444" s="153"/>
      <c r="M444" s="64" t="s">
        <v>768</v>
      </c>
      <c r="N444" s="61">
        <f>SUMIFS(INDEX(detail_table[],,MATCH(M444,detail_table[#Headers],0)),detail_table[Project Type],"&lt;&gt;"&amp;"")</f>
        <v>0</v>
      </c>
    </row>
    <row r="445" spans="1:14" ht="52.5" thickBot="1" x14ac:dyDescent="0.4">
      <c r="A445" s="23" t="s">
        <v>306</v>
      </c>
      <c r="B445" s="105">
        <f t="shared" si="38"/>
        <v>0</v>
      </c>
      <c r="C445" s="23">
        <f t="shared" si="38"/>
        <v>0</v>
      </c>
      <c r="D445" s="23">
        <f t="shared" si="38"/>
        <v>0</v>
      </c>
      <c r="E445" s="23">
        <f t="shared" si="38"/>
        <v>0</v>
      </c>
      <c r="F445" s="23">
        <f t="shared" si="38"/>
        <v>0</v>
      </c>
      <c r="G445" s="153"/>
      <c r="H445" s="153"/>
      <c r="M445" s="64" t="s">
        <v>769</v>
      </c>
      <c r="N445" s="61">
        <f>SUMIFS(INDEX(detail_table[],,MATCH(M445,detail_table[#Headers],0)),detail_table[Project Type],"&lt;&gt;"&amp;"")</f>
        <v>0</v>
      </c>
    </row>
    <row r="446" spans="1:14" ht="39.5" thickBot="1" x14ac:dyDescent="0.4">
      <c r="A446" s="23" t="s">
        <v>307</v>
      </c>
      <c r="B446" s="105">
        <f t="shared" si="38"/>
        <v>0</v>
      </c>
      <c r="C446" s="23">
        <f t="shared" si="38"/>
        <v>0</v>
      </c>
      <c r="D446" s="23">
        <f t="shared" si="38"/>
        <v>0</v>
      </c>
      <c r="E446" s="23">
        <f t="shared" si="38"/>
        <v>0</v>
      </c>
      <c r="F446" s="23">
        <f t="shared" si="38"/>
        <v>0</v>
      </c>
      <c r="G446" s="153"/>
      <c r="H446" s="153"/>
      <c r="M446" s="64" t="s">
        <v>770</v>
      </c>
      <c r="N446" s="61">
        <f>SUMIFS(INDEX(detail_table[],,MATCH(M446,detail_table[#Headers],0)),detail_table[Project Type],"&lt;&gt;"&amp;"")</f>
        <v>0</v>
      </c>
    </row>
    <row r="447" spans="1:14" ht="39.5" thickBot="1" x14ac:dyDescent="0.4">
      <c r="A447" s="23" t="s">
        <v>308</v>
      </c>
      <c r="B447" s="105">
        <f t="shared" si="38"/>
        <v>0</v>
      </c>
      <c r="C447" s="23">
        <f t="shared" si="38"/>
        <v>0</v>
      </c>
      <c r="D447" s="23">
        <f t="shared" si="38"/>
        <v>0</v>
      </c>
      <c r="E447" s="23">
        <f t="shared" si="38"/>
        <v>0</v>
      </c>
      <c r="F447" s="23">
        <f t="shared" si="38"/>
        <v>0</v>
      </c>
      <c r="G447" s="153"/>
      <c r="H447" s="153"/>
      <c r="M447" s="64" t="s">
        <v>771</v>
      </c>
      <c r="N447" s="61">
        <f>SUMIFS(INDEX(detail_table[],,MATCH(M447,detail_table[#Headers],0)),detail_table[Project Type],"&lt;&gt;"&amp;"")</f>
        <v>0</v>
      </c>
    </row>
    <row r="448" spans="1:14" ht="15" thickBot="1" x14ac:dyDescent="0.4">
      <c r="A448" s="23" t="s">
        <v>255</v>
      </c>
      <c r="B448" s="105">
        <f t="shared" si="38"/>
        <v>0</v>
      </c>
      <c r="C448" s="23">
        <f t="shared" si="38"/>
        <v>0</v>
      </c>
      <c r="D448" s="23">
        <f t="shared" si="38"/>
        <v>0</v>
      </c>
      <c r="E448" s="23">
        <f t="shared" si="38"/>
        <v>0</v>
      </c>
      <c r="F448" s="23">
        <f t="shared" si="38"/>
        <v>0</v>
      </c>
      <c r="G448" s="153"/>
      <c r="H448" s="153"/>
      <c r="M448" s="64" t="s">
        <v>772</v>
      </c>
      <c r="N448" s="61">
        <f>SUMIFS(INDEX(detail_table[],,MATCH(M448,detail_table[#Headers],0)),detail_table[Project Type],"&lt;&gt;"&amp;"")</f>
        <v>0</v>
      </c>
    </row>
    <row r="449" spans="1:17" ht="15" thickBot="1" x14ac:dyDescent="0.4">
      <c r="A449" s="1" t="s">
        <v>309</v>
      </c>
      <c r="B449" s="105"/>
      <c r="C449" s="23"/>
      <c r="D449" s="23"/>
      <c r="E449" s="23"/>
      <c r="F449" s="23"/>
      <c r="G449" s="153"/>
      <c r="H449" s="153"/>
      <c r="M449" s="64" t="s">
        <v>773</v>
      </c>
      <c r="N449" s="61">
        <f>SUMIFS(INDEX(detail_table[],,MATCH(M449,detail_table[#Headers],0)),detail_table[Project Type],"&lt;&gt;"&amp;"")</f>
        <v>0</v>
      </c>
    </row>
    <row r="450" spans="1:17" ht="39.5" thickBot="1" x14ac:dyDescent="0.4">
      <c r="A450" s="23" t="s">
        <v>310</v>
      </c>
      <c r="B450" s="105">
        <f t="shared" ref="B450:F456" si="39">INDEX($N$2:$N$1687,MATCH($B$417&amp;" | "&amp;$A450&amp;" | "&amp;B$418,$M$2:$M$1687,0))</f>
        <v>0</v>
      </c>
      <c r="C450" s="23">
        <f t="shared" si="39"/>
        <v>0</v>
      </c>
      <c r="D450" s="23">
        <f t="shared" si="39"/>
        <v>0</v>
      </c>
      <c r="E450" s="23">
        <f t="shared" si="39"/>
        <v>0</v>
      </c>
      <c r="F450" s="23">
        <f t="shared" si="39"/>
        <v>0</v>
      </c>
      <c r="G450" s="153"/>
      <c r="H450" s="153"/>
      <c r="M450" s="64" t="s">
        <v>774</v>
      </c>
      <c r="N450" s="61">
        <f>SUMIFS(INDEX(detail_table[],,MATCH(M450,detail_table[#Headers],0)),detail_table[Project Type],"&lt;&gt;"&amp;"")</f>
        <v>0</v>
      </c>
    </row>
    <row r="451" spans="1:17" ht="15" thickBot="1" x14ac:dyDescent="0.4">
      <c r="A451" s="23" t="s">
        <v>311</v>
      </c>
      <c r="B451" s="105">
        <f t="shared" si="39"/>
        <v>0</v>
      </c>
      <c r="C451" s="23">
        <f t="shared" si="39"/>
        <v>0</v>
      </c>
      <c r="D451" s="23">
        <f t="shared" si="39"/>
        <v>0</v>
      </c>
      <c r="E451" s="23">
        <f t="shared" si="39"/>
        <v>0</v>
      </c>
      <c r="F451" s="23">
        <f t="shared" si="39"/>
        <v>0</v>
      </c>
      <c r="G451" s="153"/>
      <c r="H451" s="153"/>
      <c r="K451" s="62"/>
      <c r="M451" s="64" t="s">
        <v>775</v>
      </c>
      <c r="N451" s="61">
        <f>SUMIFS(INDEX(detail_table[],,MATCH(M451,detail_table[#Headers],0)),detail_table[Project Type],"&lt;&gt;"&amp;"")</f>
        <v>0</v>
      </c>
    </row>
    <row r="452" spans="1:17" ht="15" thickBot="1" x14ac:dyDescent="0.4">
      <c r="A452" s="23" t="s">
        <v>312</v>
      </c>
      <c r="B452" s="105">
        <f t="shared" si="39"/>
        <v>0</v>
      </c>
      <c r="C452" s="23">
        <f t="shared" si="39"/>
        <v>0</v>
      </c>
      <c r="D452" s="23">
        <f t="shared" si="39"/>
        <v>0</v>
      </c>
      <c r="E452" s="23">
        <f t="shared" si="39"/>
        <v>0</v>
      </c>
      <c r="F452" s="23">
        <f t="shared" si="39"/>
        <v>0</v>
      </c>
      <c r="G452" s="153"/>
      <c r="H452" s="153"/>
      <c r="M452" s="64" t="s">
        <v>776</v>
      </c>
      <c r="N452" s="61">
        <f>SUMIFS(INDEX(detail_table[],,MATCH(M452,detail_table[#Headers],0)),detail_table[Project Type],"&lt;&gt;"&amp;"")</f>
        <v>0</v>
      </c>
    </row>
    <row r="453" spans="1:17" ht="26.5" thickBot="1" x14ac:dyDescent="0.4">
      <c r="A453" s="23" t="s">
        <v>313</v>
      </c>
      <c r="B453" s="105">
        <f t="shared" si="39"/>
        <v>0</v>
      </c>
      <c r="C453" s="23">
        <f t="shared" si="39"/>
        <v>0</v>
      </c>
      <c r="D453" s="23">
        <f t="shared" si="39"/>
        <v>0</v>
      </c>
      <c r="E453" s="23">
        <f t="shared" si="39"/>
        <v>0</v>
      </c>
      <c r="F453" s="23">
        <f t="shared" si="39"/>
        <v>0</v>
      </c>
      <c r="G453" s="153"/>
      <c r="H453" s="153"/>
      <c r="M453" s="64" t="s">
        <v>777</v>
      </c>
      <c r="N453" s="61">
        <f>SUMIFS(INDEX(detail_table[],,MATCH(M453,detail_table[#Headers],0)),detail_table[Project Type],"&lt;&gt;"&amp;"")</f>
        <v>0</v>
      </c>
      <c r="Q453" s="62"/>
    </row>
    <row r="454" spans="1:17" ht="26.5" thickBot="1" x14ac:dyDescent="0.4">
      <c r="A454" s="23" t="s">
        <v>314</v>
      </c>
      <c r="B454" s="105">
        <f t="shared" si="39"/>
        <v>0</v>
      </c>
      <c r="C454" s="23">
        <f t="shared" si="39"/>
        <v>0</v>
      </c>
      <c r="D454" s="23">
        <f t="shared" si="39"/>
        <v>0</v>
      </c>
      <c r="E454" s="23">
        <f t="shared" si="39"/>
        <v>0</v>
      </c>
      <c r="F454" s="23">
        <f t="shared" si="39"/>
        <v>0</v>
      </c>
      <c r="G454" s="153"/>
      <c r="H454" s="153"/>
      <c r="M454" s="64" t="s">
        <v>778</v>
      </c>
      <c r="N454" s="61">
        <f>SUMIFS(INDEX(detail_table[],,MATCH(M454,detail_table[#Headers],0)),detail_table[Project Type],"&lt;&gt;"&amp;"")</f>
        <v>0</v>
      </c>
    </row>
    <row r="455" spans="1:17" ht="15" thickBot="1" x14ac:dyDescent="0.4">
      <c r="A455" s="23" t="s">
        <v>315</v>
      </c>
      <c r="B455" s="105">
        <f t="shared" si="39"/>
        <v>0</v>
      </c>
      <c r="C455" s="23">
        <f t="shared" si="39"/>
        <v>0</v>
      </c>
      <c r="D455" s="23">
        <f t="shared" si="39"/>
        <v>0</v>
      </c>
      <c r="E455" s="23">
        <f t="shared" si="39"/>
        <v>0</v>
      </c>
      <c r="F455" s="23">
        <f t="shared" si="39"/>
        <v>0</v>
      </c>
      <c r="G455" s="153"/>
      <c r="H455" s="153"/>
      <c r="M455" s="64" t="s">
        <v>779</v>
      </c>
      <c r="N455" s="61">
        <f>SUMIFS(INDEX(detail_table[],,MATCH(M455,detail_table[#Headers],0)),detail_table[Project Type],"&lt;&gt;"&amp;"")</f>
        <v>0</v>
      </c>
    </row>
    <row r="456" spans="1:17" ht="15" thickBot="1" x14ac:dyDescent="0.4">
      <c r="A456" s="1" t="s">
        <v>144</v>
      </c>
      <c r="B456" s="105">
        <f t="shared" si="39"/>
        <v>0</v>
      </c>
      <c r="C456" s="105">
        <f t="shared" si="39"/>
        <v>0</v>
      </c>
      <c r="D456" s="105">
        <f t="shared" si="39"/>
        <v>0</v>
      </c>
      <c r="E456" s="105">
        <f t="shared" si="39"/>
        <v>0</v>
      </c>
      <c r="F456" s="105">
        <f t="shared" si="39"/>
        <v>0</v>
      </c>
      <c r="G456" s="153"/>
      <c r="H456" s="153"/>
      <c r="M456" s="64" t="s">
        <v>780</v>
      </c>
      <c r="N456" s="61">
        <f>SUMIFS(INDEX(detail_table[],,MATCH(M456,detail_table[#Headers],0)),detail_table[Project Type],"&lt;&gt;"&amp;"")</f>
        <v>0</v>
      </c>
    </row>
    <row r="457" spans="1:17" x14ac:dyDescent="0.35">
      <c r="A457" s="38"/>
      <c r="B457" s="59"/>
      <c r="C457" s="59"/>
      <c r="D457" s="59"/>
      <c r="E457" s="59"/>
      <c r="F457" s="59"/>
      <c r="G457" s="153"/>
      <c r="H457" s="153"/>
      <c r="M457" s="64" t="s">
        <v>781</v>
      </c>
      <c r="N457" s="61">
        <f>SUMIFS(INDEX(detail_table[],,MATCH(M457,detail_table[#Headers],0)),detail_table[Project Type],"&lt;&gt;"&amp;"")</f>
        <v>0</v>
      </c>
    </row>
    <row r="458" spans="1:17" ht="26.5" thickBot="1" x14ac:dyDescent="0.4">
      <c r="A458" s="186" t="s">
        <v>131</v>
      </c>
      <c r="B458" s="153" t="s">
        <v>94</v>
      </c>
      <c r="C458" s="153"/>
      <c r="D458" s="153"/>
      <c r="E458" s="153"/>
      <c r="F458" s="153"/>
      <c r="G458" s="153"/>
      <c r="H458" s="153"/>
      <c r="M458" s="64" t="s">
        <v>782</v>
      </c>
      <c r="N458" s="61">
        <f>SUMIFS(INDEX(detail_table[],,MATCH(M458,detail_table[#Headers],0)),detail_table[Project Type],"&lt;&gt;"&amp;"")</f>
        <v>0</v>
      </c>
    </row>
    <row r="459" spans="1:17" ht="39.5" thickBot="1" x14ac:dyDescent="0.4">
      <c r="A459" s="118"/>
      <c r="B459" s="119" t="s">
        <v>8</v>
      </c>
      <c r="C459" s="120" t="s">
        <v>0</v>
      </c>
      <c r="D459" s="120" t="s">
        <v>1</v>
      </c>
      <c r="E459" s="120" t="s">
        <v>137</v>
      </c>
      <c r="F459" s="153"/>
      <c r="G459" s="153"/>
      <c r="H459" s="153"/>
      <c r="M459" s="64" t="s">
        <v>783</v>
      </c>
      <c r="N459" s="61">
        <f>SUMIFS(INDEX(detail_table[],,MATCH(M459,detail_table[#Headers],0)),detail_table[Project Type],"&lt;&gt;"&amp;"")</f>
        <v>0</v>
      </c>
    </row>
    <row r="460" spans="1:17" ht="26.5" thickBot="1" x14ac:dyDescent="0.4">
      <c r="A460" s="52" t="s">
        <v>329</v>
      </c>
      <c r="B460" s="107">
        <f t="shared" ref="B460:E465" si="40">INDEX($N$2:$N$1687,MATCH($B$458&amp;" | "&amp;$A460&amp;" | "&amp;B$459,$M$2:$M$1687,0))</f>
        <v>0</v>
      </c>
      <c r="C460" s="71">
        <f t="shared" si="40"/>
        <v>0</v>
      </c>
      <c r="D460" s="71">
        <f t="shared" si="40"/>
        <v>0</v>
      </c>
      <c r="E460" s="71">
        <f t="shared" si="40"/>
        <v>0</v>
      </c>
      <c r="F460" s="153"/>
      <c r="G460" s="153"/>
      <c r="H460" s="153"/>
      <c r="M460" s="64" t="s">
        <v>784</v>
      </c>
      <c r="N460" s="61">
        <f>SUMIFS(INDEX(detail_table[],,MATCH(M460,detail_table[#Headers],0)),detail_table[Project Type],"&lt;&gt;"&amp;"")</f>
        <v>0</v>
      </c>
    </row>
    <row r="461" spans="1:17" ht="26.5" thickBot="1" x14ac:dyDescent="0.4">
      <c r="A461" s="52" t="s">
        <v>330</v>
      </c>
      <c r="B461" s="107">
        <f t="shared" si="40"/>
        <v>0</v>
      </c>
      <c r="C461" s="71">
        <f t="shared" si="40"/>
        <v>0</v>
      </c>
      <c r="D461" s="71">
        <f t="shared" si="40"/>
        <v>0</v>
      </c>
      <c r="E461" s="71">
        <f t="shared" si="40"/>
        <v>0</v>
      </c>
      <c r="F461" s="153"/>
      <c r="G461" s="153"/>
      <c r="H461" s="153"/>
      <c r="M461" s="64" t="s">
        <v>785</v>
      </c>
      <c r="N461" s="61">
        <f>SUMIFS(INDEX(detail_table[],,MATCH(M461,detail_table[#Headers],0)),detail_table[Project Type],"&lt;&gt;"&amp;"")</f>
        <v>0</v>
      </c>
    </row>
    <row r="462" spans="1:17" ht="15" thickBot="1" x14ac:dyDescent="0.4">
      <c r="A462" s="52" t="s">
        <v>331</v>
      </c>
      <c r="B462" s="107">
        <f t="shared" si="40"/>
        <v>0</v>
      </c>
      <c r="C462" s="71">
        <f t="shared" si="40"/>
        <v>0</v>
      </c>
      <c r="D462" s="71">
        <f t="shared" si="40"/>
        <v>0</v>
      </c>
      <c r="E462" s="71">
        <f t="shared" si="40"/>
        <v>0</v>
      </c>
      <c r="F462" s="153"/>
      <c r="G462" s="153"/>
      <c r="H462" s="153"/>
      <c r="M462" s="64" t="s">
        <v>786</v>
      </c>
      <c r="N462" s="61">
        <f>SUMIFS(INDEX(detail_table[],,MATCH(M462,detail_table[#Headers],0)),detail_table[Project Type],"&lt;&gt;"&amp;"")</f>
        <v>0</v>
      </c>
    </row>
    <row r="463" spans="1:17" ht="26.5" thickBot="1" x14ac:dyDescent="0.4">
      <c r="A463" s="52" t="s">
        <v>343</v>
      </c>
      <c r="B463" s="107">
        <f t="shared" si="40"/>
        <v>0</v>
      </c>
      <c r="C463" s="71">
        <f t="shared" si="40"/>
        <v>0</v>
      </c>
      <c r="D463" s="71">
        <f t="shared" si="40"/>
        <v>0</v>
      </c>
      <c r="E463" s="71">
        <f t="shared" si="40"/>
        <v>0</v>
      </c>
      <c r="F463" s="153"/>
      <c r="G463" s="153"/>
      <c r="H463" s="153"/>
      <c r="M463" s="64" t="s">
        <v>787</v>
      </c>
      <c r="N463" s="61">
        <f>SUMIFS(INDEX(detail_table[],,MATCH(M463,detail_table[#Headers],0)),detail_table[Project Type],"&lt;&gt;"&amp;"")</f>
        <v>0</v>
      </c>
    </row>
    <row r="464" spans="1:17" ht="15" thickBot="1" x14ac:dyDescent="0.4">
      <c r="A464" s="52" t="s">
        <v>332</v>
      </c>
      <c r="B464" s="107">
        <f t="shared" si="40"/>
        <v>0</v>
      </c>
      <c r="C464" s="71">
        <f t="shared" si="40"/>
        <v>0</v>
      </c>
      <c r="D464" s="71">
        <f t="shared" si="40"/>
        <v>0</v>
      </c>
      <c r="E464" s="71">
        <f t="shared" si="40"/>
        <v>0</v>
      </c>
      <c r="F464" s="153"/>
      <c r="G464" s="153"/>
      <c r="H464" s="153"/>
      <c r="M464" s="64" t="s">
        <v>788</v>
      </c>
      <c r="N464" s="61">
        <f>SUMIFS(INDEX(detail_table[],,MATCH(M464,detail_table[#Headers],0)),detail_table[Project Type],"&lt;&gt;"&amp;"")</f>
        <v>0</v>
      </c>
    </row>
    <row r="465" spans="1:18" ht="15" thickBot="1" x14ac:dyDescent="0.4">
      <c r="A465" s="2" t="s">
        <v>333</v>
      </c>
      <c r="B465" s="107">
        <f t="shared" si="40"/>
        <v>0</v>
      </c>
      <c r="C465" s="107">
        <f t="shared" si="40"/>
        <v>0</v>
      </c>
      <c r="D465" s="107">
        <f t="shared" si="40"/>
        <v>0</v>
      </c>
      <c r="E465" s="107">
        <f t="shared" si="40"/>
        <v>0</v>
      </c>
      <c r="F465" s="153"/>
      <c r="G465" s="153"/>
      <c r="H465" s="153"/>
      <c r="M465" s="64" t="s">
        <v>789</v>
      </c>
      <c r="N465" s="61">
        <f>SUMIFS(INDEX(detail_table[],,MATCH(M465,detail_table[#Headers],0)),detail_table[Project Type],"&lt;&gt;"&amp;"")</f>
        <v>0</v>
      </c>
    </row>
    <row r="466" spans="1:18" x14ac:dyDescent="0.35">
      <c r="A466" s="60"/>
      <c r="B466" s="59"/>
      <c r="C466" s="59"/>
      <c r="D466" s="59"/>
      <c r="E466" s="59"/>
      <c r="F466" s="194"/>
      <c r="G466" s="153"/>
      <c r="H466" s="153"/>
      <c r="M466" s="64" t="s">
        <v>790</v>
      </c>
      <c r="N466" s="61">
        <f>SUMIFS(INDEX(detail_table[],,MATCH(M466,detail_table[#Headers],0)),detail_table[Project Type],"&lt;&gt;"&amp;"")</f>
        <v>0</v>
      </c>
    </row>
    <row r="467" spans="1:18" ht="39.5" thickBot="1" x14ac:dyDescent="0.4">
      <c r="A467" s="186" t="s">
        <v>132</v>
      </c>
      <c r="B467" s="153" t="s">
        <v>345</v>
      </c>
      <c r="C467" s="153"/>
      <c r="D467" s="153"/>
      <c r="E467" s="153"/>
      <c r="F467" s="153"/>
      <c r="G467" s="153"/>
      <c r="H467" s="153"/>
      <c r="M467" s="64" t="s">
        <v>791</v>
      </c>
      <c r="N467" s="61">
        <f>SUMIFS(INDEX(detail_table[],,MATCH(M467,detail_table[#Headers],0)),detail_table[Project Type],"&lt;&gt;"&amp;"")</f>
        <v>0</v>
      </c>
    </row>
    <row r="468" spans="1:18" ht="52.5" thickBot="1" x14ac:dyDescent="0.4">
      <c r="A468" s="118"/>
      <c r="B468" s="119" t="s">
        <v>8</v>
      </c>
      <c r="C468" s="120" t="s">
        <v>0</v>
      </c>
      <c r="D468" s="120" t="s">
        <v>1</v>
      </c>
      <c r="E468" s="119" t="s">
        <v>2</v>
      </c>
      <c r="F468" s="120" t="s">
        <v>3</v>
      </c>
      <c r="G468" s="153"/>
      <c r="H468" s="153"/>
      <c r="M468" s="64" t="s">
        <v>792</v>
      </c>
      <c r="N468" s="61">
        <f>SUMIFS(INDEX(detail_table[],,MATCH(M468,detail_table[#Headers],0)),detail_table[Project Type],"&lt;&gt;"&amp;"")</f>
        <v>0</v>
      </c>
    </row>
    <row r="469" spans="1:18" ht="26.5" thickBot="1" x14ac:dyDescent="0.4">
      <c r="A469" s="52" t="s">
        <v>334</v>
      </c>
      <c r="B469" s="107">
        <f t="shared" ref="B469:F473" si="41">INDEX($N$2:$N$1687,MATCH($B$467&amp;" | "&amp;$A469&amp;" | "&amp;B$468,$M$2:$M$1687,0))</f>
        <v>0</v>
      </c>
      <c r="C469" s="71">
        <f t="shared" si="41"/>
        <v>0</v>
      </c>
      <c r="D469" s="71">
        <f t="shared" si="41"/>
        <v>0</v>
      </c>
      <c r="E469" s="71">
        <f t="shared" si="41"/>
        <v>0</v>
      </c>
      <c r="F469" s="71">
        <f t="shared" si="41"/>
        <v>0</v>
      </c>
      <c r="G469" s="153"/>
      <c r="H469" s="153"/>
      <c r="M469" s="64" t="s">
        <v>793</v>
      </c>
      <c r="N469" s="61">
        <f>SUMIFS(INDEX(detail_table[],,MATCH(M469,detail_table[#Headers],0)),detail_table[Project Type],"&lt;&gt;"&amp;"")</f>
        <v>0</v>
      </c>
    </row>
    <row r="470" spans="1:18" ht="26.5" thickBot="1" x14ac:dyDescent="0.4">
      <c r="A470" s="52" t="s">
        <v>335</v>
      </c>
      <c r="B470" s="107">
        <f t="shared" si="41"/>
        <v>0</v>
      </c>
      <c r="C470" s="71">
        <f t="shared" si="41"/>
        <v>0</v>
      </c>
      <c r="D470" s="71">
        <f t="shared" si="41"/>
        <v>0</v>
      </c>
      <c r="E470" s="71">
        <f t="shared" si="41"/>
        <v>0</v>
      </c>
      <c r="F470" s="71">
        <f t="shared" si="41"/>
        <v>0</v>
      </c>
      <c r="G470" s="194"/>
      <c r="H470" s="194"/>
      <c r="M470" s="64" t="s">
        <v>794</v>
      </c>
      <c r="N470" s="61">
        <f>SUMIFS(INDEX(detail_table[],,MATCH(M470,detail_table[#Headers],0)),detail_table[Project Type],"&lt;&gt;"&amp;"")</f>
        <v>0</v>
      </c>
    </row>
    <row r="471" spans="1:18" ht="26.5" thickBot="1" x14ac:dyDescent="0.4">
      <c r="A471" s="52" t="s">
        <v>2100</v>
      </c>
      <c r="B471" s="107">
        <f t="shared" si="41"/>
        <v>0</v>
      </c>
      <c r="C471" s="71">
        <f t="shared" si="41"/>
        <v>0</v>
      </c>
      <c r="D471" s="71">
        <f t="shared" si="41"/>
        <v>0</v>
      </c>
      <c r="E471" s="71">
        <f t="shared" si="41"/>
        <v>0</v>
      </c>
      <c r="F471" s="71">
        <f t="shared" si="41"/>
        <v>0</v>
      </c>
      <c r="G471" s="153"/>
      <c r="H471" s="153"/>
      <c r="M471" s="64" t="s">
        <v>795</v>
      </c>
      <c r="N471" s="61">
        <f>SUMIFS(INDEX(detail_table[],,MATCH(M471,detail_table[#Headers],0)),detail_table[Project Type],"&lt;&gt;"&amp;"")</f>
        <v>0</v>
      </c>
    </row>
    <row r="472" spans="1:18" ht="15" thickBot="1" x14ac:dyDescent="0.4">
      <c r="A472" s="52" t="s">
        <v>373</v>
      </c>
      <c r="B472" s="107">
        <f t="shared" si="41"/>
        <v>0</v>
      </c>
      <c r="C472" s="71">
        <f t="shared" si="41"/>
        <v>0</v>
      </c>
      <c r="D472" s="71">
        <f t="shared" si="41"/>
        <v>0</v>
      </c>
      <c r="E472" s="71">
        <f t="shared" si="41"/>
        <v>0</v>
      </c>
      <c r="F472" s="71">
        <f t="shared" si="41"/>
        <v>0</v>
      </c>
      <c r="G472" s="153"/>
      <c r="H472" s="153"/>
      <c r="M472" s="64" t="s">
        <v>796</v>
      </c>
      <c r="N472" s="61">
        <f>SUMIFS(INDEX(detail_table[],,MATCH(M472,detail_table[#Headers],0)),detail_table[Project Type],"&lt;&gt;"&amp;"")</f>
        <v>0</v>
      </c>
    </row>
    <row r="473" spans="1:18" ht="15" thickBot="1" x14ac:dyDescent="0.4">
      <c r="A473" s="2" t="s">
        <v>144</v>
      </c>
      <c r="B473" s="107">
        <f t="shared" si="41"/>
        <v>0</v>
      </c>
      <c r="C473" s="107">
        <f t="shared" si="41"/>
        <v>0</v>
      </c>
      <c r="D473" s="107">
        <f t="shared" si="41"/>
        <v>0</v>
      </c>
      <c r="E473" s="107">
        <f t="shared" si="41"/>
        <v>0</v>
      </c>
      <c r="F473" s="107">
        <f t="shared" si="41"/>
        <v>0</v>
      </c>
      <c r="G473" s="153"/>
      <c r="H473" s="153"/>
      <c r="M473" s="64" t="s">
        <v>797</v>
      </c>
      <c r="N473" s="61">
        <f>SUMIFS(INDEX(detail_table[],,MATCH(M473,detail_table[#Headers],0)),detail_table[Project Type],"&lt;&gt;"&amp;"")</f>
        <v>0</v>
      </c>
    </row>
    <row r="474" spans="1:18" x14ac:dyDescent="0.35">
      <c r="G474" s="151"/>
      <c r="H474" s="151"/>
      <c r="M474" s="64" t="s">
        <v>798</v>
      </c>
      <c r="N474" s="61">
        <f>SUMIFS(INDEX(detail_table[],,MATCH(M474,detail_table[#Headers],0)),detail_table[Project Type],"&lt;&gt;"&amp;"")</f>
        <v>0</v>
      </c>
    </row>
    <row r="475" spans="1:18" x14ac:dyDescent="0.35">
      <c r="M475" s="64" t="s">
        <v>799</v>
      </c>
      <c r="N475" s="61">
        <f>SUMIFS(INDEX(detail_table[],,MATCH(M475,detail_table[#Headers],0)),detail_table[Project Type],"&lt;&gt;"&amp;"")</f>
        <v>0</v>
      </c>
      <c r="R475" s="62"/>
    </row>
    <row r="476" spans="1:18" x14ac:dyDescent="0.35">
      <c r="M476" s="64" t="s">
        <v>800</v>
      </c>
      <c r="N476" s="61">
        <f>SUMIFS(INDEX(detail_table[],,MATCH(M476,detail_table[#Headers],0)),detail_table[Project Type],"&lt;&gt;"&amp;"")</f>
        <v>0</v>
      </c>
    </row>
    <row r="477" spans="1:18" x14ac:dyDescent="0.35">
      <c r="J477" s="62"/>
      <c r="M477" s="64" t="s">
        <v>801</v>
      </c>
      <c r="N477" s="61">
        <f>SUMIFS(INDEX(detail_table[],,MATCH(M477,detail_table[#Headers],0)),detail_table[Project Type],"&lt;&gt;"&amp;"")</f>
        <v>0</v>
      </c>
    </row>
    <row r="478" spans="1:18" x14ac:dyDescent="0.35">
      <c r="M478" s="64" t="s">
        <v>802</v>
      </c>
      <c r="N478" s="61">
        <f>SUMIFS(INDEX(detail_table[],,MATCH(M478,detail_table[#Headers],0)),detail_table[Project Type],"&lt;&gt;"&amp;"")</f>
        <v>0</v>
      </c>
    </row>
    <row r="479" spans="1:18" x14ac:dyDescent="0.35">
      <c r="M479" s="64" t="s">
        <v>803</v>
      </c>
      <c r="N479" s="61">
        <f>SUMIFS(INDEX(detail_table[],,MATCH(M479,detail_table[#Headers],0)),detail_table[Project Type],"&lt;&gt;"&amp;"")</f>
        <v>0</v>
      </c>
    </row>
    <row r="480" spans="1:18" x14ac:dyDescent="0.35">
      <c r="M480" s="64" t="s">
        <v>804</v>
      </c>
      <c r="N480" s="61">
        <f>SUMIFS(INDEX(detail_table[],,MATCH(M480,detail_table[#Headers],0)),detail_table[Project Type],"&lt;&gt;"&amp;"")</f>
        <v>0</v>
      </c>
    </row>
    <row r="481" spans="1:18" x14ac:dyDescent="0.35">
      <c r="M481" s="64" t="s">
        <v>805</v>
      </c>
      <c r="N481" s="61">
        <f>SUMIFS(INDEX(detail_table[],,MATCH(M481,detail_table[#Headers],0)),detail_table[Project Type],"&lt;&gt;"&amp;"")</f>
        <v>0</v>
      </c>
    </row>
    <row r="482" spans="1:18" x14ac:dyDescent="0.35">
      <c r="M482" s="64" t="s">
        <v>806</v>
      </c>
      <c r="N482" s="61">
        <f>SUMIFS(INDEX(detail_table[],,MATCH(M482,detail_table[#Headers],0)),detail_table[Project Type],"&lt;&gt;"&amp;"")</f>
        <v>0</v>
      </c>
    </row>
    <row r="483" spans="1:18" x14ac:dyDescent="0.35">
      <c r="M483" s="64" t="s">
        <v>807</v>
      </c>
      <c r="N483" s="61">
        <f>SUMIFS(INDEX(detail_table[],,MATCH(M483,detail_table[#Headers],0)),detail_table[Project Type],"&lt;&gt;"&amp;"")</f>
        <v>0</v>
      </c>
    </row>
    <row r="484" spans="1:18" x14ac:dyDescent="0.35">
      <c r="I484" s="62"/>
      <c r="M484" s="64" t="s">
        <v>808</v>
      </c>
      <c r="N484" s="61">
        <f>SUMIFS(INDEX(detail_table[],,MATCH(M484,detail_table[#Headers],0)),detail_table[Project Type],"&lt;&gt;"&amp;"")</f>
        <v>0</v>
      </c>
    </row>
    <row r="485" spans="1:18" s="62" customFormat="1" x14ac:dyDescent="0.35">
      <c r="A485" s="61"/>
      <c r="B485" s="61"/>
      <c r="C485" s="61"/>
      <c r="D485" s="61"/>
      <c r="E485" s="61"/>
      <c r="F485" s="61"/>
      <c r="G485" s="61"/>
      <c r="H485" s="61"/>
      <c r="I485" s="61"/>
      <c r="J485" s="61"/>
      <c r="K485" s="61"/>
      <c r="L485" s="61"/>
      <c r="M485" s="64" t="s">
        <v>809</v>
      </c>
      <c r="N485" s="61">
        <f>SUMIFS(INDEX(detail_table[],,MATCH(M485,detail_table[#Headers],0)),detail_table[Project Type],"&lt;&gt;"&amp;"")</f>
        <v>0</v>
      </c>
      <c r="O485" s="61"/>
      <c r="P485" s="61"/>
      <c r="Q485" s="61"/>
      <c r="R485" s="61"/>
    </row>
    <row r="486" spans="1:18" x14ac:dyDescent="0.35">
      <c r="M486" s="64" t="s">
        <v>810</v>
      </c>
      <c r="N486" s="61">
        <f>SUMIFS(INDEX(detail_table[],,MATCH(M486,detail_table[#Headers],0)),detail_table[Project Type],"&lt;&gt;"&amp;"")</f>
        <v>0</v>
      </c>
    </row>
    <row r="487" spans="1:18" x14ac:dyDescent="0.35">
      <c r="M487" s="64" t="s">
        <v>811</v>
      </c>
      <c r="N487" s="61">
        <f>SUMIFS(INDEX(detail_table[],,MATCH(M487,detail_table[#Headers],0)),detail_table[Project Type],"&lt;&gt;"&amp;"")</f>
        <v>0</v>
      </c>
    </row>
    <row r="488" spans="1:18" x14ac:dyDescent="0.35">
      <c r="M488" s="64" t="s">
        <v>812</v>
      </c>
      <c r="N488" s="61">
        <f>SUMIFS(INDEX(detail_table[],,MATCH(M488,detail_table[#Headers],0)),detail_table[Project Type],"&lt;&gt;"&amp;"")</f>
        <v>0</v>
      </c>
    </row>
    <row r="489" spans="1:18" x14ac:dyDescent="0.35">
      <c r="M489" s="64" t="s">
        <v>813</v>
      </c>
      <c r="N489" s="61">
        <f>SUMIFS(INDEX(detail_table[],,MATCH(M489,detail_table[#Headers],0)),detail_table[Project Type],"&lt;&gt;"&amp;"")</f>
        <v>0</v>
      </c>
    </row>
    <row r="490" spans="1:18" x14ac:dyDescent="0.35">
      <c r="M490" s="64" t="s">
        <v>814</v>
      </c>
      <c r="N490" s="61">
        <f>SUMIFS(INDEX(detail_table[],,MATCH(M490,detail_table[#Headers],0)),detail_table[Project Type],"&lt;&gt;"&amp;"")</f>
        <v>0</v>
      </c>
    </row>
    <row r="491" spans="1:18" x14ac:dyDescent="0.35">
      <c r="M491" s="64" t="s">
        <v>815</v>
      </c>
      <c r="N491" s="61">
        <f>SUMIFS(INDEX(detail_table[],,MATCH(M491,detail_table[#Headers],0)),detail_table[Project Type],"&lt;&gt;"&amp;"")</f>
        <v>0</v>
      </c>
    </row>
    <row r="492" spans="1:18" x14ac:dyDescent="0.35">
      <c r="M492" s="64" t="s">
        <v>816</v>
      </c>
      <c r="N492" s="61">
        <f>SUMIFS(INDEX(detail_table[],,MATCH(M492,detail_table[#Headers],0)),detail_table[Project Type],"&lt;&gt;"&amp;"")</f>
        <v>0</v>
      </c>
    </row>
    <row r="493" spans="1:18" x14ac:dyDescent="0.35">
      <c r="M493" s="64" t="s">
        <v>817</v>
      </c>
      <c r="N493" s="61">
        <f>SUMIFS(INDEX(detail_table[],,MATCH(M493,detail_table[#Headers],0)),detail_table[Project Type],"&lt;&gt;"&amp;"")</f>
        <v>0</v>
      </c>
    </row>
    <row r="494" spans="1:18" x14ac:dyDescent="0.35">
      <c r="M494" s="64" t="s">
        <v>818</v>
      </c>
      <c r="N494" s="61">
        <f>SUMIFS(INDEX(detail_table[],,MATCH(M494,detail_table[#Headers],0)),detail_table[Project Type],"&lt;&gt;"&amp;"")</f>
        <v>0</v>
      </c>
    </row>
    <row r="495" spans="1:18" x14ac:dyDescent="0.35">
      <c r="M495" s="64" t="s">
        <v>819</v>
      </c>
      <c r="N495" s="61">
        <f>SUMIFS(INDEX(detail_table[],,MATCH(M495,detail_table[#Headers],0)),detail_table[Project Type],"&lt;&gt;"&amp;"")</f>
        <v>0</v>
      </c>
    </row>
    <row r="496" spans="1:18" x14ac:dyDescent="0.35">
      <c r="M496" s="64" t="s">
        <v>820</v>
      </c>
      <c r="N496" s="61">
        <f>SUMIFS(INDEX(detail_table[],,MATCH(M496,detail_table[#Headers],0)),detail_table[Project Type],"&lt;&gt;"&amp;"")</f>
        <v>0</v>
      </c>
    </row>
    <row r="497" spans="13:14" x14ac:dyDescent="0.35">
      <c r="M497" s="64" t="s">
        <v>821</v>
      </c>
      <c r="N497" s="61">
        <f>SUMIFS(INDEX(detail_table[],,MATCH(M497,detail_table[#Headers],0)),detail_table[Project Type],"&lt;&gt;"&amp;"")</f>
        <v>0</v>
      </c>
    </row>
    <row r="498" spans="13:14" x14ac:dyDescent="0.35">
      <c r="M498" s="64" t="s">
        <v>822</v>
      </c>
      <c r="N498" s="61">
        <f>SUMIFS(INDEX(detail_table[],,MATCH(M498,detail_table[#Headers],0)),detail_table[Project Type],"&lt;&gt;"&amp;"")</f>
        <v>0</v>
      </c>
    </row>
    <row r="499" spans="13:14" x14ac:dyDescent="0.35">
      <c r="M499" s="64" t="s">
        <v>823</v>
      </c>
      <c r="N499" s="61">
        <f>SUMIFS(INDEX(detail_table[],,MATCH(M499,detail_table[#Headers],0)),detail_table[Project Type],"&lt;&gt;"&amp;"")</f>
        <v>0</v>
      </c>
    </row>
    <row r="500" spans="13:14" x14ac:dyDescent="0.35">
      <c r="M500" s="64" t="s">
        <v>824</v>
      </c>
      <c r="N500" s="61">
        <f>SUMIFS(INDEX(detail_table[],,MATCH(M500,detail_table[#Headers],0)),detail_table[Project Type],"&lt;&gt;"&amp;"")</f>
        <v>0</v>
      </c>
    </row>
    <row r="501" spans="13:14" x14ac:dyDescent="0.35">
      <c r="M501" s="64" t="s">
        <v>825</v>
      </c>
      <c r="N501" s="61">
        <f>SUMIFS(INDEX(detail_table[],,MATCH(M501,detail_table[#Headers],0)),detail_table[Project Type],"&lt;&gt;"&amp;"")</f>
        <v>0</v>
      </c>
    </row>
    <row r="502" spans="13:14" x14ac:dyDescent="0.35">
      <c r="M502" s="64" t="s">
        <v>826</v>
      </c>
      <c r="N502" s="61">
        <f>SUMIFS(INDEX(detail_table[],,MATCH(M502,detail_table[#Headers],0)),detail_table[Project Type],"&lt;&gt;"&amp;"")</f>
        <v>0</v>
      </c>
    </row>
    <row r="503" spans="13:14" x14ac:dyDescent="0.35">
      <c r="M503" s="64" t="s">
        <v>827</v>
      </c>
      <c r="N503" s="61">
        <f>SUMIFS(INDEX(detail_table[],,MATCH(M503,detail_table[#Headers],0)),detail_table[Project Type],"&lt;&gt;"&amp;"")</f>
        <v>0</v>
      </c>
    </row>
    <row r="504" spans="13:14" x14ac:dyDescent="0.35">
      <c r="M504" s="64" t="s">
        <v>828</v>
      </c>
      <c r="N504" s="61">
        <f>SUMIFS(INDEX(detail_table[],,MATCH(M504,detail_table[#Headers],0)),detail_table[Project Type],"&lt;&gt;"&amp;"")</f>
        <v>0</v>
      </c>
    </row>
    <row r="505" spans="13:14" x14ac:dyDescent="0.35">
      <c r="M505" s="64" t="s">
        <v>829</v>
      </c>
      <c r="N505" s="61">
        <f>SUMIFS(INDEX(detail_table[],,MATCH(M505,detail_table[#Headers],0)),detail_table[Project Type],"&lt;&gt;"&amp;"")</f>
        <v>0</v>
      </c>
    </row>
    <row r="506" spans="13:14" x14ac:dyDescent="0.35">
      <c r="M506" s="64" t="s">
        <v>830</v>
      </c>
      <c r="N506" s="61">
        <f>SUMIFS(INDEX(detail_table[],,MATCH(M506,detail_table[#Headers],0)),detail_table[Project Type],"&lt;&gt;"&amp;"")</f>
        <v>0</v>
      </c>
    </row>
    <row r="507" spans="13:14" x14ac:dyDescent="0.35">
      <c r="M507" s="64" t="s">
        <v>831</v>
      </c>
      <c r="N507" s="61">
        <f>SUMIFS(INDEX(detail_table[],,MATCH(M507,detail_table[#Headers],0)),detail_table[Project Type],"&lt;&gt;"&amp;"")</f>
        <v>0</v>
      </c>
    </row>
    <row r="508" spans="13:14" x14ac:dyDescent="0.35">
      <c r="M508" s="64" t="s">
        <v>832</v>
      </c>
      <c r="N508" s="61">
        <f>SUMIFS(INDEX(detail_table[],,MATCH(M508,detail_table[#Headers],0)),detail_table[Project Type],"&lt;&gt;"&amp;"")</f>
        <v>0</v>
      </c>
    </row>
    <row r="509" spans="13:14" x14ac:dyDescent="0.35">
      <c r="M509" s="64" t="s">
        <v>833</v>
      </c>
      <c r="N509" s="61">
        <f>SUMIFS(INDEX(detail_table[],,MATCH(M509,detail_table[#Headers],0)),detail_table[Project Type],"&lt;&gt;"&amp;"")</f>
        <v>0</v>
      </c>
    </row>
    <row r="510" spans="13:14" x14ac:dyDescent="0.35">
      <c r="M510" s="64" t="s">
        <v>834</v>
      </c>
      <c r="N510" s="61">
        <f>SUMIFS(INDEX(detail_table[],,MATCH(M510,detail_table[#Headers],0)),detail_table[Project Type],"&lt;&gt;"&amp;"")</f>
        <v>0</v>
      </c>
    </row>
    <row r="511" spans="13:14" x14ac:dyDescent="0.35">
      <c r="M511" s="64" t="s">
        <v>835</v>
      </c>
      <c r="N511" s="61">
        <f>SUMIFS(INDEX(detail_table[],,MATCH(M511,detail_table[#Headers],0)),detail_table[Project Type],"&lt;&gt;"&amp;"")</f>
        <v>0</v>
      </c>
    </row>
    <row r="512" spans="13:14" x14ac:dyDescent="0.35">
      <c r="M512" s="64" t="s">
        <v>836</v>
      </c>
      <c r="N512" s="61">
        <f>SUMIFS(INDEX(detail_table[],,MATCH(M512,detail_table[#Headers],0)),detail_table[Project Type],"&lt;&gt;"&amp;"")</f>
        <v>0</v>
      </c>
    </row>
    <row r="513" spans="13:14" x14ac:dyDescent="0.35">
      <c r="M513" s="64" t="s">
        <v>837</v>
      </c>
      <c r="N513" s="61">
        <f>SUMIFS(INDEX(detail_table[],,MATCH(M513,detail_table[#Headers],0)),detail_table[Project Type],"&lt;&gt;"&amp;"")</f>
        <v>0</v>
      </c>
    </row>
    <row r="514" spans="13:14" x14ac:dyDescent="0.35">
      <c r="M514" s="64" t="s">
        <v>838</v>
      </c>
      <c r="N514" s="61">
        <f>SUMIFS(INDEX(detail_table[],,MATCH(M514,detail_table[#Headers],0)),detail_table[Project Type],"&lt;&gt;"&amp;"")</f>
        <v>0</v>
      </c>
    </row>
    <row r="515" spans="13:14" x14ac:dyDescent="0.35">
      <c r="M515" s="64" t="s">
        <v>839</v>
      </c>
      <c r="N515" s="61">
        <f>SUMIFS(INDEX(detail_table[],,MATCH(M515,detail_table[#Headers],0)),detail_table[Project Type],"&lt;&gt;"&amp;"")</f>
        <v>0</v>
      </c>
    </row>
    <row r="516" spans="13:14" x14ac:dyDescent="0.35">
      <c r="M516" s="64" t="s">
        <v>840</v>
      </c>
      <c r="N516" s="61">
        <f>SUMIFS(INDEX(detail_table[],,MATCH(M516,detail_table[#Headers],0)),detail_table[Project Type],"&lt;&gt;"&amp;"")</f>
        <v>0</v>
      </c>
    </row>
    <row r="517" spans="13:14" x14ac:dyDescent="0.35">
      <c r="M517" s="64" t="s">
        <v>841</v>
      </c>
      <c r="N517" s="61">
        <f>SUMIFS(INDEX(detail_table[],,MATCH(M517,detail_table[#Headers],0)),detail_table[Project Type],"&lt;&gt;"&amp;"")</f>
        <v>0</v>
      </c>
    </row>
    <row r="518" spans="13:14" x14ac:dyDescent="0.35">
      <c r="M518" s="64" t="s">
        <v>842</v>
      </c>
      <c r="N518" s="61">
        <f>SUMIFS(INDEX(detail_table[],,MATCH(M518,detail_table[#Headers],0)),detail_table[Project Type],"&lt;&gt;"&amp;"")</f>
        <v>0</v>
      </c>
    </row>
    <row r="519" spans="13:14" x14ac:dyDescent="0.35">
      <c r="M519" s="64" t="s">
        <v>843</v>
      </c>
      <c r="N519" s="61">
        <f>SUMIFS(INDEX(detail_table[],,MATCH(M519,detail_table[#Headers],0)),detail_table[Project Type],"&lt;&gt;"&amp;"")</f>
        <v>0</v>
      </c>
    </row>
    <row r="520" spans="13:14" x14ac:dyDescent="0.35">
      <c r="M520" s="64" t="s">
        <v>844</v>
      </c>
      <c r="N520" s="61">
        <f>SUMIFS(INDEX(detail_table[],,MATCH(M520,detail_table[#Headers],0)),detail_table[Project Type],"&lt;&gt;"&amp;"")</f>
        <v>0</v>
      </c>
    </row>
    <row r="521" spans="13:14" x14ac:dyDescent="0.35">
      <c r="M521" s="64" t="s">
        <v>845</v>
      </c>
      <c r="N521" s="61">
        <f>SUMIFS(INDEX(detail_table[],,MATCH(M521,detail_table[#Headers],0)),detail_table[Project Type],"&lt;&gt;"&amp;"")</f>
        <v>0</v>
      </c>
    </row>
    <row r="522" spans="13:14" x14ac:dyDescent="0.35">
      <c r="M522" s="64" t="s">
        <v>846</v>
      </c>
      <c r="N522" s="61">
        <f>SUMIFS(INDEX(detail_table[],,MATCH(M522,detail_table[#Headers],0)),detail_table[Project Type],"&lt;&gt;"&amp;"")</f>
        <v>0</v>
      </c>
    </row>
    <row r="523" spans="13:14" x14ac:dyDescent="0.35">
      <c r="M523" s="64" t="s">
        <v>847</v>
      </c>
      <c r="N523" s="61">
        <f>SUMIFS(INDEX(detail_table[],,MATCH(M523,detail_table[#Headers],0)),detail_table[Project Type],"&lt;&gt;"&amp;"")</f>
        <v>0</v>
      </c>
    </row>
    <row r="524" spans="13:14" x14ac:dyDescent="0.35">
      <c r="M524" s="64" t="s">
        <v>848</v>
      </c>
      <c r="N524" s="61">
        <f>SUMIFS(INDEX(detail_table[],,MATCH(M524,detail_table[#Headers],0)),detail_table[Project Type],"&lt;&gt;"&amp;"")</f>
        <v>0</v>
      </c>
    </row>
    <row r="525" spans="13:14" x14ac:dyDescent="0.35">
      <c r="M525" s="64" t="s">
        <v>849</v>
      </c>
      <c r="N525" s="61">
        <f>SUMIFS(INDEX(detail_table[],,MATCH(M525,detail_table[#Headers],0)),detail_table[Project Type],"&lt;&gt;"&amp;"")</f>
        <v>0</v>
      </c>
    </row>
    <row r="526" spans="13:14" x14ac:dyDescent="0.35">
      <c r="M526" s="64" t="s">
        <v>850</v>
      </c>
      <c r="N526" s="61">
        <f>SUMIFS(INDEX(detail_table[],,MATCH(M526,detail_table[#Headers],0)),detail_table[Project Type],"&lt;&gt;"&amp;"")</f>
        <v>0</v>
      </c>
    </row>
    <row r="527" spans="13:14" x14ac:dyDescent="0.35">
      <c r="M527" s="64" t="s">
        <v>851</v>
      </c>
      <c r="N527" s="61">
        <f>SUMIFS(INDEX(detail_table[],,MATCH(M527,detail_table[#Headers],0)),detail_table[Project Type],"&lt;&gt;"&amp;"")</f>
        <v>0</v>
      </c>
    </row>
    <row r="528" spans="13:14" x14ac:dyDescent="0.35">
      <c r="M528" s="64" t="s">
        <v>852</v>
      </c>
      <c r="N528" s="61">
        <f>SUMIFS(INDEX(detail_table[],,MATCH(M528,detail_table[#Headers],0)),detail_table[Project Type],"&lt;&gt;"&amp;"")</f>
        <v>0</v>
      </c>
    </row>
    <row r="529" spans="13:14" x14ac:dyDescent="0.35">
      <c r="M529" s="64" t="s">
        <v>853</v>
      </c>
      <c r="N529" s="61">
        <f>SUMIFS(INDEX(detail_table[],,MATCH(M529,detail_table[#Headers],0)),detail_table[Project Type],"&lt;&gt;"&amp;"")</f>
        <v>0</v>
      </c>
    </row>
    <row r="530" spans="13:14" x14ac:dyDescent="0.35">
      <c r="M530" s="64" t="s">
        <v>854</v>
      </c>
      <c r="N530" s="61">
        <f>SUMIFS(INDEX(detail_table[],,MATCH(M530,detail_table[#Headers],0)),detail_table[Project Type],"&lt;&gt;"&amp;"")</f>
        <v>0</v>
      </c>
    </row>
    <row r="531" spans="13:14" x14ac:dyDescent="0.35">
      <c r="M531" s="64" t="s">
        <v>855</v>
      </c>
      <c r="N531" s="61">
        <f>SUMIFS(INDEX(detail_table[],,MATCH(M531,detail_table[#Headers],0)),detail_table[Project Type],"&lt;&gt;"&amp;"")</f>
        <v>0</v>
      </c>
    </row>
    <row r="532" spans="13:14" x14ac:dyDescent="0.35">
      <c r="M532" s="64" t="s">
        <v>856</v>
      </c>
      <c r="N532" s="61">
        <f>SUMIFS(INDEX(detail_table[],,MATCH(M532,detail_table[#Headers],0)),detail_table[Project Type],"&lt;&gt;"&amp;"")</f>
        <v>0</v>
      </c>
    </row>
    <row r="533" spans="13:14" x14ac:dyDescent="0.35">
      <c r="M533" s="64" t="s">
        <v>857</v>
      </c>
      <c r="N533" s="61">
        <f>SUMIFS(INDEX(detail_table[],,MATCH(M533,detail_table[#Headers],0)),detail_table[Project Type],"&lt;&gt;"&amp;"")</f>
        <v>0</v>
      </c>
    </row>
    <row r="534" spans="13:14" x14ac:dyDescent="0.35">
      <c r="M534" s="64" t="s">
        <v>858</v>
      </c>
      <c r="N534" s="61">
        <f>SUMIFS(INDEX(detail_table[],,MATCH(M534,detail_table[#Headers],0)),detail_table[Project Type],"&lt;&gt;"&amp;"")</f>
        <v>0</v>
      </c>
    </row>
    <row r="535" spans="13:14" x14ac:dyDescent="0.35">
      <c r="M535" s="64" t="s">
        <v>859</v>
      </c>
      <c r="N535" s="61">
        <f>SUMIFS(INDEX(detail_table[],,MATCH(M535,detail_table[#Headers],0)),detail_table[Project Type],"&lt;&gt;"&amp;"")</f>
        <v>0</v>
      </c>
    </row>
    <row r="536" spans="13:14" x14ac:dyDescent="0.35">
      <c r="M536" s="64" t="s">
        <v>860</v>
      </c>
      <c r="N536" s="61">
        <f>SUMIFS(INDEX(detail_table[],,MATCH(M536,detail_table[#Headers],0)),detail_table[Project Type],"&lt;&gt;"&amp;"")</f>
        <v>0</v>
      </c>
    </row>
    <row r="537" spans="13:14" x14ac:dyDescent="0.35">
      <c r="M537" s="64" t="s">
        <v>861</v>
      </c>
      <c r="N537" s="61">
        <f>SUMIFS(INDEX(detail_table[],,MATCH(M537,detail_table[#Headers],0)),detail_table[Project Type],"&lt;&gt;"&amp;"")</f>
        <v>0</v>
      </c>
    </row>
    <row r="538" spans="13:14" x14ac:dyDescent="0.35">
      <c r="M538" s="64" t="s">
        <v>862</v>
      </c>
      <c r="N538" s="61">
        <f>SUMIFS(INDEX(detail_table[],,MATCH(M538,detail_table[#Headers],0)),detail_table[Project Type],"&lt;&gt;"&amp;"")</f>
        <v>0</v>
      </c>
    </row>
    <row r="539" spans="13:14" x14ac:dyDescent="0.35">
      <c r="M539" s="64" t="s">
        <v>863</v>
      </c>
      <c r="N539" s="61">
        <f>SUMIFS(INDEX(detail_table[],,MATCH(M539,detail_table[#Headers],0)),detail_table[Project Type],"&lt;&gt;"&amp;"")</f>
        <v>0</v>
      </c>
    </row>
    <row r="540" spans="13:14" x14ac:dyDescent="0.35">
      <c r="M540" s="64" t="s">
        <v>864</v>
      </c>
      <c r="N540" s="61">
        <f>SUMIFS(INDEX(detail_table[],,MATCH(M540,detail_table[#Headers],0)),detail_table[Project Type],"&lt;&gt;"&amp;"")</f>
        <v>0</v>
      </c>
    </row>
    <row r="541" spans="13:14" x14ac:dyDescent="0.35">
      <c r="M541" s="64" t="s">
        <v>865</v>
      </c>
      <c r="N541" s="61">
        <f>SUMIFS(INDEX(detail_table[],,MATCH(M541,detail_table[#Headers],0)),detail_table[Project Type],"&lt;&gt;"&amp;"")</f>
        <v>0</v>
      </c>
    </row>
    <row r="542" spans="13:14" x14ac:dyDescent="0.35">
      <c r="M542" s="64" t="s">
        <v>866</v>
      </c>
      <c r="N542" s="61">
        <f>SUMIFS(INDEX(detail_table[],,MATCH(M542,detail_table[#Headers],0)),detail_table[Project Type],"&lt;&gt;"&amp;"")</f>
        <v>0</v>
      </c>
    </row>
    <row r="543" spans="13:14" x14ac:dyDescent="0.35">
      <c r="M543" s="64" t="s">
        <v>867</v>
      </c>
      <c r="N543" s="61">
        <f>SUMIFS(INDEX(detail_table[],,MATCH(M543,detail_table[#Headers],0)),detail_table[Project Type],"&lt;&gt;"&amp;"")</f>
        <v>0</v>
      </c>
    </row>
    <row r="544" spans="13:14" x14ac:dyDescent="0.35">
      <c r="M544" s="64" t="s">
        <v>868</v>
      </c>
      <c r="N544" s="61">
        <f>SUMIFS(INDEX(detail_table[],,MATCH(M544,detail_table[#Headers],0)),detail_table[Project Type],"&lt;&gt;"&amp;"")</f>
        <v>0</v>
      </c>
    </row>
    <row r="545" spans="13:14" x14ac:dyDescent="0.35">
      <c r="M545" s="64" t="s">
        <v>869</v>
      </c>
      <c r="N545" s="61">
        <f>SUMIFS(INDEX(detail_table[],,MATCH(M545,detail_table[#Headers],0)),detail_table[Project Type],"&lt;&gt;"&amp;"")</f>
        <v>0</v>
      </c>
    </row>
    <row r="546" spans="13:14" x14ac:dyDescent="0.35">
      <c r="M546" s="64" t="s">
        <v>870</v>
      </c>
      <c r="N546" s="61">
        <f>SUMIFS(INDEX(detail_table[],,MATCH(M546,detail_table[#Headers],0)),detail_table[Project Type],"&lt;&gt;"&amp;"")</f>
        <v>0</v>
      </c>
    </row>
    <row r="547" spans="13:14" x14ac:dyDescent="0.35">
      <c r="M547" s="64" t="s">
        <v>871</v>
      </c>
      <c r="N547" s="61">
        <f>SUMIFS(INDEX(detail_table[],,MATCH(M547,detail_table[#Headers],0)),detail_table[Project Type],"&lt;&gt;"&amp;"")</f>
        <v>0</v>
      </c>
    </row>
    <row r="548" spans="13:14" x14ac:dyDescent="0.35">
      <c r="M548" s="64" t="s">
        <v>872</v>
      </c>
      <c r="N548" s="61">
        <f>SUMIFS(INDEX(detail_table[],,MATCH(M548,detail_table[#Headers],0)),detail_table[Project Type],"&lt;&gt;"&amp;"")</f>
        <v>0</v>
      </c>
    </row>
    <row r="549" spans="13:14" x14ac:dyDescent="0.35">
      <c r="M549" s="64" t="s">
        <v>873</v>
      </c>
      <c r="N549" s="61">
        <f>SUMIFS(INDEX(detail_table[],,MATCH(M549,detail_table[#Headers],0)),detail_table[Project Type],"&lt;&gt;"&amp;"")</f>
        <v>0</v>
      </c>
    </row>
    <row r="550" spans="13:14" x14ac:dyDescent="0.35">
      <c r="M550" s="64" t="s">
        <v>874</v>
      </c>
      <c r="N550" s="61">
        <f>SUMIFS(INDEX(detail_table[],,MATCH(M550,detail_table[#Headers],0)),detail_table[Project Type],"&lt;&gt;"&amp;"")</f>
        <v>0</v>
      </c>
    </row>
    <row r="551" spans="13:14" x14ac:dyDescent="0.35">
      <c r="M551" s="64" t="s">
        <v>875</v>
      </c>
      <c r="N551" s="61">
        <f>SUMIFS(INDEX(detail_table[],,MATCH(M551,detail_table[#Headers],0)),detail_table[Project Type],"&lt;&gt;"&amp;"")</f>
        <v>0</v>
      </c>
    </row>
    <row r="552" spans="13:14" x14ac:dyDescent="0.35">
      <c r="M552" s="64" t="s">
        <v>876</v>
      </c>
      <c r="N552" s="61">
        <f>SUMIFS(INDEX(detail_table[],,MATCH(M552,detail_table[#Headers],0)),detail_table[Project Type],"&lt;&gt;"&amp;"")</f>
        <v>0</v>
      </c>
    </row>
    <row r="553" spans="13:14" x14ac:dyDescent="0.35">
      <c r="M553" s="64" t="s">
        <v>877</v>
      </c>
      <c r="N553" s="61">
        <f>SUMIFS(INDEX(detail_table[],,MATCH(M553,detail_table[#Headers],0)),detail_table[Project Type],"&lt;&gt;"&amp;"")</f>
        <v>0</v>
      </c>
    </row>
    <row r="554" spans="13:14" x14ac:dyDescent="0.35">
      <c r="M554" s="64" t="s">
        <v>878</v>
      </c>
      <c r="N554" s="61">
        <f>SUMIFS(INDEX(detail_table[],,MATCH(M554,detail_table[#Headers],0)),detail_table[Project Type],"&lt;&gt;"&amp;"")</f>
        <v>0</v>
      </c>
    </row>
    <row r="555" spans="13:14" x14ac:dyDescent="0.35">
      <c r="M555" s="64" t="s">
        <v>879</v>
      </c>
      <c r="N555" s="61">
        <f>SUMIFS(INDEX(detail_table[],,MATCH(M555,detail_table[#Headers],0)),detail_table[Project Type],"&lt;&gt;"&amp;"")</f>
        <v>0</v>
      </c>
    </row>
    <row r="556" spans="13:14" x14ac:dyDescent="0.35">
      <c r="M556" s="64" t="s">
        <v>880</v>
      </c>
      <c r="N556" s="61">
        <f>SUMIFS(INDEX(detail_table[],,MATCH(M556,detail_table[#Headers],0)),detail_table[Project Type],"&lt;&gt;"&amp;"")</f>
        <v>0</v>
      </c>
    </row>
    <row r="557" spans="13:14" x14ac:dyDescent="0.35">
      <c r="M557" s="64" t="s">
        <v>881</v>
      </c>
      <c r="N557" s="61">
        <f>SUMIFS(INDEX(detail_table[],,MATCH(M557,detail_table[#Headers],0)),detail_table[Project Type],"&lt;&gt;"&amp;"")</f>
        <v>0</v>
      </c>
    </row>
    <row r="558" spans="13:14" x14ac:dyDescent="0.35">
      <c r="M558" s="64" t="s">
        <v>882</v>
      </c>
      <c r="N558" s="61">
        <f>SUMIFS(INDEX(detail_table[],,MATCH(M558,detail_table[#Headers],0)),detail_table[Project Type],"&lt;&gt;"&amp;"")</f>
        <v>0</v>
      </c>
    </row>
    <row r="559" spans="13:14" x14ac:dyDescent="0.35">
      <c r="M559" s="64" t="s">
        <v>883</v>
      </c>
      <c r="N559" s="61">
        <f>SUMIFS(INDEX(detail_table[],,MATCH(M559,detail_table[#Headers],0)),detail_table[Project Type],"&lt;&gt;"&amp;"")</f>
        <v>0</v>
      </c>
    </row>
    <row r="560" spans="13:14" x14ac:dyDescent="0.35">
      <c r="M560" s="64" t="s">
        <v>884</v>
      </c>
      <c r="N560" s="61">
        <f>SUMIFS(INDEX(detail_table[],,MATCH(M560,detail_table[#Headers],0)),detail_table[Project Type],"&lt;&gt;"&amp;"")</f>
        <v>0</v>
      </c>
    </row>
    <row r="561" spans="13:14" x14ac:dyDescent="0.35">
      <c r="M561" s="64" t="s">
        <v>885</v>
      </c>
      <c r="N561" s="61">
        <f>SUMIFS(INDEX(detail_table[],,MATCH(M561,detail_table[#Headers],0)),detail_table[Project Type],"&lt;&gt;"&amp;"")</f>
        <v>0</v>
      </c>
    </row>
    <row r="562" spans="13:14" x14ac:dyDescent="0.35">
      <c r="M562" s="64" t="s">
        <v>886</v>
      </c>
      <c r="N562" s="61">
        <f>SUMIFS(INDEX(detail_table[],,MATCH(M562,detail_table[#Headers],0)),detail_table[Project Type],"&lt;&gt;"&amp;"")</f>
        <v>0</v>
      </c>
    </row>
    <row r="563" spans="13:14" x14ac:dyDescent="0.35">
      <c r="M563" s="64" t="s">
        <v>887</v>
      </c>
      <c r="N563" s="61">
        <f>SUMIFS(INDEX(detail_table[],,MATCH(M563,detail_table[#Headers],0)),detail_table[Project Type],"&lt;&gt;"&amp;"")</f>
        <v>0</v>
      </c>
    </row>
    <row r="564" spans="13:14" x14ac:dyDescent="0.35">
      <c r="M564" s="64" t="s">
        <v>888</v>
      </c>
      <c r="N564" s="61">
        <f>SUMIFS(INDEX(detail_table[],,MATCH(M564,detail_table[#Headers],0)),detail_table[Project Type],"&lt;&gt;"&amp;"")</f>
        <v>0</v>
      </c>
    </row>
    <row r="565" spans="13:14" x14ac:dyDescent="0.35">
      <c r="M565" s="64" t="s">
        <v>889</v>
      </c>
      <c r="N565" s="61">
        <f>SUMIFS(INDEX(detail_table[],,MATCH(M565,detail_table[#Headers],0)),detail_table[Project Type],"&lt;&gt;"&amp;"")</f>
        <v>0</v>
      </c>
    </row>
    <row r="566" spans="13:14" x14ac:dyDescent="0.35">
      <c r="M566" s="64" t="s">
        <v>890</v>
      </c>
      <c r="N566" s="61">
        <f>SUMIFS(INDEX(detail_table[],,MATCH(M566,detail_table[#Headers],0)),detail_table[Project Type],"&lt;&gt;"&amp;"")</f>
        <v>0</v>
      </c>
    </row>
    <row r="567" spans="13:14" x14ac:dyDescent="0.35">
      <c r="M567" s="64" t="s">
        <v>891</v>
      </c>
      <c r="N567" s="61">
        <f>SUMIFS(INDEX(detail_table[],,MATCH(M567,detail_table[#Headers],0)),detail_table[Project Type],"&lt;&gt;"&amp;"")</f>
        <v>0</v>
      </c>
    </row>
    <row r="568" spans="13:14" x14ac:dyDescent="0.35">
      <c r="M568" s="64" t="s">
        <v>892</v>
      </c>
      <c r="N568" s="61">
        <f>SUMIFS(INDEX(detail_table[],,MATCH(M568,detail_table[#Headers],0)),detail_table[Project Type],"&lt;&gt;"&amp;"")</f>
        <v>0</v>
      </c>
    </row>
    <row r="569" spans="13:14" x14ac:dyDescent="0.35">
      <c r="M569" s="64" t="s">
        <v>893</v>
      </c>
      <c r="N569" s="61">
        <f>SUMIFS(INDEX(detail_table[],,MATCH(M569,detail_table[#Headers],0)),detail_table[Project Type],"&lt;&gt;"&amp;"")</f>
        <v>0</v>
      </c>
    </row>
    <row r="570" spans="13:14" x14ac:dyDescent="0.35">
      <c r="M570" s="64" t="s">
        <v>894</v>
      </c>
      <c r="N570" s="61">
        <f>SUMIFS(INDEX(detail_table[],,MATCH(M570,detail_table[#Headers],0)),detail_table[Project Type],"&lt;&gt;"&amp;"")</f>
        <v>0</v>
      </c>
    </row>
    <row r="571" spans="13:14" x14ac:dyDescent="0.35">
      <c r="M571" s="64" t="s">
        <v>895</v>
      </c>
      <c r="N571" s="61">
        <f>SUMIFS(INDEX(detail_table[],,MATCH(M571,detail_table[#Headers],0)),detail_table[Project Type],"&lt;&gt;"&amp;"")</f>
        <v>0</v>
      </c>
    </row>
    <row r="572" spans="13:14" x14ac:dyDescent="0.35">
      <c r="M572" s="64" t="s">
        <v>896</v>
      </c>
      <c r="N572" s="61">
        <f>SUMIFS(INDEX(detail_table[],,MATCH(M572,detail_table[#Headers],0)),detail_table[Project Type],"&lt;&gt;"&amp;"")</f>
        <v>0</v>
      </c>
    </row>
    <row r="573" spans="13:14" x14ac:dyDescent="0.35">
      <c r="M573" s="64" t="s">
        <v>897</v>
      </c>
      <c r="N573" s="61">
        <f>SUMIFS(INDEX(detail_table[],,MATCH(M573,detail_table[#Headers],0)),detail_table[Project Type],"&lt;&gt;"&amp;"")</f>
        <v>0</v>
      </c>
    </row>
    <row r="574" spans="13:14" x14ac:dyDescent="0.35">
      <c r="M574" s="64" t="s">
        <v>898</v>
      </c>
      <c r="N574" s="61">
        <f>SUMIFS(INDEX(detail_table[],,MATCH(M574,detail_table[#Headers],0)),detail_table[Project Type],"&lt;&gt;"&amp;"")</f>
        <v>0</v>
      </c>
    </row>
    <row r="575" spans="13:14" x14ac:dyDescent="0.35">
      <c r="M575" s="64" t="s">
        <v>899</v>
      </c>
      <c r="N575" s="61">
        <f>SUMIFS(INDEX(detail_table[],,MATCH(M575,detail_table[#Headers],0)),detail_table[Project Type],"&lt;&gt;"&amp;"")</f>
        <v>0</v>
      </c>
    </row>
    <row r="576" spans="13:14" x14ac:dyDescent="0.35">
      <c r="M576" s="64" t="s">
        <v>900</v>
      </c>
      <c r="N576" s="61">
        <f>SUMIFS(INDEX(detail_table[],,MATCH(M576,detail_table[#Headers],0)),detail_table[Project Type],"&lt;&gt;"&amp;"")</f>
        <v>0</v>
      </c>
    </row>
    <row r="577" spans="13:14" x14ac:dyDescent="0.35">
      <c r="M577" s="64" t="s">
        <v>901</v>
      </c>
      <c r="N577" s="61">
        <f>SUMIFS(INDEX(detail_table[],,MATCH(M577,detail_table[#Headers],0)),detail_table[Project Type],"&lt;&gt;"&amp;"")</f>
        <v>0</v>
      </c>
    </row>
    <row r="578" spans="13:14" x14ac:dyDescent="0.35">
      <c r="M578" s="64" t="s">
        <v>902</v>
      </c>
      <c r="N578" s="61">
        <f>SUMIFS(INDEX(detail_table[],,MATCH(M578,detail_table[#Headers],0)),detail_table[Project Type],"&lt;&gt;"&amp;"")</f>
        <v>0</v>
      </c>
    </row>
    <row r="579" spans="13:14" x14ac:dyDescent="0.35">
      <c r="M579" s="64" t="s">
        <v>903</v>
      </c>
      <c r="N579" s="61">
        <f>SUMIFS(INDEX(detail_table[],,MATCH(M579,detail_table[#Headers],0)),detail_table[Project Type],"&lt;&gt;"&amp;"")</f>
        <v>0</v>
      </c>
    </row>
    <row r="580" spans="13:14" x14ac:dyDescent="0.35">
      <c r="M580" s="64" t="s">
        <v>904</v>
      </c>
      <c r="N580" s="61">
        <f>SUMIFS(INDEX(detail_table[],,MATCH(M580,detail_table[#Headers],0)),detail_table[Project Type],"&lt;&gt;"&amp;"")</f>
        <v>0</v>
      </c>
    </row>
    <row r="581" spans="13:14" x14ac:dyDescent="0.35">
      <c r="M581" s="64" t="s">
        <v>905</v>
      </c>
      <c r="N581" s="61">
        <f>SUMIFS(INDEX(detail_table[],,MATCH(M581,detail_table[#Headers],0)),detail_table[Project Type],"&lt;&gt;"&amp;"")</f>
        <v>0</v>
      </c>
    </row>
    <row r="582" spans="13:14" x14ac:dyDescent="0.35">
      <c r="M582" s="64" t="s">
        <v>906</v>
      </c>
      <c r="N582" s="61">
        <f>SUMIFS(INDEX(detail_table[],,MATCH(M582,detail_table[#Headers],0)),detail_table[Project Type],"&lt;&gt;"&amp;"")</f>
        <v>0</v>
      </c>
    </row>
    <row r="583" spans="13:14" x14ac:dyDescent="0.35">
      <c r="M583" s="64" t="s">
        <v>907</v>
      </c>
      <c r="N583" s="61">
        <f>SUMIFS(INDEX(detail_table[],,MATCH(M583,detail_table[#Headers],0)),detail_table[Project Type],"&lt;&gt;"&amp;"")</f>
        <v>0</v>
      </c>
    </row>
    <row r="584" spans="13:14" x14ac:dyDescent="0.35">
      <c r="M584" s="64" t="s">
        <v>908</v>
      </c>
      <c r="N584" s="61">
        <f>SUMIFS(INDEX(detail_table[],,MATCH(M584,detail_table[#Headers],0)),detail_table[Project Type],"&lt;&gt;"&amp;"")</f>
        <v>0</v>
      </c>
    </row>
    <row r="585" spans="13:14" x14ac:dyDescent="0.35">
      <c r="M585" s="64" t="s">
        <v>909</v>
      </c>
      <c r="N585" s="61">
        <f>SUMIFS(INDEX(detail_table[],,MATCH(M585,detail_table[#Headers],0)),detail_table[Project Type],"&lt;&gt;"&amp;"")</f>
        <v>0</v>
      </c>
    </row>
    <row r="586" spans="13:14" x14ac:dyDescent="0.35">
      <c r="M586" s="64" t="s">
        <v>910</v>
      </c>
      <c r="N586" s="61">
        <f>SUMIFS(INDEX(detail_table[],,MATCH(M586,detail_table[#Headers],0)),detail_table[Project Type],"&lt;&gt;"&amp;"")</f>
        <v>0</v>
      </c>
    </row>
    <row r="587" spans="13:14" x14ac:dyDescent="0.35">
      <c r="M587" s="64" t="s">
        <v>911</v>
      </c>
      <c r="N587" s="61">
        <f>SUMIFS(INDEX(detail_table[],,MATCH(M587,detail_table[#Headers],0)),detail_table[Project Type],"&lt;&gt;"&amp;"")</f>
        <v>0</v>
      </c>
    </row>
    <row r="588" spans="13:14" x14ac:dyDescent="0.35">
      <c r="M588" s="64" t="s">
        <v>912</v>
      </c>
      <c r="N588" s="61">
        <f>SUMIFS(INDEX(detail_table[],,MATCH(M588,detail_table[#Headers],0)),detail_table[Project Type],"&lt;&gt;"&amp;"")</f>
        <v>0</v>
      </c>
    </row>
    <row r="589" spans="13:14" x14ac:dyDescent="0.35">
      <c r="M589" s="64" t="s">
        <v>913</v>
      </c>
      <c r="N589" s="61">
        <f>SUMIFS(INDEX(detail_table[],,MATCH(M589,detail_table[#Headers],0)),detail_table[Project Type],"&lt;&gt;"&amp;"")</f>
        <v>0</v>
      </c>
    </row>
    <row r="590" spans="13:14" x14ac:dyDescent="0.35">
      <c r="M590" s="64" t="s">
        <v>914</v>
      </c>
      <c r="N590" s="61">
        <f>SUMIFS(INDEX(detail_table[],,MATCH(M590,detail_table[#Headers],0)),detail_table[Project Type],"&lt;&gt;"&amp;"")</f>
        <v>0</v>
      </c>
    </row>
    <row r="591" spans="13:14" x14ac:dyDescent="0.35">
      <c r="M591" s="64" t="s">
        <v>915</v>
      </c>
      <c r="N591" s="61">
        <f>SUMIFS(INDEX(detail_table[],,MATCH(M591,detail_table[#Headers],0)),detail_table[Project Type],"&lt;&gt;"&amp;"")</f>
        <v>0</v>
      </c>
    </row>
    <row r="592" spans="13:14" x14ac:dyDescent="0.35">
      <c r="M592" s="64" t="s">
        <v>916</v>
      </c>
      <c r="N592" s="61">
        <f>SUMIFS(INDEX(detail_table[],,MATCH(M592,detail_table[#Headers],0)),detail_table[Project Type],"&lt;&gt;"&amp;"")</f>
        <v>0</v>
      </c>
    </row>
    <row r="593" spans="13:14" x14ac:dyDescent="0.35">
      <c r="M593" s="64" t="s">
        <v>917</v>
      </c>
      <c r="N593" s="61">
        <f>SUMIFS(INDEX(detail_table[],,MATCH(M593,detail_table[#Headers],0)),detail_table[Project Type],"&lt;&gt;"&amp;"")</f>
        <v>0</v>
      </c>
    </row>
    <row r="594" spans="13:14" x14ac:dyDescent="0.35">
      <c r="M594" s="64" t="s">
        <v>918</v>
      </c>
      <c r="N594" s="61">
        <f>SUMIFS(INDEX(detail_table[],,MATCH(M594,detail_table[#Headers],0)),detail_table[Project Type],"&lt;&gt;"&amp;"")</f>
        <v>0</v>
      </c>
    </row>
    <row r="595" spans="13:14" x14ac:dyDescent="0.35">
      <c r="M595" s="64" t="s">
        <v>919</v>
      </c>
      <c r="N595" s="61">
        <f>SUMIFS(INDEX(detail_table[],,MATCH(M595,detail_table[#Headers],0)),detail_table[Project Type],"&lt;&gt;"&amp;"")</f>
        <v>0</v>
      </c>
    </row>
    <row r="596" spans="13:14" x14ac:dyDescent="0.35">
      <c r="M596" s="64" t="s">
        <v>920</v>
      </c>
      <c r="N596" s="61">
        <f>SUMIFS(INDEX(detail_table[],,MATCH(M596,detail_table[#Headers],0)),detail_table[Project Type],"&lt;&gt;"&amp;"")</f>
        <v>0</v>
      </c>
    </row>
    <row r="597" spans="13:14" x14ac:dyDescent="0.35">
      <c r="M597" s="64" t="s">
        <v>921</v>
      </c>
      <c r="N597" s="61">
        <f>SUMIFS(INDEX(detail_table[],,MATCH(M597,detail_table[#Headers],0)),detail_table[Project Type],"&lt;&gt;"&amp;"")</f>
        <v>0</v>
      </c>
    </row>
    <row r="598" spans="13:14" x14ac:dyDescent="0.35">
      <c r="M598" s="64" t="s">
        <v>922</v>
      </c>
      <c r="N598" s="61">
        <f>SUMIFS(INDEX(detail_table[],,MATCH(M598,detail_table[#Headers],0)),detail_table[Project Type],"&lt;&gt;"&amp;"")</f>
        <v>0</v>
      </c>
    </row>
    <row r="599" spans="13:14" x14ac:dyDescent="0.35">
      <c r="M599" s="64" t="s">
        <v>923</v>
      </c>
      <c r="N599" s="61">
        <f>SUMIFS(INDEX(detail_table[],,MATCH(M599,detail_table[#Headers],0)),detail_table[Project Type],"&lt;&gt;"&amp;"")</f>
        <v>0</v>
      </c>
    </row>
    <row r="600" spans="13:14" x14ac:dyDescent="0.35">
      <c r="M600" s="64" t="s">
        <v>924</v>
      </c>
      <c r="N600" s="61">
        <f>SUMIFS(INDEX(detail_table[],,MATCH(M600,detail_table[#Headers],0)),detail_table[Project Type],"&lt;&gt;"&amp;"")</f>
        <v>0</v>
      </c>
    </row>
    <row r="601" spans="13:14" x14ac:dyDescent="0.35">
      <c r="M601" s="64" t="s">
        <v>925</v>
      </c>
      <c r="N601" s="61">
        <f>SUMIFS(INDEX(detail_table[],,MATCH(M601,detail_table[#Headers],0)),detail_table[Project Type],"&lt;&gt;"&amp;"")</f>
        <v>0</v>
      </c>
    </row>
    <row r="602" spans="13:14" x14ac:dyDescent="0.35">
      <c r="M602" s="64" t="s">
        <v>926</v>
      </c>
      <c r="N602" s="61">
        <f>SUMIFS(INDEX(detail_table[],,MATCH(M602,detail_table[#Headers],0)),detail_table[Project Type],"&lt;&gt;"&amp;"")</f>
        <v>0</v>
      </c>
    </row>
    <row r="603" spans="13:14" x14ac:dyDescent="0.35">
      <c r="M603" s="64" t="s">
        <v>927</v>
      </c>
      <c r="N603" s="61">
        <f>SUMIFS(INDEX(detail_table[],,MATCH(M603,detail_table[#Headers],0)),detail_table[Project Type],"&lt;&gt;"&amp;"")</f>
        <v>0</v>
      </c>
    </row>
    <row r="604" spans="13:14" x14ac:dyDescent="0.35">
      <c r="M604" s="64" t="s">
        <v>928</v>
      </c>
      <c r="N604" s="61">
        <f>SUMIFS(INDEX(detail_table[],,MATCH(M604,detail_table[#Headers],0)),detail_table[Project Type],"&lt;&gt;"&amp;"")</f>
        <v>0</v>
      </c>
    </row>
    <row r="605" spans="13:14" x14ac:dyDescent="0.35">
      <c r="M605" s="64" t="s">
        <v>929</v>
      </c>
      <c r="N605" s="61">
        <f>SUMIFS(INDEX(detail_table[],,MATCH(M605,detail_table[#Headers],0)),detail_table[Project Type],"&lt;&gt;"&amp;"")</f>
        <v>0</v>
      </c>
    </row>
    <row r="606" spans="13:14" x14ac:dyDescent="0.35">
      <c r="M606" s="64" t="s">
        <v>930</v>
      </c>
      <c r="N606" s="61">
        <f>SUMIFS(INDEX(detail_table[],,MATCH(M606,detail_table[#Headers],0)),detail_table[Project Type],"&lt;&gt;"&amp;"")</f>
        <v>0</v>
      </c>
    </row>
    <row r="607" spans="13:14" x14ac:dyDescent="0.35">
      <c r="M607" s="64" t="s">
        <v>931</v>
      </c>
      <c r="N607" s="61">
        <f>SUMIFS(INDEX(detail_table[],,MATCH(M607,detail_table[#Headers],0)),detail_table[Project Type],"&lt;&gt;"&amp;"")</f>
        <v>0</v>
      </c>
    </row>
    <row r="608" spans="13:14" x14ac:dyDescent="0.35">
      <c r="M608" s="64" t="s">
        <v>932</v>
      </c>
      <c r="N608" s="61">
        <f>SUMIFS(INDEX(detail_table[],,MATCH(M608,detail_table[#Headers],0)),detail_table[Project Type],"&lt;&gt;"&amp;"")</f>
        <v>0</v>
      </c>
    </row>
    <row r="609" spans="13:14" x14ac:dyDescent="0.35">
      <c r="M609" s="64" t="s">
        <v>933</v>
      </c>
      <c r="N609" s="61">
        <f>SUMIFS(INDEX(detail_table[],,MATCH(M609,detail_table[#Headers],0)),detail_table[Project Type],"&lt;&gt;"&amp;"")</f>
        <v>0</v>
      </c>
    </row>
    <row r="610" spans="13:14" x14ac:dyDescent="0.35">
      <c r="M610" s="64" t="s">
        <v>934</v>
      </c>
      <c r="N610" s="61">
        <f>SUMIFS(INDEX(detail_table[],,MATCH(M610,detail_table[#Headers],0)),detail_table[Project Type],"&lt;&gt;"&amp;"")</f>
        <v>0</v>
      </c>
    </row>
    <row r="611" spans="13:14" x14ac:dyDescent="0.35">
      <c r="M611" s="64" t="s">
        <v>935</v>
      </c>
      <c r="N611" s="61">
        <f>SUMIFS(INDEX(detail_table[],,MATCH(M611,detail_table[#Headers],0)),detail_table[Project Type],"&lt;&gt;"&amp;"")</f>
        <v>0</v>
      </c>
    </row>
    <row r="612" spans="13:14" x14ac:dyDescent="0.35">
      <c r="M612" s="64" t="s">
        <v>936</v>
      </c>
      <c r="N612" s="61">
        <f>SUMIFS(INDEX(detail_table[],,MATCH(M612,detail_table[#Headers],0)),detail_table[Project Type],"&lt;&gt;"&amp;"")</f>
        <v>0</v>
      </c>
    </row>
    <row r="613" spans="13:14" x14ac:dyDescent="0.35">
      <c r="M613" s="64" t="s">
        <v>937</v>
      </c>
      <c r="N613" s="61">
        <f>SUMIFS(INDEX(detail_table[],,MATCH(M613,detail_table[#Headers],0)),detail_table[Project Type],"&lt;&gt;"&amp;"")</f>
        <v>0</v>
      </c>
    </row>
    <row r="614" spans="13:14" x14ac:dyDescent="0.35">
      <c r="M614" s="64" t="s">
        <v>938</v>
      </c>
      <c r="N614" s="61">
        <f>SUMIFS(INDEX(detail_table[],,MATCH(M614,detail_table[#Headers],0)),detail_table[Project Type],"&lt;&gt;"&amp;"")</f>
        <v>0</v>
      </c>
    </row>
    <row r="615" spans="13:14" x14ac:dyDescent="0.35">
      <c r="M615" s="64" t="s">
        <v>939</v>
      </c>
      <c r="N615" s="61">
        <f>SUMIFS(INDEX(detail_table[],,MATCH(M615,detail_table[#Headers],0)),detail_table[Project Type],"&lt;&gt;"&amp;"")</f>
        <v>0</v>
      </c>
    </row>
    <row r="616" spans="13:14" x14ac:dyDescent="0.35">
      <c r="M616" s="64" t="s">
        <v>940</v>
      </c>
      <c r="N616" s="61">
        <f>SUMIFS(INDEX(detail_table[],,MATCH(M616,detail_table[#Headers],0)),detail_table[Project Type],"&lt;&gt;"&amp;"")</f>
        <v>0</v>
      </c>
    </row>
    <row r="617" spans="13:14" x14ac:dyDescent="0.35">
      <c r="M617" s="64" t="s">
        <v>941</v>
      </c>
      <c r="N617" s="61">
        <f>SUMIFS(INDEX(detail_table[],,MATCH(M617,detail_table[#Headers],0)),detail_table[Project Type],"&lt;&gt;"&amp;"")</f>
        <v>0</v>
      </c>
    </row>
    <row r="618" spans="13:14" x14ac:dyDescent="0.35">
      <c r="M618" s="64" t="s">
        <v>942</v>
      </c>
      <c r="N618" s="61">
        <f>SUMIFS(INDEX(detail_table[],,MATCH(M618,detail_table[#Headers],0)),detail_table[Project Type],"&lt;&gt;"&amp;"")</f>
        <v>0</v>
      </c>
    </row>
    <row r="619" spans="13:14" x14ac:dyDescent="0.35">
      <c r="M619" s="64" t="s">
        <v>943</v>
      </c>
      <c r="N619" s="61">
        <f>SUMIFS(INDEX(detail_table[],,MATCH(M619,detail_table[#Headers],0)),detail_table[Project Type],"&lt;&gt;"&amp;"")</f>
        <v>0</v>
      </c>
    </row>
    <row r="620" spans="13:14" x14ac:dyDescent="0.35">
      <c r="M620" s="64" t="s">
        <v>944</v>
      </c>
      <c r="N620" s="61">
        <f>SUMIFS(INDEX(detail_table[],,MATCH(M620,detail_table[#Headers],0)),detail_table[Project Type],"&lt;&gt;"&amp;"")</f>
        <v>0</v>
      </c>
    </row>
    <row r="621" spans="13:14" x14ac:dyDescent="0.35">
      <c r="M621" s="64" t="s">
        <v>945</v>
      </c>
      <c r="N621" s="61">
        <f>SUMIFS(INDEX(detail_table[],,MATCH(M621,detail_table[#Headers],0)),detail_table[Project Type],"&lt;&gt;"&amp;"")</f>
        <v>0</v>
      </c>
    </row>
    <row r="622" spans="13:14" x14ac:dyDescent="0.35">
      <c r="M622" s="64" t="s">
        <v>946</v>
      </c>
      <c r="N622" s="61">
        <f>SUMIFS(INDEX(detail_table[],,MATCH(M622,detail_table[#Headers],0)),detail_table[Project Type],"&lt;&gt;"&amp;"")</f>
        <v>0</v>
      </c>
    </row>
    <row r="623" spans="13:14" x14ac:dyDescent="0.35">
      <c r="M623" s="64" t="s">
        <v>947</v>
      </c>
      <c r="N623" s="61">
        <f>SUMIFS(INDEX(detail_table[],,MATCH(M623,detail_table[#Headers],0)),detail_table[Project Type],"&lt;&gt;"&amp;"")</f>
        <v>0</v>
      </c>
    </row>
    <row r="624" spans="13:14" x14ac:dyDescent="0.35">
      <c r="M624" s="64" t="s">
        <v>948</v>
      </c>
      <c r="N624" s="61">
        <f>SUMIFS(INDEX(detail_table[],,MATCH(M624,detail_table[#Headers],0)),detail_table[Project Type],"&lt;&gt;"&amp;"")</f>
        <v>0</v>
      </c>
    </row>
    <row r="625" spans="13:14" x14ac:dyDescent="0.35">
      <c r="M625" s="64" t="s">
        <v>949</v>
      </c>
      <c r="N625" s="61">
        <f>SUMIFS(INDEX(detail_table[],,MATCH(M625,detail_table[#Headers],0)),detail_table[Project Type],"&lt;&gt;"&amp;"")</f>
        <v>0</v>
      </c>
    </row>
    <row r="626" spans="13:14" x14ac:dyDescent="0.35">
      <c r="M626" s="64" t="s">
        <v>950</v>
      </c>
      <c r="N626" s="61">
        <f>SUMIFS(INDEX(detail_table[],,MATCH(M626,detail_table[#Headers],0)),detail_table[Project Type],"&lt;&gt;"&amp;"")</f>
        <v>0</v>
      </c>
    </row>
    <row r="627" spans="13:14" x14ac:dyDescent="0.35">
      <c r="M627" s="64" t="s">
        <v>951</v>
      </c>
      <c r="N627" s="61">
        <f>SUMIFS(INDEX(detail_table[],,MATCH(M627,detail_table[#Headers],0)),detail_table[Project Type],"&lt;&gt;"&amp;"")</f>
        <v>0</v>
      </c>
    </row>
    <row r="628" spans="13:14" x14ac:dyDescent="0.35">
      <c r="M628" s="64" t="s">
        <v>952</v>
      </c>
      <c r="N628" s="61">
        <f>SUMIFS(INDEX(detail_table[],,MATCH(M628,detail_table[#Headers],0)),detail_table[Project Type],"&lt;&gt;"&amp;"")</f>
        <v>0</v>
      </c>
    </row>
    <row r="629" spans="13:14" x14ac:dyDescent="0.35">
      <c r="M629" s="64" t="s">
        <v>953</v>
      </c>
      <c r="N629" s="61">
        <f>SUMIFS(INDEX(detail_table[],,MATCH(M629,detail_table[#Headers],0)),detail_table[Project Type],"&lt;&gt;"&amp;"")</f>
        <v>0</v>
      </c>
    </row>
    <row r="630" spans="13:14" x14ac:dyDescent="0.35">
      <c r="M630" s="64" t="s">
        <v>954</v>
      </c>
      <c r="N630" s="61">
        <f>SUMIFS(INDEX(detail_table[],,MATCH(M630,detail_table[#Headers],0)),detail_table[Project Type],"&lt;&gt;"&amp;"")</f>
        <v>0</v>
      </c>
    </row>
    <row r="631" spans="13:14" x14ac:dyDescent="0.35">
      <c r="M631" s="64" t="s">
        <v>955</v>
      </c>
      <c r="N631" s="61">
        <f>SUMIFS(INDEX(detail_table[],,MATCH(M631,detail_table[#Headers],0)),detail_table[Project Type],"&lt;&gt;"&amp;"")</f>
        <v>0</v>
      </c>
    </row>
    <row r="632" spans="13:14" x14ac:dyDescent="0.35">
      <c r="M632" s="64" t="s">
        <v>956</v>
      </c>
      <c r="N632" s="61">
        <f>SUMIFS(INDEX(detail_table[],,MATCH(M632,detail_table[#Headers],0)),detail_table[Project Type],"&lt;&gt;"&amp;"")</f>
        <v>0</v>
      </c>
    </row>
    <row r="633" spans="13:14" x14ac:dyDescent="0.35">
      <c r="M633" s="64" t="s">
        <v>957</v>
      </c>
      <c r="N633" s="61">
        <f>SUMIFS(INDEX(detail_table[],,MATCH(M633,detail_table[#Headers],0)),detail_table[Project Type],"&lt;&gt;"&amp;"")</f>
        <v>0</v>
      </c>
    </row>
    <row r="634" spans="13:14" x14ac:dyDescent="0.35">
      <c r="M634" s="64" t="s">
        <v>958</v>
      </c>
      <c r="N634" s="61">
        <f>SUMIFS(INDEX(detail_table[],,MATCH(M634,detail_table[#Headers],0)),detail_table[Project Type],"&lt;&gt;"&amp;"")</f>
        <v>0</v>
      </c>
    </row>
    <row r="635" spans="13:14" x14ac:dyDescent="0.35">
      <c r="M635" s="64" t="s">
        <v>959</v>
      </c>
      <c r="N635" s="61">
        <f>SUMIFS(INDEX(detail_table[],,MATCH(M635,detail_table[#Headers],0)),detail_table[Project Type],"&lt;&gt;"&amp;"")</f>
        <v>0</v>
      </c>
    </row>
    <row r="636" spans="13:14" x14ac:dyDescent="0.35">
      <c r="M636" s="64" t="s">
        <v>960</v>
      </c>
      <c r="N636" s="61">
        <f>SUMIFS(INDEX(detail_table[],,MATCH(M636,detail_table[#Headers],0)),detail_table[Project Type],"&lt;&gt;"&amp;"")</f>
        <v>0</v>
      </c>
    </row>
    <row r="637" spans="13:14" x14ac:dyDescent="0.35">
      <c r="M637" s="64" t="s">
        <v>961</v>
      </c>
      <c r="N637" s="61">
        <f>SUMIFS(INDEX(detail_table[],,MATCH(M637,detail_table[#Headers],0)),detail_table[Project Type],"&lt;&gt;"&amp;"")</f>
        <v>0</v>
      </c>
    </row>
    <row r="638" spans="13:14" x14ac:dyDescent="0.35">
      <c r="M638" s="64" t="s">
        <v>962</v>
      </c>
      <c r="N638" s="61">
        <f>SUMIFS(INDEX(detail_table[],,MATCH(M638,detail_table[#Headers],0)),detail_table[Project Type],"&lt;&gt;"&amp;"")</f>
        <v>0</v>
      </c>
    </row>
    <row r="639" spans="13:14" x14ac:dyDescent="0.35">
      <c r="M639" s="64" t="s">
        <v>963</v>
      </c>
      <c r="N639" s="61">
        <f>SUMIFS(INDEX(detail_table[],,MATCH(M639,detail_table[#Headers],0)),detail_table[Project Type],"&lt;&gt;"&amp;"")</f>
        <v>0</v>
      </c>
    </row>
    <row r="640" spans="13:14" x14ac:dyDescent="0.35">
      <c r="M640" s="64" t="s">
        <v>964</v>
      </c>
      <c r="N640" s="61">
        <f>SUMIFS(INDEX(detail_table[],,MATCH(M640,detail_table[#Headers],0)),detail_table[Project Type],"&lt;&gt;"&amp;"")</f>
        <v>0</v>
      </c>
    </row>
    <row r="641" spans="13:14" x14ac:dyDescent="0.35">
      <c r="M641" s="64" t="s">
        <v>965</v>
      </c>
      <c r="N641" s="61">
        <f>SUMIFS(INDEX(detail_table[],,MATCH(M641,detail_table[#Headers],0)),detail_table[Project Type],"&lt;&gt;"&amp;"")</f>
        <v>0</v>
      </c>
    </row>
    <row r="642" spans="13:14" x14ac:dyDescent="0.35">
      <c r="M642" s="64" t="s">
        <v>966</v>
      </c>
      <c r="N642" s="61">
        <f>SUMIFS(INDEX(detail_table[],,MATCH(M642,detail_table[#Headers],0)),detail_table[Project Type],"&lt;&gt;"&amp;"")</f>
        <v>0</v>
      </c>
    </row>
    <row r="643" spans="13:14" x14ac:dyDescent="0.35">
      <c r="M643" s="64" t="s">
        <v>967</v>
      </c>
      <c r="N643" s="61">
        <f>SUMIFS(INDEX(detail_table[],,MATCH(M643,detail_table[#Headers],0)),detail_table[Project Type],"&lt;&gt;"&amp;"")</f>
        <v>0</v>
      </c>
    </row>
    <row r="644" spans="13:14" x14ac:dyDescent="0.35">
      <c r="M644" s="64" t="s">
        <v>968</v>
      </c>
      <c r="N644" s="61">
        <f>SUMIFS(INDEX(detail_table[],,MATCH(M644,detail_table[#Headers],0)),detail_table[Project Type],"&lt;&gt;"&amp;"")</f>
        <v>0</v>
      </c>
    </row>
    <row r="645" spans="13:14" x14ac:dyDescent="0.35">
      <c r="M645" s="64" t="s">
        <v>969</v>
      </c>
      <c r="N645" s="61">
        <f>SUMIFS(INDEX(detail_table[],,MATCH(M645,detail_table[#Headers],0)),detail_table[Project Type],"&lt;&gt;"&amp;"")</f>
        <v>0</v>
      </c>
    </row>
    <row r="646" spans="13:14" x14ac:dyDescent="0.35">
      <c r="M646" s="64" t="s">
        <v>970</v>
      </c>
      <c r="N646" s="61">
        <f>SUMIFS(INDEX(detail_table[],,MATCH(M646,detail_table[#Headers],0)),detail_table[Project Type],"&lt;&gt;"&amp;"")</f>
        <v>0</v>
      </c>
    </row>
    <row r="647" spans="13:14" x14ac:dyDescent="0.35">
      <c r="M647" s="64" t="s">
        <v>971</v>
      </c>
      <c r="N647" s="61">
        <f>SUMIFS(INDEX(detail_table[],,MATCH(M647,detail_table[#Headers],0)),detail_table[Project Type],"&lt;&gt;"&amp;"")</f>
        <v>0</v>
      </c>
    </row>
    <row r="648" spans="13:14" x14ac:dyDescent="0.35">
      <c r="M648" s="64" t="s">
        <v>972</v>
      </c>
      <c r="N648" s="61">
        <f>SUMIFS(INDEX(detail_table[],,MATCH(M648,detail_table[#Headers],0)),detail_table[Project Type],"&lt;&gt;"&amp;"")</f>
        <v>0</v>
      </c>
    </row>
    <row r="649" spans="13:14" x14ac:dyDescent="0.35">
      <c r="M649" s="64" t="s">
        <v>973</v>
      </c>
      <c r="N649" s="61">
        <f>SUMIFS(INDEX(detail_table[],,MATCH(M649,detail_table[#Headers],0)),detail_table[Project Type],"&lt;&gt;"&amp;"")</f>
        <v>0</v>
      </c>
    </row>
    <row r="650" spans="13:14" x14ac:dyDescent="0.35">
      <c r="M650" s="64" t="s">
        <v>974</v>
      </c>
      <c r="N650" s="61">
        <f>SUMIFS(INDEX(detail_table[],,MATCH(M650,detail_table[#Headers],0)),detail_table[Project Type],"&lt;&gt;"&amp;"")</f>
        <v>0</v>
      </c>
    </row>
    <row r="651" spans="13:14" x14ac:dyDescent="0.35">
      <c r="M651" s="64" t="s">
        <v>975</v>
      </c>
      <c r="N651" s="61">
        <f>SUMIFS(INDEX(detail_table[],,MATCH(M651,detail_table[#Headers],0)),detail_table[Project Type],"&lt;&gt;"&amp;"")</f>
        <v>0</v>
      </c>
    </row>
    <row r="652" spans="13:14" x14ac:dyDescent="0.35">
      <c r="M652" s="64" t="s">
        <v>976</v>
      </c>
      <c r="N652" s="61">
        <f>SUMIFS(INDEX(detail_table[],,MATCH(M652,detail_table[#Headers],0)),detail_table[Project Type],"&lt;&gt;"&amp;"")</f>
        <v>0</v>
      </c>
    </row>
    <row r="653" spans="13:14" x14ac:dyDescent="0.35">
      <c r="M653" s="64" t="s">
        <v>977</v>
      </c>
      <c r="N653" s="61">
        <f>SUMIFS(INDEX(detail_table[],,MATCH(M653,detail_table[#Headers],0)),detail_table[Project Type],"&lt;&gt;"&amp;"")</f>
        <v>0</v>
      </c>
    </row>
    <row r="654" spans="13:14" x14ac:dyDescent="0.35">
      <c r="M654" s="64" t="s">
        <v>978</v>
      </c>
      <c r="N654" s="61">
        <f>SUMIFS(INDEX(detail_table[],,MATCH(M654,detail_table[#Headers],0)),detail_table[Project Type],"&lt;&gt;"&amp;"")</f>
        <v>0</v>
      </c>
    </row>
    <row r="655" spans="13:14" x14ac:dyDescent="0.35">
      <c r="M655" s="64" t="s">
        <v>979</v>
      </c>
      <c r="N655" s="61">
        <f>SUMIFS(INDEX(detail_table[],,MATCH(M655,detail_table[#Headers],0)),detail_table[Project Type],"&lt;&gt;"&amp;"")</f>
        <v>0</v>
      </c>
    </row>
    <row r="656" spans="13:14" x14ac:dyDescent="0.35">
      <c r="M656" s="64" t="s">
        <v>980</v>
      </c>
      <c r="N656" s="61">
        <f>SUMIFS(INDEX(detail_table[],,MATCH(M656,detail_table[#Headers],0)),detail_table[Project Type],"&lt;&gt;"&amp;"")</f>
        <v>0</v>
      </c>
    </row>
    <row r="657" spans="13:14" x14ac:dyDescent="0.35">
      <c r="M657" s="64" t="s">
        <v>981</v>
      </c>
      <c r="N657" s="61">
        <f>SUMIFS(INDEX(detail_table[],,MATCH(M657,detail_table[#Headers],0)),detail_table[Project Type],"&lt;&gt;"&amp;"")</f>
        <v>0</v>
      </c>
    </row>
    <row r="658" spans="13:14" x14ac:dyDescent="0.35">
      <c r="M658" s="64" t="s">
        <v>982</v>
      </c>
      <c r="N658" s="61">
        <f>SUMIFS(INDEX(detail_table[],,MATCH(M658,detail_table[#Headers],0)),detail_table[Project Type],"&lt;&gt;"&amp;"")</f>
        <v>0</v>
      </c>
    </row>
    <row r="659" spans="13:14" x14ac:dyDescent="0.35">
      <c r="M659" s="64" t="s">
        <v>983</v>
      </c>
      <c r="N659" s="61">
        <f>SUMIFS(INDEX(detail_table[],,MATCH(M659,detail_table[#Headers],0)),detail_table[Project Type],"&lt;&gt;"&amp;"")</f>
        <v>0</v>
      </c>
    </row>
    <row r="660" spans="13:14" x14ac:dyDescent="0.35">
      <c r="M660" s="64" t="s">
        <v>984</v>
      </c>
      <c r="N660" s="61">
        <f>SUMIFS(INDEX(detail_table[],,MATCH(M660,detail_table[#Headers],0)),detail_table[Project Type],"&lt;&gt;"&amp;"")</f>
        <v>0</v>
      </c>
    </row>
    <row r="661" spans="13:14" x14ac:dyDescent="0.35">
      <c r="M661" s="64" t="s">
        <v>985</v>
      </c>
      <c r="N661" s="61">
        <f>SUMIFS(INDEX(detail_table[],,MATCH(M661,detail_table[#Headers],0)),detail_table[Project Type],"&lt;&gt;"&amp;"")</f>
        <v>0</v>
      </c>
    </row>
    <row r="662" spans="13:14" x14ac:dyDescent="0.35">
      <c r="M662" s="64" t="s">
        <v>986</v>
      </c>
      <c r="N662" s="61">
        <f>SUMIFS(INDEX(detail_table[],,MATCH(M662,detail_table[#Headers],0)),detail_table[Project Type],"&lt;&gt;"&amp;"")</f>
        <v>0</v>
      </c>
    </row>
    <row r="663" spans="13:14" x14ac:dyDescent="0.35">
      <c r="M663" s="64" t="s">
        <v>987</v>
      </c>
      <c r="N663" s="61">
        <f>SUMIFS(INDEX(detail_table[],,MATCH(M663,detail_table[#Headers],0)),detail_table[Project Type],"&lt;&gt;"&amp;"")</f>
        <v>0</v>
      </c>
    </row>
    <row r="664" spans="13:14" x14ac:dyDescent="0.35">
      <c r="M664" s="64" t="s">
        <v>988</v>
      </c>
      <c r="N664" s="61">
        <f>SUMIFS(INDEX(detail_table[],,MATCH(M664,detail_table[#Headers],0)),detail_table[Project Type],"&lt;&gt;"&amp;"")</f>
        <v>0</v>
      </c>
    </row>
    <row r="665" spans="13:14" x14ac:dyDescent="0.35">
      <c r="M665" s="64" t="s">
        <v>989</v>
      </c>
      <c r="N665" s="61">
        <f>SUMIFS(INDEX(detail_table[],,MATCH(M665,detail_table[#Headers],0)),detail_table[Project Type],"&lt;&gt;"&amp;"")</f>
        <v>0</v>
      </c>
    </row>
    <row r="666" spans="13:14" x14ac:dyDescent="0.35">
      <c r="M666" s="64" t="s">
        <v>990</v>
      </c>
      <c r="N666" s="61">
        <f>SUMIFS(INDEX(detail_table[],,MATCH(M666,detail_table[#Headers],0)),detail_table[Project Type],"&lt;&gt;"&amp;"")</f>
        <v>0</v>
      </c>
    </row>
    <row r="667" spans="13:14" x14ac:dyDescent="0.35">
      <c r="M667" s="64" t="s">
        <v>991</v>
      </c>
      <c r="N667" s="61">
        <f>SUMIFS(INDEX(detail_table[],,MATCH(M667,detail_table[#Headers],0)),detail_table[Project Type],"&lt;&gt;"&amp;"")</f>
        <v>0</v>
      </c>
    </row>
    <row r="668" spans="13:14" x14ac:dyDescent="0.35">
      <c r="M668" s="64" t="s">
        <v>992</v>
      </c>
      <c r="N668" s="61">
        <f>SUMIFS(INDEX(detail_table[],,MATCH(M668,detail_table[#Headers],0)),detail_table[Project Type],"&lt;&gt;"&amp;"")</f>
        <v>0</v>
      </c>
    </row>
    <row r="669" spans="13:14" x14ac:dyDescent="0.35">
      <c r="M669" s="64" t="s">
        <v>993</v>
      </c>
      <c r="N669" s="61">
        <f>SUMIFS(INDEX(detail_table[],,MATCH(M669,detail_table[#Headers],0)),detail_table[Project Type],"&lt;&gt;"&amp;"")</f>
        <v>0</v>
      </c>
    </row>
    <row r="670" spans="13:14" x14ac:dyDescent="0.35">
      <c r="M670" s="64" t="s">
        <v>994</v>
      </c>
      <c r="N670" s="61">
        <f>SUMIFS(INDEX(detail_table[],,MATCH(M670,detail_table[#Headers],0)),detail_table[Project Type],"&lt;&gt;"&amp;"")</f>
        <v>0</v>
      </c>
    </row>
    <row r="671" spans="13:14" x14ac:dyDescent="0.35">
      <c r="M671" s="64" t="s">
        <v>995</v>
      </c>
      <c r="N671" s="61">
        <f>SUMIFS(INDEX(detail_table[],,MATCH(M671,detail_table[#Headers],0)),detail_table[Project Type],"&lt;&gt;"&amp;"")</f>
        <v>0</v>
      </c>
    </row>
    <row r="672" spans="13:14" x14ac:dyDescent="0.35">
      <c r="M672" s="64" t="s">
        <v>996</v>
      </c>
      <c r="N672" s="61">
        <f>SUMIFS(INDEX(detail_table[],,MATCH(M672,detail_table[#Headers],0)),detail_table[Project Type],"&lt;&gt;"&amp;"")</f>
        <v>0</v>
      </c>
    </row>
    <row r="673" spans="13:14" x14ac:dyDescent="0.35">
      <c r="M673" s="64" t="s">
        <v>997</v>
      </c>
      <c r="N673" s="61">
        <f>SUMIFS(INDEX(detail_table[],,MATCH(M673,detail_table[#Headers],0)),detail_table[Project Type],"&lt;&gt;"&amp;"")</f>
        <v>0</v>
      </c>
    </row>
    <row r="674" spans="13:14" x14ac:dyDescent="0.35">
      <c r="M674" s="64" t="s">
        <v>998</v>
      </c>
      <c r="N674" s="61">
        <f>SUMIFS(INDEX(detail_table[],,MATCH(M674,detail_table[#Headers],0)),detail_table[Project Type],"&lt;&gt;"&amp;"")</f>
        <v>0</v>
      </c>
    </row>
    <row r="675" spans="13:14" x14ac:dyDescent="0.35">
      <c r="M675" s="64" t="s">
        <v>999</v>
      </c>
      <c r="N675" s="61">
        <f>SUMIFS(INDEX(detail_table[],,MATCH(M675,detail_table[#Headers],0)),detail_table[Project Type],"&lt;&gt;"&amp;"")</f>
        <v>0</v>
      </c>
    </row>
    <row r="676" spans="13:14" x14ac:dyDescent="0.35">
      <c r="M676" s="64" t="s">
        <v>1000</v>
      </c>
      <c r="N676" s="61">
        <f>SUMIFS(INDEX(detail_table[],,MATCH(M676,detail_table[#Headers],0)),detail_table[Project Type],"&lt;&gt;"&amp;"")</f>
        <v>0</v>
      </c>
    </row>
    <row r="677" spans="13:14" x14ac:dyDescent="0.35">
      <c r="M677" s="64" t="s">
        <v>1001</v>
      </c>
      <c r="N677" s="61">
        <f>SUMIFS(INDEX(detail_table[],,MATCH(M677,detail_table[#Headers],0)),detail_table[Project Type],"&lt;&gt;"&amp;"")</f>
        <v>0</v>
      </c>
    </row>
    <row r="678" spans="13:14" x14ac:dyDescent="0.35">
      <c r="M678" s="64" t="s">
        <v>1002</v>
      </c>
      <c r="N678" s="61">
        <f>SUMIFS(INDEX(detail_table[],,MATCH(M678,detail_table[#Headers],0)),detail_table[Project Type],"&lt;&gt;"&amp;"")</f>
        <v>0</v>
      </c>
    </row>
    <row r="679" spans="13:14" x14ac:dyDescent="0.35">
      <c r="M679" s="64" t="s">
        <v>1003</v>
      </c>
      <c r="N679" s="61">
        <f>SUMIFS(INDEX(detail_table[],,MATCH(M679,detail_table[#Headers],0)),detail_table[Project Type],"&lt;&gt;"&amp;"")</f>
        <v>0</v>
      </c>
    </row>
    <row r="680" spans="13:14" x14ac:dyDescent="0.35">
      <c r="M680" s="64" t="s">
        <v>1004</v>
      </c>
      <c r="N680" s="61">
        <f>SUMIFS(INDEX(detail_table[],,MATCH(M680,detail_table[#Headers],0)),detail_table[Project Type],"&lt;&gt;"&amp;"")</f>
        <v>0</v>
      </c>
    </row>
    <row r="681" spans="13:14" x14ac:dyDescent="0.35">
      <c r="M681" s="64" t="s">
        <v>1005</v>
      </c>
      <c r="N681" s="61">
        <f>SUMIFS(INDEX(detail_table[],,MATCH(M681,detail_table[#Headers],0)),detail_table[Project Type],"&lt;&gt;"&amp;"")</f>
        <v>0</v>
      </c>
    </row>
    <row r="682" spans="13:14" x14ac:dyDescent="0.35">
      <c r="M682" s="64" t="s">
        <v>1006</v>
      </c>
      <c r="N682" s="61">
        <f>SUMIFS(INDEX(detail_table[],,MATCH(M682,detail_table[#Headers],0)),detail_table[Project Type],"&lt;&gt;"&amp;"")</f>
        <v>0</v>
      </c>
    </row>
    <row r="683" spans="13:14" x14ac:dyDescent="0.35">
      <c r="M683" s="64" t="s">
        <v>1007</v>
      </c>
      <c r="N683" s="61">
        <f>SUMIFS(INDEX(detail_table[],,MATCH(M683,detail_table[#Headers],0)),detail_table[Project Type],"&lt;&gt;"&amp;"")</f>
        <v>0</v>
      </c>
    </row>
    <row r="684" spans="13:14" x14ac:dyDescent="0.35">
      <c r="M684" s="64" t="s">
        <v>1008</v>
      </c>
      <c r="N684" s="61">
        <f>SUMIFS(INDEX(detail_table[],,MATCH(M684,detail_table[#Headers],0)),detail_table[Project Type],"&lt;&gt;"&amp;"")</f>
        <v>0</v>
      </c>
    </row>
    <row r="685" spans="13:14" x14ac:dyDescent="0.35">
      <c r="M685" s="64" t="s">
        <v>1009</v>
      </c>
      <c r="N685" s="61">
        <f>SUMIFS(INDEX(detail_table[],,MATCH(M685,detail_table[#Headers],0)),detail_table[Project Type],"&lt;&gt;"&amp;"")</f>
        <v>0</v>
      </c>
    </row>
    <row r="686" spans="13:14" x14ac:dyDescent="0.35">
      <c r="M686" s="64" t="s">
        <v>1010</v>
      </c>
      <c r="N686" s="61">
        <f>SUMIFS(INDEX(detail_table[],,MATCH(M686,detail_table[#Headers],0)),detail_table[Project Type],"&lt;&gt;"&amp;"")</f>
        <v>0</v>
      </c>
    </row>
    <row r="687" spans="13:14" x14ac:dyDescent="0.35">
      <c r="M687" s="64" t="s">
        <v>1011</v>
      </c>
      <c r="N687" s="61">
        <f>SUMIFS(INDEX(detail_table[],,MATCH(M687,detail_table[#Headers],0)),detail_table[Project Type],"&lt;&gt;"&amp;"")</f>
        <v>0</v>
      </c>
    </row>
    <row r="688" spans="13:14" x14ac:dyDescent="0.35">
      <c r="M688" s="64" t="s">
        <v>1012</v>
      </c>
      <c r="N688" s="61">
        <f>SUMIFS(INDEX(detail_table[],,MATCH(M688,detail_table[#Headers],0)),detail_table[Project Type],"&lt;&gt;"&amp;"")</f>
        <v>0</v>
      </c>
    </row>
    <row r="689" spans="13:14" x14ac:dyDescent="0.35">
      <c r="M689" s="64" t="s">
        <v>2465</v>
      </c>
      <c r="N689" s="61">
        <f>SUMIFS(INDEX(detail_table[],,MATCH(M689,detail_table[#Headers],0)),detail_table[Project Type],"&lt;&gt;"&amp;"")</f>
        <v>0</v>
      </c>
    </row>
    <row r="690" spans="13:14" x14ac:dyDescent="0.35">
      <c r="M690" s="64" t="s">
        <v>2466</v>
      </c>
      <c r="N690" s="61">
        <f>SUMIFS(INDEX(detail_table[],,MATCH(M690,detail_table[#Headers],0)),detail_table[Project Type],"&lt;&gt;"&amp;"")</f>
        <v>0</v>
      </c>
    </row>
    <row r="691" spans="13:14" x14ac:dyDescent="0.35">
      <c r="M691" s="64" t="s">
        <v>2467</v>
      </c>
      <c r="N691" s="61">
        <f>SUMIFS(INDEX(detail_table[],,MATCH(M691,detail_table[#Headers],0)),detail_table[Project Type],"&lt;&gt;"&amp;"")</f>
        <v>0</v>
      </c>
    </row>
    <row r="692" spans="13:14" x14ac:dyDescent="0.35">
      <c r="M692" s="64" t="s">
        <v>2468</v>
      </c>
      <c r="N692" s="61">
        <f>SUMIFS(INDEX(detail_table[],,MATCH(M692,detail_table[#Headers],0)),detail_table[Project Type],"&lt;&gt;"&amp;"")</f>
        <v>0</v>
      </c>
    </row>
    <row r="693" spans="13:14" x14ac:dyDescent="0.35">
      <c r="M693" s="64" t="s">
        <v>2469</v>
      </c>
      <c r="N693" s="61">
        <f>SUMIFS(INDEX(detail_table[],,MATCH(M693,detail_table[#Headers],0)),detail_table[Project Type],"&lt;&gt;"&amp;"")</f>
        <v>0</v>
      </c>
    </row>
    <row r="694" spans="13:14" x14ac:dyDescent="0.35">
      <c r="M694" s="64" t="s">
        <v>1013</v>
      </c>
      <c r="N694" s="61">
        <f>SUMIFS(INDEX(detail_table[],,MATCH(M694,detail_table[#Headers],0)),detail_table[Project Type],"&lt;&gt;"&amp;"")</f>
        <v>0</v>
      </c>
    </row>
    <row r="695" spans="13:14" x14ac:dyDescent="0.35">
      <c r="M695" s="64" t="s">
        <v>1014</v>
      </c>
      <c r="N695" s="61">
        <f>SUMIFS(INDEX(detail_table[],,MATCH(M695,detail_table[#Headers],0)),detail_table[Project Type],"&lt;&gt;"&amp;"")</f>
        <v>0</v>
      </c>
    </row>
    <row r="696" spans="13:14" x14ac:dyDescent="0.35">
      <c r="M696" s="64" t="s">
        <v>1015</v>
      </c>
      <c r="N696" s="61">
        <f>SUMIFS(INDEX(detail_table[],,MATCH(M696,detail_table[#Headers],0)),detail_table[Project Type],"&lt;&gt;"&amp;"")</f>
        <v>0</v>
      </c>
    </row>
    <row r="697" spans="13:14" x14ac:dyDescent="0.35">
      <c r="M697" s="64" t="s">
        <v>1016</v>
      </c>
      <c r="N697" s="61">
        <f>SUMIFS(INDEX(detail_table[],,MATCH(M697,detail_table[#Headers],0)),detail_table[Project Type],"&lt;&gt;"&amp;"")</f>
        <v>0</v>
      </c>
    </row>
    <row r="698" spans="13:14" x14ac:dyDescent="0.35">
      <c r="M698" s="64" t="s">
        <v>1017</v>
      </c>
      <c r="N698" s="61">
        <f>SUMIFS(INDEX(detail_table[],,MATCH(M698,detail_table[#Headers],0)),detail_table[Project Type],"&lt;&gt;"&amp;"")</f>
        <v>0</v>
      </c>
    </row>
    <row r="699" spans="13:14" x14ac:dyDescent="0.35">
      <c r="M699" s="64" t="s">
        <v>1018</v>
      </c>
      <c r="N699" s="61">
        <f>SUMIFS(INDEX(detail_table[],,MATCH(M699,detail_table[#Headers],0)),detail_table[Project Type],"&lt;&gt;"&amp;"")</f>
        <v>0</v>
      </c>
    </row>
    <row r="700" spans="13:14" x14ac:dyDescent="0.35">
      <c r="M700" s="64" t="s">
        <v>1019</v>
      </c>
      <c r="N700" s="61">
        <f>SUMIFS(INDEX(detail_table[],,MATCH(M700,detail_table[#Headers],0)),detail_table[Project Type],"&lt;&gt;"&amp;"")</f>
        <v>0</v>
      </c>
    </row>
    <row r="701" spans="13:14" x14ac:dyDescent="0.35">
      <c r="M701" s="64" t="s">
        <v>1020</v>
      </c>
      <c r="N701" s="61">
        <f>SUMIFS(INDEX(detail_table[],,MATCH(M701,detail_table[#Headers],0)),detail_table[Project Type],"&lt;&gt;"&amp;"")</f>
        <v>0</v>
      </c>
    </row>
    <row r="702" spans="13:14" x14ac:dyDescent="0.35">
      <c r="M702" s="64" t="s">
        <v>1021</v>
      </c>
      <c r="N702" s="61">
        <f>SUMIFS(INDEX(detail_table[],,MATCH(M702,detail_table[#Headers],0)),detail_table[Project Type],"&lt;&gt;"&amp;"")</f>
        <v>0</v>
      </c>
    </row>
    <row r="703" spans="13:14" x14ac:dyDescent="0.35">
      <c r="M703" s="64" t="s">
        <v>1022</v>
      </c>
      <c r="N703" s="61">
        <f>SUMIFS(INDEX(detail_table[],,MATCH(M703,detail_table[#Headers],0)),detail_table[Project Type],"&lt;&gt;"&amp;"")</f>
        <v>0</v>
      </c>
    </row>
    <row r="704" spans="13:14" x14ac:dyDescent="0.35">
      <c r="M704" s="64" t="s">
        <v>1023</v>
      </c>
      <c r="N704" s="61">
        <f>SUMIFS(INDEX(detail_table[],,MATCH(M704,detail_table[#Headers],0)),detail_table[Project Type],"&lt;&gt;"&amp;"")</f>
        <v>0</v>
      </c>
    </row>
    <row r="705" spans="13:14" x14ac:dyDescent="0.35">
      <c r="M705" s="64" t="s">
        <v>1024</v>
      </c>
      <c r="N705" s="61">
        <f>SUMIFS(INDEX(detail_table[],,MATCH(M705,detail_table[#Headers],0)),detail_table[Project Type],"&lt;&gt;"&amp;"")</f>
        <v>0</v>
      </c>
    </row>
    <row r="706" spans="13:14" x14ac:dyDescent="0.35">
      <c r="M706" s="64" t="s">
        <v>1025</v>
      </c>
      <c r="N706" s="61">
        <f>SUMIFS(INDEX(detail_table[],,MATCH(M706,detail_table[#Headers],0)),detail_table[Project Type],"&lt;&gt;"&amp;"")</f>
        <v>0</v>
      </c>
    </row>
    <row r="707" spans="13:14" x14ac:dyDescent="0.35">
      <c r="M707" s="64" t="s">
        <v>1026</v>
      </c>
      <c r="N707" s="61">
        <f>SUMIFS(INDEX(detail_table[],,MATCH(M707,detail_table[#Headers],0)),detail_table[Project Type],"&lt;&gt;"&amp;"")</f>
        <v>0</v>
      </c>
    </row>
    <row r="708" spans="13:14" x14ac:dyDescent="0.35">
      <c r="M708" s="64" t="s">
        <v>1027</v>
      </c>
      <c r="N708" s="61">
        <f>SUMIFS(INDEX(detail_table[],,MATCH(M708,detail_table[#Headers],0)),detail_table[Project Type],"&lt;&gt;"&amp;"")</f>
        <v>0</v>
      </c>
    </row>
    <row r="709" spans="13:14" x14ac:dyDescent="0.35">
      <c r="M709" s="64" t="s">
        <v>1028</v>
      </c>
      <c r="N709" s="61">
        <f>SUMIFS(INDEX(detail_table[],,MATCH(M709,detail_table[#Headers],0)),detail_table[Project Type],"&lt;&gt;"&amp;"")</f>
        <v>0</v>
      </c>
    </row>
    <row r="710" spans="13:14" x14ac:dyDescent="0.35">
      <c r="M710" s="64" t="s">
        <v>1029</v>
      </c>
      <c r="N710" s="61">
        <f>SUMIFS(INDEX(detail_table[],,MATCH(M710,detail_table[#Headers],0)),detail_table[Project Type],"&lt;&gt;"&amp;"")</f>
        <v>0</v>
      </c>
    </row>
    <row r="711" spans="13:14" x14ac:dyDescent="0.35">
      <c r="M711" s="64" t="s">
        <v>1030</v>
      </c>
      <c r="N711" s="61">
        <f>SUMIFS(INDEX(detail_table[],,MATCH(M711,detail_table[#Headers],0)),detail_table[Project Type],"&lt;&gt;"&amp;"")</f>
        <v>0</v>
      </c>
    </row>
    <row r="712" spans="13:14" x14ac:dyDescent="0.35">
      <c r="M712" s="64" t="s">
        <v>1031</v>
      </c>
      <c r="N712" s="61">
        <f>SUMIFS(INDEX(detail_table[],,MATCH(M712,detail_table[#Headers],0)),detail_table[Project Type],"&lt;&gt;"&amp;"")</f>
        <v>0</v>
      </c>
    </row>
    <row r="713" spans="13:14" x14ac:dyDescent="0.35">
      <c r="M713" s="64" t="s">
        <v>1032</v>
      </c>
      <c r="N713" s="61">
        <f>SUMIFS(INDEX(detail_table[],,MATCH(M713,detail_table[#Headers],0)),detail_table[Project Type],"&lt;&gt;"&amp;"")</f>
        <v>0</v>
      </c>
    </row>
    <row r="714" spans="13:14" x14ac:dyDescent="0.35">
      <c r="M714" s="64" t="s">
        <v>1962</v>
      </c>
      <c r="N714" s="61">
        <f>SUMIFS(INDEX(detail_table[],,MATCH(M714,detail_table[#Headers],0)),detail_table[Project Type],"&lt;&gt;"&amp;"")</f>
        <v>0</v>
      </c>
    </row>
    <row r="715" spans="13:14" x14ac:dyDescent="0.35">
      <c r="M715" s="64" t="s">
        <v>1963</v>
      </c>
      <c r="N715" s="61">
        <f>SUMIFS(INDEX(detail_table[],,MATCH(M715,detail_table[#Headers],0)),detail_table[Project Type],"&lt;&gt;"&amp;"")</f>
        <v>0</v>
      </c>
    </row>
    <row r="716" spans="13:14" x14ac:dyDescent="0.35">
      <c r="M716" s="64" t="s">
        <v>1964</v>
      </c>
      <c r="N716" s="61">
        <f>SUMIFS(INDEX(detail_table[],,MATCH(M716,detail_table[#Headers],0)),detail_table[Project Type],"&lt;&gt;"&amp;"")</f>
        <v>0</v>
      </c>
    </row>
    <row r="717" spans="13:14" x14ac:dyDescent="0.35">
      <c r="M717" s="64" t="s">
        <v>1965</v>
      </c>
      <c r="N717" s="61">
        <f>SUMIFS(INDEX(detail_table[],,MATCH(M717,detail_table[#Headers],0)),detail_table[Project Type],"&lt;&gt;"&amp;"")</f>
        <v>0</v>
      </c>
    </row>
    <row r="718" spans="13:14" x14ac:dyDescent="0.35">
      <c r="M718" s="64" t="s">
        <v>1966</v>
      </c>
      <c r="N718" s="61">
        <f>SUMIFS(INDEX(detail_table[],,MATCH(M718,detail_table[#Headers],0)),detail_table[Project Type],"&lt;&gt;"&amp;"")</f>
        <v>0</v>
      </c>
    </row>
    <row r="719" spans="13:14" x14ac:dyDescent="0.35">
      <c r="M719" s="64" t="s">
        <v>1033</v>
      </c>
      <c r="N719" s="61">
        <f>SUMIFS(INDEX(detail_table[],,MATCH(M719,detail_table[#Headers],0)),detail_table[Project Type],"&lt;&gt;"&amp;"")</f>
        <v>0</v>
      </c>
    </row>
    <row r="720" spans="13:14" x14ac:dyDescent="0.35">
      <c r="M720" s="64" t="s">
        <v>1034</v>
      </c>
      <c r="N720" s="61">
        <f>SUMIFS(INDEX(detail_table[],,MATCH(M720,detail_table[#Headers],0)),detail_table[Project Type],"&lt;&gt;"&amp;"")</f>
        <v>0</v>
      </c>
    </row>
    <row r="721" spans="13:14" x14ac:dyDescent="0.35">
      <c r="M721" s="64" t="s">
        <v>1035</v>
      </c>
      <c r="N721" s="61">
        <f>SUMIFS(INDEX(detail_table[],,MATCH(M721,detail_table[#Headers],0)),detail_table[Project Type],"&lt;&gt;"&amp;"")</f>
        <v>0</v>
      </c>
    </row>
    <row r="722" spans="13:14" x14ac:dyDescent="0.35">
      <c r="M722" s="64" t="s">
        <v>1036</v>
      </c>
      <c r="N722" s="61">
        <f>SUMIFS(INDEX(detail_table[],,MATCH(M722,detail_table[#Headers],0)),detail_table[Project Type],"&lt;&gt;"&amp;"")</f>
        <v>0</v>
      </c>
    </row>
    <row r="723" spans="13:14" x14ac:dyDescent="0.35">
      <c r="M723" s="64" t="s">
        <v>1037</v>
      </c>
      <c r="N723" s="61">
        <f>SUMIFS(INDEX(detail_table[],,MATCH(M723,detail_table[#Headers],0)),detail_table[Project Type],"&lt;&gt;"&amp;"")</f>
        <v>0</v>
      </c>
    </row>
    <row r="724" spans="13:14" x14ac:dyDescent="0.35">
      <c r="M724" s="64" t="s">
        <v>1038</v>
      </c>
      <c r="N724" s="61">
        <f>SUMIFS(INDEX(detail_table[],,MATCH(M724,detail_table[#Headers],0)),detail_table[Project Type],"&lt;&gt;"&amp;"")</f>
        <v>0</v>
      </c>
    </row>
    <row r="725" spans="13:14" x14ac:dyDescent="0.35">
      <c r="M725" s="64" t="s">
        <v>1039</v>
      </c>
      <c r="N725" s="61">
        <f>SUMIFS(INDEX(detail_table[],,MATCH(M725,detail_table[#Headers],0)),detail_table[Project Type],"&lt;&gt;"&amp;"")</f>
        <v>0</v>
      </c>
    </row>
    <row r="726" spans="13:14" x14ac:dyDescent="0.35">
      <c r="M726" s="64" t="s">
        <v>1040</v>
      </c>
      <c r="N726" s="61">
        <f>SUMIFS(INDEX(detail_table[],,MATCH(M726,detail_table[#Headers],0)),detail_table[Project Type],"&lt;&gt;"&amp;"")</f>
        <v>0</v>
      </c>
    </row>
    <row r="727" spans="13:14" x14ac:dyDescent="0.35">
      <c r="M727" s="64" t="s">
        <v>1041</v>
      </c>
      <c r="N727" s="61">
        <f>SUMIFS(INDEX(detail_table[],,MATCH(M727,detail_table[#Headers],0)),detail_table[Project Type],"&lt;&gt;"&amp;"")</f>
        <v>0</v>
      </c>
    </row>
    <row r="728" spans="13:14" x14ac:dyDescent="0.35">
      <c r="M728" s="64" t="s">
        <v>1042</v>
      </c>
      <c r="N728" s="61">
        <f>SUMIFS(INDEX(detail_table[],,MATCH(M728,detail_table[#Headers],0)),detail_table[Project Type],"&lt;&gt;"&amp;"")</f>
        <v>0</v>
      </c>
    </row>
    <row r="729" spans="13:14" x14ac:dyDescent="0.35">
      <c r="M729" s="64" t="s">
        <v>1968</v>
      </c>
      <c r="N729" s="61">
        <f>SUMIFS(INDEX(detail_table[],,MATCH(M729,detail_table[#Headers],0)),detail_table[Project Type],"&lt;&gt;"&amp;"")</f>
        <v>0</v>
      </c>
    </row>
    <row r="730" spans="13:14" x14ac:dyDescent="0.35">
      <c r="M730" s="64" t="s">
        <v>1969</v>
      </c>
      <c r="N730" s="61">
        <f>SUMIFS(INDEX(detail_table[],,MATCH(M730,detail_table[#Headers],0)),detail_table[Project Type],"&lt;&gt;"&amp;"")</f>
        <v>0</v>
      </c>
    </row>
    <row r="731" spans="13:14" x14ac:dyDescent="0.35">
      <c r="M731" s="64" t="s">
        <v>1970</v>
      </c>
      <c r="N731" s="61">
        <f>SUMIFS(INDEX(detail_table[],,MATCH(M731,detail_table[#Headers],0)),detail_table[Project Type],"&lt;&gt;"&amp;"")</f>
        <v>0</v>
      </c>
    </row>
    <row r="732" spans="13:14" x14ac:dyDescent="0.35">
      <c r="M732" s="64" t="s">
        <v>1971</v>
      </c>
      <c r="N732" s="61">
        <f>SUMIFS(INDEX(detail_table[],,MATCH(M732,detail_table[#Headers],0)),detail_table[Project Type],"&lt;&gt;"&amp;"")</f>
        <v>0</v>
      </c>
    </row>
    <row r="733" spans="13:14" x14ac:dyDescent="0.35">
      <c r="M733" s="64" t="s">
        <v>1972</v>
      </c>
      <c r="N733" s="61">
        <f>SUMIFS(INDEX(detail_table[],,MATCH(M733,detail_table[#Headers],0)),detail_table[Project Type],"&lt;&gt;"&amp;"")</f>
        <v>0</v>
      </c>
    </row>
    <row r="734" spans="13:14" x14ac:dyDescent="0.35">
      <c r="M734" s="64" t="s">
        <v>1973</v>
      </c>
      <c r="N734" s="61">
        <f>SUMIFS(INDEX(detail_table[],,MATCH(M734,detail_table[#Headers],0)),detail_table[Project Type],"&lt;&gt;"&amp;"")</f>
        <v>0</v>
      </c>
    </row>
    <row r="735" spans="13:14" x14ac:dyDescent="0.35">
      <c r="M735" s="64" t="s">
        <v>1974</v>
      </c>
      <c r="N735" s="61">
        <f>SUMIFS(INDEX(detail_table[],,MATCH(M735,detail_table[#Headers],0)),detail_table[Project Type],"&lt;&gt;"&amp;"")</f>
        <v>0</v>
      </c>
    </row>
    <row r="736" spans="13:14" x14ac:dyDescent="0.35">
      <c r="M736" s="64" t="s">
        <v>1975</v>
      </c>
      <c r="N736" s="61">
        <f>SUMIFS(INDEX(detail_table[],,MATCH(M736,detail_table[#Headers],0)),detail_table[Project Type],"&lt;&gt;"&amp;"")</f>
        <v>0</v>
      </c>
    </row>
    <row r="737" spans="13:14" x14ac:dyDescent="0.35">
      <c r="M737" s="64" t="s">
        <v>1976</v>
      </c>
      <c r="N737" s="61">
        <f>SUMIFS(INDEX(detail_table[],,MATCH(M737,detail_table[#Headers],0)),detail_table[Project Type],"&lt;&gt;"&amp;"")</f>
        <v>0</v>
      </c>
    </row>
    <row r="738" spans="13:14" x14ac:dyDescent="0.35">
      <c r="M738" s="64" t="s">
        <v>1977</v>
      </c>
      <c r="N738" s="61">
        <f>SUMIFS(INDEX(detail_table[],,MATCH(M738,detail_table[#Headers],0)),detail_table[Project Type],"&lt;&gt;"&amp;"")</f>
        <v>0</v>
      </c>
    </row>
    <row r="739" spans="13:14" x14ac:dyDescent="0.35">
      <c r="M739" s="64" t="s">
        <v>1978</v>
      </c>
      <c r="N739" s="61">
        <f>SUMIFS(INDEX(detail_table[],,MATCH(M739,detail_table[#Headers],0)),detail_table[Project Type],"&lt;&gt;"&amp;"")</f>
        <v>0</v>
      </c>
    </row>
    <row r="740" spans="13:14" x14ac:dyDescent="0.35">
      <c r="M740" s="64" t="s">
        <v>1979</v>
      </c>
      <c r="N740" s="61">
        <f>SUMIFS(INDEX(detail_table[],,MATCH(M740,detail_table[#Headers],0)),detail_table[Project Type],"&lt;&gt;"&amp;"")</f>
        <v>0</v>
      </c>
    </row>
    <row r="741" spans="13:14" x14ac:dyDescent="0.35">
      <c r="M741" s="64" t="s">
        <v>1980</v>
      </c>
      <c r="N741" s="61">
        <f>SUMIFS(INDEX(detail_table[],,MATCH(M741,detail_table[#Headers],0)),detail_table[Project Type],"&lt;&gt;"&amp;"")</f>
        <v>0</v>
      </c>
    </row>
    <row r="742" spans="13:14" x14ac:dyDescent="0.35">
      <c r="M742" s="64" t="s">
        <v>1992</v>
      </c>
      <c r="N742" s="61">
        <f>SUMIFS(INDEX(detail_table[],,MATCH(M742,detail_table[#Headers],0)),detail_table[Project Type],"&lt;&gt;"&amp;"")</f>
        <v>0</v>
      </c>
    </row>
    <row r="743" spans="13:14" x14ac:dyDescent="0.35">
      <c r="M743" s="64" t="s">
        <v>1981</v>
      </c>
      <c r="N743" s="61">
        <f>SUMIFS(INDEX(detail_table[],,MATCH(M743,detail_table[#Headers],0)),detail_table[Project Type],"&lt;&gt;"&amp;"")</f>
        <v>0</v>
      </c>
    </row>
    <row r="744" spans="13:14" x14ac:dyDescent="0.35">
      <c r="M744" s="64" t="s">
        <v>1982</v>
      </c>
      <c r="N744" s="61">
        <f>SUMIFS(INDEX(detail_table[],,MATCH(M744,detail_table[#Headers],0)),detail_table[Project Type],"&lt;&gt;"&amp;"")</f>
        <v>0</v>
      </c>
    </row>
    <row r="745" spans="13:14" x14ac:dyDescent="0.35">
      <c r="M745" s="64" t="s">
        <v>1983</v>
      </c>
      <c r="N745" s="61">
        <f>SUMIFS(INDEX(detail_table[],,MATCH(M745,detail_table[#Headers],0)),detail_table[Project Type],"&lt;&gt;"&amp;"")</f>
        <v>0</v>
      </c>
    </row>
    <row r="746" spans="13:14" x14ac:dyDescent="0.35">
      <c r="M746" s="64" t="s">
        <v>1984</v>
      </c>
      <c r="N746" s="61">
        <f>SUMIFS(INDEX(detail_table[],,MATCH(M746,detail_table[#Headers],0)),detail_table[Project Type],"&lt;&gt;"&amp;"")</f>
        <v>0</v>
      </c>
    </row>
    <row r="747" spans="13:14" x14ac:dyDescent="0.35">
      <c r="M747" s="64" t="s">
        <v>1985</v>
      </c>
      <c r="N747" s="61">
        <f>SUMIFS(INDEX(detail_table[],,MATCH(M747,detail_table[#Headers],0)),detail_table[Project Type],"&lt;&gt;"&amp;"")</f>
        <v>0</v>
      </c>
    </row>
    <row r="748" spans="13:14" x14ac:dyDescent="0.35">
      <c r="M748" s="64" t="s">
        <v>1986</v>
      </c>
      <c r="N748" s="61">
        <f>SUMIFS(INDEX(detail_table[],,MATCH(M748,detail_table[#Headers],0)),detail_table[Project Type],"&lt;&gt;"&amp;"")</f>
        <v>0</v>
      </c>
    </row>
    <row r="749" spans="13:14" x14ac:dyDescent="0.35">
      <c r="M749" s="64" t="s">
        <v>1987</v>
      </c>
      <c r="N749" s="61">
        <f>SUMIFS(INDEX(detail_table[],,MATCH(M749,detail_table[#Headers],0)),detail_table[Project Type],"&lt;&gt;"&amp;"")</f>
        <v>0</v>
      </c>
    </row>
    <row r="750" spans="13:14" x14ac:dyDescent="0.35">
      <c r="M750" s="64" t="s">
        <v>1988</v>
      </c>
      <c r="N750" s="61">
        <f>SUMIFS(INDEX(detail_table[],,MATCH(M750,detail_table[#Headers],0)),detail_table[Project Type],"&lt;&gt;"&amp;"")</f>
        <v>0</v>
      </c>
    </row>
    <row r="751" spans="13:14" x14ac:dyDescent="0.35">
      <c r="M751" s="64" t="s">
        <v>1989</v>
      </c>
      <c r="N751" s="61">
        <f>SUMIFS(INDEX(detail_table[],,MATCH(M751,detail_table[#Headers],0)),detail_table[Project Type],"&lt;&gt;"&amp;"")</f>
        <v>0</v>
      </c>
    </row>
    <row r="752" spans="13:14" x14ac:dyDescent="0.35">
      <c r="M752" s="64" t="s">
        <v>1990</v>
      </c>
      <c r="N752" s="61">
        <f>SUMIFS(INDEX(detail_table[],,MATCH(M752,detail_table[#Headers],0)),detail_table[Project Type],"&lt;&gt;"&amp;"")</f>
        <v>0</v>
      </c>
    </row>
    <row r="753" spans="13:14" x14ac:dyDescent="0.35">
      <c r="M753" s="64" t="s">
        <v>1991</v>
      </c>
      <c r="N753" s="61">
        <f>SUMIFS(INDEX(detail_table[],,MATCH(M753,detail_table[#Headers],0)),detail_table[Project Type],"&lt;&gt;"&amp;"")</f>
        <v>0</v>
      </c>
    </row>
    <row r="754" spans="13:14" x14ac:dyDescent="0.35">
      <c r="M754" s="64" t="s">
        <v>1043</v>
      </c>
      <c r="N754" s="61">
        <f>SUMIFS(INDEX(detail_table[],,MATCH(M754,detail_table[#Headers],0)),detail_table[Project Type],"&lt;&gt;"&amp;"")</f>
        <v>0</v>
      </c>
    </row>
    <row r="755" spans="13:14" x14ac:dyDescent="0.35">
      <c r="M755" s="64" t="s">
        <v>1044</v>
      </c>
      <c r="N755" s="61">
        <f>SUMIFS(INDEX(detail_table[],,MATCH(M755,detail_table[#Headers],0)),detail_table[Project Type],"&lt;&gt;"&amp;"")</f>
        <v>0</v>
      </c>
    </row>
    <row r="756" spans="13:14" x14ac:dyDescent="0.35">
      <c r="M756" s="64" t="s">
        <v>1045</v>
      </c>
      <c r="N756" s="61">
        <f>SUMIFS(INDEX(detail_table[],,MATCH(M756,detail_table[#Headers],0)),detail_table[Project Type],"&lt;&gt;"&amp;"")</f>
        <v>0</v>
      </c>
    </row>
    <row r="757" spans="13:14" x14ac:dyDescent="0.35">
      <c r="M757" s="64" t="s">
        <v>1046</v>
      </c>
      <c r="N757" s="61">
        <f>SUMIFS(INDEX(detail_table[],,MATCH(M757,detail_table[#Headers],0)),detail_table[Project Type],"&lt;&gt;"&amp;"")</f>
        <v>0</v>
      </c>
    </row>
    <row r="758" spans="13:14" x14ac:dyDescent="0.35">
      <c r="M758" s="64" t="s">
        <v>1047</v>
      </c>
      <c r="N758" s="61">
        <f>SUMIFS(INDEX(detail_table[],,MATCH(M758,detail_table[#Headers],0)),detail_table[Project Type],"&lt;&gt;"&amp;"")</f>
        <v>0</v>
      </c>
    </row>
    <row r="759" spans="13:14" x14ac:dyDescent="0.35">
      <c r="M759" s="64" t="s">
        <v>1048</v>
      </c>
      <c r="N759" s="61">
        <f>SUMIFS(INDEX(detail_table[],,MATCH(M759,detail_table[#Headers],0)),detail_table[Project Type],"&lt;&gt;"&amp;"")</f>
        <v>0</v>
      </c>
    </row>
    <row r="760" spans="13:14" x14ac:dyDescent="0.35">
      <c r="M760" s="64" t="s">
        <v>1049</v>
      </c>
      <c r="N760" s="61">
        <f>SUMIFS(INDEX(detail_table[],,MATCH(M760,detail_table[#Headers],0)),detail_table[Project Type],"&lt;&gt;"&amp;"")</f>
        <v>0</v>
      </c>
    </row>
    <row r="761" spans="13:14" x14ac:dyDescent="0.35">
      <c r="M761" s="64" t="s">
        <v>1050</v>
      </c>
      <c r="N761" s="61">
        <f>SUMIFS(INDEX(detail_table[],,MATCH(M761,detail_table[#Headers],0)),detail_table[Project Type],"&lt;&gt;"&amp;"")</f>
        <v>0</v>
      </c>
    </row>
    <row r="762" spans="13:14" x14ac:dyDescent="0.35">
      <c r="M762" s="64" t="s">
        <v>1051</v>
      </c>
      <c r="N762" s="61">
        <f>SUMIFS(INDEX(detail_table[],,MATCH(M762,detail_table[#Headers],0)),detail_table[Project Type],"&lt;&gt;"&amp;"")</f>
        <v>0</v>
      </c>
    </row>
    <row r="763" spans="13:14" x14ac:dyDescent="0.35">
      <c r="M763" s="64" t="s">
        <v>1052</v>
      </c>
      <c r="N763" s="61">
        <f>SUMIFS(INDEX(detail_table[],,MATCH(M763,detail_table[#Headers],0)),detail_table[Project Type],"&lt;&gt;"&amp;"")</f>
        <v>0</v>
      </c>
    </row>
    <row r="764" spans="13:14" x14ac:dyDescent="0.35">
      <c r="M764" s="64" t="s">
        <v>1053</v>
      </c>
      <c r="N764" s="61">
        <f>SUMIFS(INDEX(detail_table[],,MATCH(M764,detail_table[#Headers],0)),detail_table[Project Type],"&lt;&gt;"&amp;"")</f>
        <v>0</v>
      </c>
    </row>
    <row r="765" spans="13:14" x14ac:dyDescent="0.35">
      <c r="M765" s="64" t="s">
        <v>1054</v>
      </c>
      <c r="N765" s="61">
        <f>SUMIFS(INDEX(detail_table[],,MATCH(M765,detail_table[#Headers],0)),detail_table[Project Type],"&lt;&gt;"&amp;"")</f>
        <v>0</v>
      </c>
    </row>
    <row r="766" spans="13:14" x14ac:dyDescent="0.35">
      <c r="M766" s="64" t="s">
        <v>1055</v>
      </c>
      <c r="N766" s="61">
        <f>SUMIFS(INDEX(detail_table[],,MATCH(M766,detail_table[#Headers],0)),detail_table[Project Type],"&lt;&gt;"&amp;"")</f>
        <v>0</v>
      </c>
    </row>
    <row r="767" spans="13:14" x14ac:dyDescent="0.35">
      <c r="M767" s="64" t="s">
        <v>1056</v>
      </c>
      <c r="N767" s="61">
        <f>SUMIFS(INDEX(detail_table[],,MATCH(M767,detail_table[#Headers],0)),detail_table[Project Type],"&lt;&gt;"&amp;"")</f>
        <v>0</v>
      </c>
    </row>
    <row r="768" spans="13:14" x14ac:dyDescent="0.35">
      <c r="M768" s="64" t="s">
        <v>1057</v>
      </c>
      <c r="N768" s="61">
        <f>SUMIFS(INDEX(detail_table[],,MATCH(M768,detail_table[#Headers],0)),detail_table[Project Type],"&lt;&gt;"&amp;"")</f>
        <v>0</v>
      </c>
    </row>
    <row r="769" spans="13:14" x14ac:dyDescent="0.35">
      <c r="M769" s="64" t="s">
        <v>1058</v>
      </c>
      <c r="N769" s="61">
        <f>SUMIFS(INDEX(detail_table[],,MATCH(M769,detail_table[#Headers],0)),detail_table[Project Type],"&lt;&gt;"&amp;"")</f>
        <v>0</v>
      </c>
    </row>
    <row r="770" spans="13:14" x14ac:dyDescent="0.35">
      <c r="M770" s="64" t="s">
        <v>1059</v>
      </c>
      <c r="N770" s="61">
        <f>SUMIFS(INDEX(detail_table[],,MATCH(M770,detail_table[#Headers],0)),detail_table[Project Type],"&lt;&gt;"&amp;"")</f>
        <v>0</v>
      </c>
    </row>
    <row r="771" spans="13:14" x14ac:dyDescent="0.35">
      <c r="M771" s="64" t="s">
        <v>1060</v>
      </c>
      <c r="N771" s="61">
        <f>SUMIFS(INDEX(detail_table[],,MATCH(M771,detail_table[#Headers],0)),detail_table[Project Type],"&lt;&gt;"&amp;"")</f>
        <v>0</v>
      </c>
    </row>
    <row r="772" spans="13:14" x14ac:dyDescent="0.35">
      <c r="M772" s="64" t="s">
        <v>1061</v>
      </c>
      <c r="N772" s="61">
        <f>SUMIFS(INDEX(detail_table[],,MATCH(M772,detail_table[#Headers],0)),detail_table[Project Type],"&lt;&gt;"&amp;"")</f>
        <v>0</v>
      </c>
    </row>
    <row r="773" spans="13:14" x14ac:dyDescent="0.35">
      <c r="M773" s="64" t="s">
        <v>1062</v>
      </c>
      <c r="N773" s="61">
        <f>SUMIFS(INDEX(detail_table[],,MATCH(M773,detail_table[#Headers],0)),detail_table[Project Type],"&lt;&gt;"&amp;"")</f>
        <v>0</v>
      </c>
    </row>
    <row r="774" spans="13:14" x14ac:dyDescent="0.35">
      <c r="M774" s="64" t="s">
        <v>1063</v>
      </c>
      <c r="N774" s="61">
        <f>SUMIFS(INDEX(detail_table[],,MATCH(M774,detail_table[#Headers],0)),detail_table[Project Type],"&lt;&gt;"&amp;"")</f>
        <v>0</v>
      </c>
    </row>
    <row r="775" spans="13:14" x14ac:dyDescent="0.35">
      <c r="M775" s="64" t="s">
        <v>1064</v>
      </c>
      <c r="N775" s="61">
        <f>SUMIFS(INDEX(detail_table[],,MATCH(M775,detail_table[#Headers],0)),detail_table[Project Type],"&lt;&gt;"&amp;"")</f>
        <v>0</v>
      </c>
    </row>
    <row r="776" spans="13:14" x14ac:dyDescent="0.35">
      <c r="M776" s="64" t="s">
        <v>1065</v>
      </c>
      <c r="N776" s="61">
        <f>SUMIFS(INDEX(detail_table[],,MATCH(M776,detail_table[#Headers],0)),detail_table[Project Type],"&lt;&gt;"&amp;"")</f>
        <v>0</v>
      </c>
    </row>
    <row r="777" spans="13:14" x14ac:dyDescent="0.35">
      <c r="M777" s="64" t="s">
        <v>1066</v>
      </c>
      <c r="N777" s="61">
        <f>SUMIFS(INDEX(detail_table[],,MATCH(M777,detail_table[#Headers],0)),detail_table[Project Type],"&lt;&gt;"&amp;"")</f>
        <v>0</v>
      </c>
    </row>
    <row r="778" spans="13:14" x14ac:dyDescent="0.35">
      <c r="M778" s="64" t="s">
        <v>1067</v>
      </c>
      <c r="N778" s="61">
        <f>SUMIFS(INDEX(detail_table[],,MATCH(M778,detail_table[#Headers],0)),detail_table[Project Type],"&lt;&gt;"&amp;"")</f>
        <v>0</v>
      </c>
    </row>
    <row r="779" spans="13:14" x14ac:dyDescent="0.35">
      <c r="M779" s="64" t="s">
        <v>1068</v>
      </c>
      <c r="N779" s="61">
        <f>SUMIFS(INDEX(detail_table[],,MATCH(M779,detail_table[#Headers],0)),detail_table[Project Type],"&lt;&gt;"&amp;"")</f>
        <v>0</v>
      </c>
    </row>
    <row r="780" spans="13:14" x14ac:dyDescent="0.35">
      <c r="M780" s="64" t="s">
        <v>1069</v>
      </c>
      <c r="N780" s="61">
        <f>SUMIFS(INDEX(detail_table[],,MATCH(M780,detail_table[#Headers],0)),detail_table[Project Type],"&lt;&gt;"&amp;"")</f>
        <v>0</v>
      </c>
    </row>
    <row r="781" spans="13:14" x14ac:dyDescent="0.35">
      <c r="M781" s="64" t="s">
        <v>1070</v>
      </c>
      <c r="N781" s="61">
        <f>SUMIFS(INDEX(detail_table[],,MATCH(M781,detail_table[#Headers],0)),detail_table[Project Type],"&lt;&gt;"&amp;"")</f>
        <v>0</v>
      </c>
    </row>
    <row r="782" spans="13:14" x14ac:dyDescent="0.35">
      <c r="M782" s="64" t="s">
        <v>1071</v>
      </c>
      <c r="N782" s="61">
        <f>SUMIFS(INDEX(detail_table[],,MATCH(M782,detail_table[#Headers],0)),detail_table[Project Type],"&lt;&gt;"&amp;"")</f>
        <v>0</v>
      </c>
    </row>
    <row r="783" spans="13:14" x14ac:dyDescent="0.35">
      <c r="M783" s="64" t="s">
        <v>1072</v>
      </c>
      <c r="N783" s="61">
        <f>SUMIFS(INDEX(detail_table[],,MATCH(M783,detail_table[#Headers],0)),detail_table[Project Type],"&lt;&gt;"&amp;"")</f>
        <v>0</v>
      </c>
    </row>
    <row r="784" spans="13:14" x14ac:dyDescent="0.35">
      <c r="M784" s="64" t="s">
        <v>1073</v>
      </c>
      <c r="N784" s="61">
        <f>SUMIFS(INDEX(detail_table[],,MATCH(M784,detail_table[#Headers],0)),detail_table[Project Type],"&lt;&gt;"&amp;"")</f>
        <v>0</v>
      </c>
    </row>
    <row r="785" spans="13:14" x14ac:dyDescent="0.35">
      <c r="M785" s="64" t="s">
        <v>1074</v>
      </c>
      <c r="N785" s="61">
        <f>SUMIFS(INDEX(detail_table[],,MATCH(M785,detail_table[#Headers],0)),detail_table[Project Type],"&lt;&gt;"&amp;"")</f>
        <v>0</v>
      </c>
    </row>
    <row r="786" spans="13:14" x14ac:dyDescent="0.35">
      <c r="M786" s="64" t="s">
        <v>1075</v>
      </c>
      <c r="N786" s="61">
        <f>SUMIFS(INDEX(detail_table[],,MATCH(M786,detail_table[#Headers],0)),detail_table[Project Type],"&lt;&gt;"&amp;"")</f>
        <v>0</v>
      </c>
    </row>
    <row r="787" spans="13:14" x14ac:dyDescent="0.35">
      <c r="M787" s="64" t="s">
        <v>1076</v>
      </c>
      <c r="N787" s="61">
        <f>SUMIFS(INDEX(detail_table[],,MATCH(M787,detail_table[#Headers],0)),detail_table[Project Type],"&lt;&gt;"&amp;"")</f>
        <v>0</v>
      </c>
    </row>
    <row r="788" spans="13:14" x14ac:dyDescent="0.35">
      <c r="M788" s="64" t="s">
        <v>1077</v>
      </c>
      <c r="N788" s="61">
        <f>SUMIFS(INDEX(detail_table[],,MATCH(M788,detail_table[#Headers],0)),detail_table[Project Type],"&lt;&gt;"&amp;"")</f>
        <v>0</v>
      </c>
    </row>
    <row r="789" spans="13:14" x14ac:dyDescent="0.35">
      <c r="M789" s="64" t="s">
        <v>1078</v>
      </c>
      <c r="N789" s="61">
        <f>SUMIFS(INDEX(detail_table[],,MATCH(M789,detail_table[#Headers],0)),detail_table[Project Type],"&lt;&gt;"&amp;"")</f>
        <v>0</v>
      </c>
    </row>
    <row r="790" spans="13:14" x14ac:dyDescent="0.35">
      <c r="M790" s="64" t="s">
        <v>1079</v>
      </c>
      <c r="N790" s="61">
        <f>SUMIFS(INDEX(detail_table[],,MATCH(M790,detail_table[#Headers],0)),detail_table[Project Type],"&lt;&gt;"&amp;"")</f>
        <v>0</v>
      </c>
    </row>
    <row r="791" spans="13:14" x14ac:dyDescent="0.35">
      <c r="M791" s="64" t="s">
        <v>1080</v>
      </c>
      <c r="N791" s="61">
        <f>SUMIFS(INDEX(detail_table[],,MATCH(M791,detail_table[#Headers],0)),detail_table[Project Type],"&lt;&gt;"&amp;"")</f>
        <v>0</v>
      </c>
    </row>
    <row r="792" spans="13:14" x14ac:dyDescent="0.35">
      <c r="M792" s="64" t="s">
        <v>1081</v>
      </c>
      <c r="N792" s="61">
        <f>SUMIFS(INDEX(detail_table[],,MATCH(M792,detail_table[#Headers],0)),detail_table[Project Type],"&lt;&gt;"&amp;"")</f>
        <v>0</v>
      </c>
    </row>
    <row r="793" spans="13:14" x14ac:dyDescent="0.35">
      <c r="M793" s="64" t="s">
        <v>1082</v>
      </c>
      <c r="N793" s="61">
        <f>SUMIFS(INDEX(detail_table[],,MATCH(M793,detail_table[#Headers],0)),detail_table[Project Type],"&lt;&gt;"&amp;"")</f>
        <v>0</v>
      </c>
    </row>
    <row r="794" spans="13:14" x14ac:dyDescent="0.35">
      <c r="M794" s="64" t="s">
        <v>1083</v>
      </c>
      <c r="N794" s="61">
        <f>SUMIFS(INDEX(detail_table[],,MATCH(M794,detail_table[#Headers],0)),detail_table[Project Type],"&lt;&gt;"&amp;"")</f>
        <v>0</v>
      </c>
    </row>
    <row r="795" spans="13:14" x14ac:dyDescent="0.35">
      <c r="M795" s="64" t="s">
        <v>1084</v>
      </c>
      <c r="N795" s="61">
        <f>SUMIFS(INDEX(detail_table[],,MATCH(M795,detail_table[#Headers],0)),detail_table[Project Type],"&lt;&gt;"&amp;"")</f>
        <v>0</v>
      </c>
    </row>
    <row r="796" spans="13:14" x14ac:dyDescent="0.35">
      <c r="M796" s="64" t="s">
        <v>1085</v>
      </c>
      <c r="N796" s="61">
        <f>SUMIFS(INDEX(detail_table[],,MATCH(M796,detail_table[#Headers],0)),detail_table[Project Type],"&lt;&gt;"&amp;"")</f>
        <v>0</v>
      </c>
    </row>
    <row r="797" spans="13:14" x14ac:dyDescent="0.35">
      <c r="M797" s="64" t="s">
        <v>1086</v>
      </c>
      <c r="N797" s="61">
        <f>SUMIFS(INDEX(detail_table[],,MATCH(M797,detail_table[#Headers],0)),detail_table[Project Type],"&lt;&gt;"&amp;"")</f>
        <v>0</v>
      </c>
    </row>
    <row r="798" spans="13:14" x14ac:dyDescent="0.35">
      <c r="M798" s="64" t="s">
        <v>1087</v>
      </c>
      <c r="N798" s="61">
        <f>SUMIFS(INDEX(detail_table[],,MATCH(M798,detail_table[#Headers],0)),detail_table[Project Type],"&lt;&gt;"&amp;"")</f>
        <v>0</v>
      </c>
    </row>
    <row r="799" spans="13:14" x14ac:dyDescent="0.35">
      <c r="M799" s="64" t="s">
        <v>1088</v>
      </c>
      <c r="N799" s="61">
        <f>SUMIFS(INDEX(detail_table[],,MATCH(M799,detail_table[#Headers],0)),detail_table[Project Type],"&lt;&gt;"&amp;"")</f>
        <v>0</v>
      </c>
    </row>
    <row r="800" spans="13:14" x14ac:dyDescent="0.35">
      <c r="M800" s="64" t="s">
        <v>1089</v>
      </c>
      <c r="N800" s="61">
        <f>SUMIFS(INDEX(detail_table[],,MATCH(M800,detail_table[#Headers],0)),detail_table[Project Type],"&lt;&gt;"&amp;"")</f>
        <v>0</v>
      </c>
    </row>
    <row r="801" spans="13:14" x14ac:dyDescent="0.35">
      <c r="M801" s="64" t="s">
        <v>1090</v>
      </c>
      <c r="N801" s="61">
        <f>SUMIFS(INDEX(detail_table[],,MATCH(M801,detail_table[#Headers],0)),detail_table[Project Type],"&lt;&gt;"&amp;"")</f>
        <v>0</v>
      </c>
    </row>
    <row r="802" spans="13:14" x14ac:dyDescent="0.35">
      <c r="M802" s="64" t="s">
        <v>1091</v>
      </c>
      <c r="N802" s="61">
        <f>SUMIFS(INDEX(detail_table[],,MATCH(M802,detail_table[#Headers],0)),detail_table[Project Type],"&lt;&gt;"&amp;"")</f>
        <v>0</v>
      </c>
    </row>
    <row r="803" spans="13:14" x14ac:dyDescent="0.35">
      <c r="M803" s="64" t="s">
        <v>1092</v>
      </c>
      <c r="N803" s="61">
        <f>SUMIFS(INDEX(detail_table[],,MATCH(M803,detail_table[#Headers],0)),detail_table[Project Type],"&lt;&gt;"&amp;"")</f>
        <v>0</v>
      </c>
    </row>
    <row r="804" spans="13:14" x14ac:dyDescent="0.35">
      <c r="M804" s="64" t="s">
        <v>1093</v>
      </c>
      <c r="N804" s="61">
        <f>SUMIFS(INDEX(detail_table[],,MATCH(M804,detail_table[#Headers],0)),detail_table[Project Type],"&lt;&gt;"&amp;"")</f>
        <v>0</v>
      </c>
    </row>
    <row r="805" spans="13:14" x14ac:dyDescent="0.35">
      <c r="M805" s="64" t="s">
        <v>1094</v>
      </c>
      <c r="N805" s="61">
        <f>SUMIFS(INDEX(detail_table[],,MATCH(M805,detail_table[#Headers],0)),detail_table[Project Type],"&lt;&gt;"&amp;"")</f>
        <v>0</v>
      </c>
    </row>
    <row r="806" spans="13:14" x14ac:dyDescent="0.35">
      <c r="M806" s="64" t="s">
        <v>1095</v>
      </c>
      <c r="N806" s="61">
        <f>SUMIFS(INDEX(detail_table[],,MATCH(M806,detail_table[#Headers],0)),detail_table[Project Type],"&lt;&gt;"&amp;"")</f>
        <v>0</v>
      </c>
    </row>
    <row r="807" spans="13:14" x14ac:dyDescent="0.35">
      <c r="M807" s="64" t="s">
        <v>1096</v>
      </c>
      <c r="N807" s="61">
        <f>SUMIFS(INDEX(detail_table[],,MATCH(M807,detail_table[#Headers],0)),detail_table[Project Type],"&lt;&gt;"&amp;"")</f>
        <v>0</v>
      </c>
    </row>
    <row r="808" spans="13:14" x14ac:dyDescent="0.35">
      <c r="M808" s="64" t="s">
        <v>1097</v>
      </c>
      <c r="N808" s="61">
        <f>SUMIFS(INDEX(detail_table[],,MATCH(M808,detail_table[#Headers],0)),detail_table[Project Type],"&lt;&gt;"&amp;"")</f>
        <v>0</v>
      </c>
    </row>
    <row r="809" spans="13:14" x14ac:dyDescent="0.35">
      <c r="M809" s="64" t="s">
        <v>1098</v>
      </c>
      <c r="N809" s="61">
        <f>SUMIFS(INDEX(detail_table[],,MATCH(M809,detail_table[#Headers],0)),detail_table[Project Type],"&lt;&gt;"&amp;"")</f>
        <v>0</v>
      </c>
    </row>
    <row r="810" spans="13:14" x14ac:dyDescent="0.35">
      <c r="M810" s="64" t="s">
        <v>1099</v>
      </c>
      <c r="N810" s="61">
        <f>SUMIFS(INDEX(detail_table[],,MATCH(M810,detail_table[#Headers],0)),detail_table[Project Type],"&lt;&gt;"&amp;"")</f>
        <v>0</v>
      </c>
    </row>
    <row r="811" spans="13:14" x14ac:dyDescent="0.35">
      <c r="M811" s="64" t="s">
        <v>1100</v>
      </c>
      <c r="N811" s="61">
        <f>SUMIFS(INDEX(detail_table[],,MATCH(M811,detail_table[#Headers],0)),detail_table[Project Type],"&lt;&gt;"&amp;"")</f>
        <v>0</v>
      </c>
    </row>
    <row r="812" spans="13:14" x14ac:dyDescent="0.35">
      <c r="M812" s="64" t="s">
        <v>1101</v>
      </c>
      <c r="N812" s="61">
        <f>SUMIFS(INDEX(detail_table[],,MATCH(M812,detail_table[#Headers],0)),detail_table[Project Type],"&lt;&gt;"&amp;"")</f>
        <v>0</v>
      </c>
    </row>
    <row r="813" spans="13:14" x14ac:dyDescent="0.35">
      <c r="M813" s="64" t="s">
        <v>1102</v>
      </c>
      <c r="N813" s="61">
        <f>SUMIFS(INDEX(detail_table[],,MATCH(M813,detail_table[#Headers],0)),detail_table[Project Type],"&lt;&gt;"&amp;"")</f>
        <v>0</v>
      </c>
    </row>
    <row r="814" spans="13:14" x14ac:dyDescent="0.35">
      <c r="M814" s="64" t="s">
        <v>1103</v>
      </c>
      <c r="N814" s="61">
        <f>SUMIFS(INDEX(detail_table[],,MATCH(M814,detail_table[#Headers],0)),detail_table[Project Type],"&lt;&gt;"&amp;"")</f>
        <v>0</v>
      </c>
    </row>
    <row r="815" spans="13:14" x14ac:dyDescent="0.35">
      <c r="M815" s="64" t="s">
        <v>1104</v>
      </c>
      <c r="N815" s="61">
        <f>SUMIFS(INDEX(detail_table[],,MATCH(M815,detail_table[#Headers],0)),detail_table[Project Type],"&lt;&gt;"&amp;"")</f>
        <v>0</v>
      </c>
    </row>
    <row r="816" spans="13:14" x14ac:dyDescent="0.35">
      <c r="M816" s="64" t="s">
        <v>1105</v>
      </c>
      <c r="N816" s="61">
        <f>SUMIFS(INDEX(detail_table[],,MATCH(M816,detail_table[#Headers],0)),detail_table[Project Type],"&lt;&gt;"&amp;"")</f>
        <v>0</v>
      </c>
    </row>
    <row r="817" spans="13:14" x14ac:dyDescent="0.35">
      <c r="M817" s="64" t="s">
        <v>1106</v>
      </c>
      <c r="N817" s="61">
        <f>SUMIFS(INDEX(detail_table[],,MATCH(M817,detail_table[#Headers],0)),detail_table[Project Type],"&lt;&gt;"&amp;"")</f>
        <v>0</v>
      </c>
    </row>
    <row r="818" spans="13:14" x14ac:dyDescent="0.35">
      <c r="M818" s="64" t="s">
        <v>1107</v>
      </c>
      <c r="N818" s="61">
        <f>SUMIFS(INDEX(detail_table[],,MATCH(M818,detail_table[#Headers],0)),detail_table[Project Type],"&lt;&gt;"&amp;"")</f>
        <v>0</v>
      </c>
    </row>
    <row r="819" spans="13:14" x14ac:dyDescent="0.35">
      <c r="M819" s="64" t="s">
        <v>1108</v>
      </c>
      <c r="N819" s="61">
        <f>SUMIFS(INDEX(detail_table[],,MATCH(M819,detail_table[#Headers],0)),detail_table[Project Type],"&lt;&gt;"&amp;"")</f>
        <v>0</v>
      </c>
    </row>
    <row r="820" spans="13:14" x14ac:dyDescent="0.35">
      <c r="M820" s="64" t="s">
        <v>1109</v>
      </c>
      <c r="N820" s="61">
        <f>SUMIFS(INDEX(detail_table[],,MATCH(M820,detail_table[#Headers],0)),detail_table[Project Type],"&lt;&gt;"&amp;"")</f>
        <v>0</v>
      </c>
    </row>
    <row r="821" spans="13:14" x14ac:dyDescent="0.35">
      <c r="M821" s="64" t="s">
        <v>1110</v>
      </c>
      <c r="N821" s="61">
        <f>SUMIFS(INDEX(detail_table[],,MATCH(M821,detail_table[#Headers],0)),detail_table[Project Type],"&lt;&gt;"&amp;"")</f>
        <v>0</v>
      </c>
    </row>
    <row r="822" spans="13:14" x14ac:dyDescent="0.35">
      <c r="M822" s="64" t="s">
        <v>1111</v>
      </c>
      <c r="N822" s="61">
        <f>SUMIFS(INDEX(detail_table[],,MATCH(M822,detail_table[#Headers],0)),detail_table[Project Type],"&lt;&gt;"&amp;"")</f>
        <v>0</v>
      </c>
    </row>
    <row r="823" spans="13:14" x14ac:dyDescent="0.35">
      <c r="M823" s="64" t="s">
        <v>1112</v>
      </c>
      <c r="N823" s="61">
        <f>SUMIFS(INDEX(detail_table[],,MATCH(M823,detail_table[#Headers],0)),detail_table[Project Type],"&lt;&gt;"&amp;"")</f>
        <v>0</v>
      </c>
    </row>
    <row r="824" spans="13:14" x14ac:dyDescent="0.35">
      <c r="M824" s="64" t="s">
        <v>1113</v>
      </c>
      <c r="N824" s="61">
        <f>SUMIFS(INDEX(detail_table[],,MATCH(M824,detail_table[#Headers],0)),detail_table[Project Type],"&lt;&gt;"&amp;"")</f>
        <v>0</v>
      </c>
    </row>
    <row r="825" spans="13:14" x14ac:dyDescent="0.35">
      <c r="M825" s="64" t="s">
        <v>1114</v>
      </c>
      <c r="N825" s="61">
        <f>SUMIFS(INDEX(detail_table[],,MATCH(M825,detail_table[#Headers],0)),detail_table[Project Type],"&lt;&gt;"&amp;"")</f>
        <v>0</v>
      </c>
    </row>
    <row r="826" spans="13:14" x14ac:dyDescent="0.35">
      <c r="M826" s="64" t="s">
        <v>1115</v>
      </c>
      <c r="N826" s="61">
        <f>SUMIFS(INDEX(detail_table[],,MATCH(M826,detail_table[#Headers],0)),detail_table[Project Type],"&lt;&gt;"&amp;"")</f>
        <v>0</v>
      </c>
    </row>
    <row r="827" spans="13:14" x14ac:dyDescent="0.35">
      <c r="M827" s="64" t="s">
        <v>1116</v>
      </c>
      <c r="N827" s="61">
        <f>SUMIFS(INDEX(detail_table[],,MATCH(M827,detail_table[#Headers],0)),detail_table[Project Type],"&lt;&gt;"&amp;"")</f>
        <v>0</v>
      </c>
    </row>
    <row r="828" spans="13:14" x14ac:dyDescent="0.35">
      <c r="M828" s="64" t="s">
        <v>1117</v>
      </c>
      <c r="N828" s="61">
        <f>SUMIFS(INDEX(detail_table[],,MATCH(M828,detail_table[#Headers],0)),detail_table[Project Type],"&lt;&gt;"&amp;"")</f>
        <v>0</v>
      </c>
    </row>
    <row r="829" spans="13:14" x14ac:dyDescent="0.35">
      <c r="M829" s="64" t="s">
        <v>1118</v>
      </c>
      <c r="N829" s="61">
        <f>SUMIFS(INDEX(detail_table[],,MATCH(M829,detail_table[#Headers],0)),detail_table[Project Type],"&lt;&gt;"&amp;"")</f>
        <v>0</v>
      </c>
    </row>
    <row r="830" spans="13:14" x14ac:dyDescent="0.35">
      <c r="M830" s="64" t="s">
        <v>1119</v>
      </c>
      <c r="N830" s="61">
        <f>SUMIFS(INDEX(detail_table[],,MATCH(M830,detail_table[#Headers],0)),detail_table[Project Type],"&lt;&gt;"&amp;"")</f>
        <v>0</v>
      </c>
    </row>
    <row r="831" spans="13:14" x14ac:dyDescent="0.35">
      <c r="M831" s="64" t="s">
        <v>1120</v>
      </c>
      <c r="N831" s="61">
        <f>SUMIFS(INDEX(detail_table[],,MATCH(M831,detail_table[#Headers],0)),detail_table[Project Type],"&lt;&gt;"&amp;"")</f>
        <v>0</v>
      </c>
    </row>
    <row r="832" spans="13:14" x14ac:dyDescent="0.35">
      <c r="M832" s="64" t="s">
        <v>1121</v>
      </c>
      <c r="N832" s="61">
        <f>SUMIFS(INDEX(detail_table[],,MATCH(M832,detail_table[#Headers],0)),detail_table[Project Type],"&lt;&gt;"&amp;"")</f>
        <v>0</v>
      </c>
    </row>
    <row r="833" spans="13:14" x14ac:dyDescent="0.35">
      <c r="M833" s="64" t="s">
        <v>1122</v>
      </c>
      <c r="N833" s="61">
        <f>SUMIFS(INDEX(detail_table[],,MATCH(M833,detail_table[#Headers],0)),detail_table[Project Type],"&lt;&gt;"&amp;"")</f>
        <v>0</v>
      </c>
    </row>
    <row r="834" spans="13:14" x14ac:dyDescent="0.35">
      <c r="M834" s="64" t="s">
        <v>1123</v>
      </c>
      <c r="N834" s="61">
        <f>SUMIFS(INDEX(detail_table[],,MATCH(M834,detail_table[#Headers],0)),detail_table[Project Type],"&lt;&gt;"&amp;"")</f>
        <v>0</v>
      </c>
    </row>
    <row r="835" spans="13:14" x14ac:dyDescent="0.35">
      <c r="M835" s="64" t="s">
        <v>1124</v>
      </c>
      <c r="N835" s="61">
        <f>SUMIFS(INDEX(detail_table[],,MATCH(M835,detail_table[#Headers],0)),detail_table[Project Type],"&lt;&gt;"&amp;"")</f>
        <v>0</v>
      </c>
    </row>
    <row r="836" spans="13:14" x14ac:dyDescent="0.35">
      <c r="M836" s="64" t="s">
        <v>1125</v>
      </c>
      <c r="N836" s="61">
        <f>SUMIFS(INDEX(detail_table[],,MATCH(M836,detail_table[#Headers],0)),detail_table[Project Type],"&lt;&gt;"&amp;"")</f>
        <v>0</v>
      </c>
    </row>
    <row r="837" spans="13:14" x14ac:dyDescent="0.35">
      <c r="M837" s="64" t="s">
        <v>1126</v>
      </c>
      <c r="N837" s="61">
        <f>SUMIFS(INDEX(detail_table[],,MATCH(M837,detail_table[#Headers],0)),detail_table[Project Type],"&lt;&gt;"&amp;"")</f>
        <v>0</v>
      </c>
    </row>
    <row r="838" spans="13:14" x14ac:dyDescent="0.35">
      <c r="M838" s="64" t="s">
        <v>1127</v>
      </c>
      <c r="N838" s="61">
        <f>SUMIFS(INDEX(detail_table[],,MATCH(M838,detail_table[#Headers],0)),detail_table[Project Type],"&lt;&gt;"&amp;"")</f>
        <v>0</v>
      </c>
    </row>
    <row r="839" spans="13:14" x14ac:dyDescent="0.35">
      <c r="M839" s="64" t="s">
        <v>1128</v>
      </c>
      <c r="N839" s="61">
        <f>SUMIFS(INDEX(detail_table[],,MATCH(M839,detail_table[#Headers],0)),detail_table[Project Type],"&lt;&gt;"&amp;"")</f>
        <v>0</v>
      </c>
    </row>
    <row r="840" spans="13:14" x14ac:dyDescent="0.35">
      <c r="M840" s="64" t="s">
        <v>1129</v>
      </c>
      <c r="N840" s="61">
        <f>SUMIFS(INDEX(detail_table[],,MATCH(M840,detail_table[#Headers],0)),detail_table[Project Type],"&lt;&gt;"&amp;"")</f>
        <v>0</v>
      </c>
    </row>
    <row r="841" spans="13:14" x14ac:dyDescent="0.35">
      <c r="M841" s="64" t="s">
        <v>1130</v>
      </c>
      <c r="N841" s="61">
        <f>SUMIFS(INDEX(detail_table[],,MATCH(M841,detail_table[#Headers],0)),detail_table[Project Type],"&lt;&gt;"&amp;"")</f>
        <v>0</v>
      </c>
    </row>
    <row r="842" spans="13:14" x14ac:dyDescent="0.35">
      <c r="M842" s="64" t="s">
        <v>1131</v>
      </c>
      <c r="N842" s="61">
        <f>SUMIFS(INDEX(detail_table[],,MATCH(M842,detail_table[#Headers],0)),detail_table[Project Type],"&lt;&gt;"&amp;"")</f>
        <v>0</v>
      </c>
    </row>
    <row r="843" spans="13:14" x14ac:dyDescent="0.35">
      <c r="M843" s="64" t="s">
        <v>1132</v>
      </c>
      <c r="N843" s="61">
        <f>SUMIFS(INDEX(detail_table[],,MATCH(M843,detail_table[#Headers],0)),detail_table[Project Type],"&lt;&gt;"&amp;"")</f>
        <v>0</v>
      </c>
    </row>
    <row r="844" spans="13:14" x14ac:dyDescent="0.35">
      <c r="M844" s="64" t="s">
        <v>1133</v>
      </c>
      <c r="N844" s="61">
        <f>SUMIFS(INDEX(detail_table[],,MATCH(M844,detail_table[#Headers],0)),detail_table[Project Type],"&lt;&gt;"&amp;"")</f>
        <v>0</v>
      </c>
    </row>
    <row r="845" spans="13:14" x14ac:dyDescent="0.35">
      <c r="M845" s="64" t="s">
        <v>1134</v>
      </c>
      <c r="N845" s="61">
        <f>SUMIFS(INDEX(detail_table[],,MATCH(M845,detail_table[#Headers],0)),detail_table[Project Type],"&lt;&gt;"&amp;"")</f>
        <v>0</v>
      </c>
    </row>
    <row r="846" spans="13:14" x14ac:dyDescent="0.35">
      <c r="M846" s="64" t="s">
        <v>1135</v>
      </c>
      <c r="N846" s="61">
        <f>SUMIFS(INDEX(detail_table[],,MATCH(M846,detail_table[#Headers],0)),detail_table[Project Type],"&lt;&gt;"&amp;"")</f>
        <v>0</v>
      </c>
    </row>
    <row r="847" spans="13:14" x14ac:dyDescent="0.35">
      <c r="M847" s="64" t="s">
        <v>1136</v>
      </c>
      <c r="N847" s="61">
        <f>SUMIFS(INDEX(detail_table[],,MATCH(M847,detail_table[#Headers],0)),detail_table[Project Type],"&lt;&gt;"&amp;"")</f>
        <v>0</v>
      </c>
    </row>
    <row r="848" spans="13:14" x14ac:dyDescent="0.35">
      <c r="M848" s="64" t="s">
        <v>2047</v>
      </c>
      <c r="N848" s="61">
        <f>SUMIFS(INDEX(detail_table[],,MATCH(M848,detail_table[#Headers],0)),detail_table[Project Type],"&lt;&gt;"&amp;"")</f>
        <v>0</v>
      </c>
    </row>
    <row r="849" spans="13:14" x14ac:dyDescent="0.35">
      <c r="M849" s="64" t="s">
        <v>2048</v>
      </c>
      <c r="N849" s="61">
        <f>SUMIFS(INDEX(detail_table[],,MATCH(M849,detail_table[#Headers],0)),detail_table[Project Type],"&lt;&gt;"&amp;"")</f>
        <v>0</v>
      </c>
    </row>
    <row r="850" spans="13:14" x14ac:dyDescent="0.35">
      <c r="M850" s="64" t="s">
        <v>2049</v>
      </c>
      <c r="N850" s="61">
        <f>SUMIFS(INDEX(detail_table[],,MATCH(M850,detail_table[#Headers],0)),detail_table[Project Type],"&lt;&gt;"&amp;"")</f>
        <v>0</v>
      </c>
    </row>
    <row r="851" spans="13:14" x14ac:dyDescent="0.35">
      <c r="M851" s="64" t="s">
        <v>2050</v>
      </c>
      <c r="N851" s="61">
        <f>SUMIFS(INDEX(detail_table[],,MATCH(M851,detail_table[#Headers],0)),detail_table[Project Type],"&lt;&gt;"&amp;"")</f>
        <v>0</v>
      </c>
    </row>
    <row r="852" spans="13:14" x14ac:dyDescent="0.35">
      <c r="M852" s="64" t="s">
        <v>2051</v>
      </c>
      <c r="N852" s="61">
        <f>SUMIFS(INDEX(detail_table[],,MATCH(M852,detail_table[#Headers],0)),detail_table[Project Type],"&lt;&gt;"&amp;"")</f>
        <v>0</v>
      </c>
    </row>
    <row r="853" spans="13:14" x14ac:dyDescent="0.35">
      <c r="M853" s="64" t="s">
        <v>2052</v>
      </c>
      <c r="N853" s="61">
        <f>SUMIFS(INDEX(detail_table[],,MATCH(M853,detail_table[#Headers],0)),detail_table[Project Type],"&lt;&gt;"&amp;"")</f>
        <v>0</v>
      </c>
    </row>
    <row r="854" spans="13:14" x14ac:dyDescent="0.35">
      <c r="M854" s="64" t="s">
        <v>2053</v>
      </c>
      <c r="N854" s="61">
        <f>SUMIFS(INDEX(detail_table[],,MATCH(M854,detail_table[#Headers],0)),detail_table[Project Type],"&lt;&gt;"&amp;"")</f>
        <v>0</v>
      </c>
    </row>
    <row r="855" spans="13:14" x14ac:dyDescent="0.35">
      <c r="M855" s="64" t="s">
        <v>2054</v>
      </c>
      <c r="N855" s="61">
        <f>SUMIFS(INDEX(detail_table[],,MATCH(M855,detail_table[#Headers],0)),detail_table[Project Type],"&lt;&gt;"&amp;"")</f>
        <v>0</v>
      </c>
    </row>
    <row r="856" spans="13:14" x14ac:dyDescent="0.35">
      <c r="M856" s="64" t="s">
        <v>2055</v>
      </c>
      <c r="N856" s="61">
        <f>SUMIFS(INDEX(detail_table[],,MATCH(M856,detail_table[#Headers],0)),detail_table[Project Type],"&lt;&gt;"&amp;"")</f>
        <v>0</v>
      </c>
    </row>
    <row r="857" spans="13:14" x14ac:dyDescent="0.35">
      <c r="M857" s="64" t="s">
        <v>2056</v>
      </c>
      <c r="N857" s="61">
        <f>SUMIFS(INDEX(detail_table[],,MATCH(M857,detail_table[#Headers],0)),detail_table[Project Type],"&lt;&gt;"&amp;"")</f>
        <v>0</v>
      </c>
    </row>
    <row r="858" spans="13:14" x14ac:dyDescent="0.35">
      <c r="M858" s="64" t="s">
        <v>2057</v>
      </c>
      <c r="N858" s="61">
        <f>SUMIFS(INDEX(detail_table[],,MATCH(M858,detail_table[#Headers],0)),detail_table[Project Type],"&lt;&gt;"&amp;"")</f>
        <v>0</v>
      </c>
    </row>
    <row r="859" spans="13:14" x14ac:dyDescent="0.35">
      <c r="M859" s="64" t="s">
        <v>2058</v>
      </c>
      <c r="N859" s="61">
        <f>SUMIFS(INDEX(detail_table[],,MATCH(M859,detail_table[#Headers],0)),detail_table[Project Type],"&lt;&gt;"&amp;"")</f>
        <v>0</v>
      </c>
    </row>
    <row r="860" spans="13:14" x14ac:dyDescent="0.35">
      <c r="M860" s="64" t="s">
        <v>1137</v>
      </c>
      <c r="N860" s="61">
        <f>SUMIFS(INDEX(detail_table[],,MATCH(M860,detail_table[#Headers],0)),detail_table[Project Type],"&lt;&gt;"&amp;"")</f>
        <v>0</v>
      </c>
    </row>
    <row r="861" spans="13:14" x14ac:dyDescent="0.35">
      <c r="M861" s="64" t="s">
        <v>1138</v>
      </c>
      <c r="N861" s="61">
        <f>SUMIFS(INDEX(detail_table[],,MATCH(M861,detail_table[#Headers],0)),detail_table[Project Type],"&lt;&gt;"&amp;"")</f>
        <v>0</v>
      </c>
    </row>
    <row r="862" spans="13:14" x14ac:dyDescent="0.35">
      <c r="M862" s="64" t="s">
        <v>1139</v>
      </c>
      <c r="N862" s="61">
        <f>SUMIFS(INDEX(detail_table[],,MATCH(M862,detail_table[#Headers],0)),detail_table[Project Type],"&lt;&gt;"&amp;"")</f>
        <v>0</v>
      </c>
    </row>
    <row r="863" spans="13:14" x14ac:dyDescent="0.35">
      <c r="M863" s="64" t="s">
        <v>1140</v>
      </c>
      <c r="N863" s="61">
        <f>SUMIFS(INDEX(detail_table[],,MATCH(M863,detail_table[#Headers],0)),detail_table[Project Type],"&lt;&gt;"&amp;"")</f>
        <v>0</v>
      </c>
    </row>
    <row r="864" spans="13:14" x14ac:dyDescent="0.35">
      <c r="M864" s="64" t="s">
        <v>1141</v>
      </c>
      <c r="N864" s="61">
        <f>SUMIFS(INDEX(detail_table[],,MATCH(M864,detail_table[#Headers],0)),detail_table[Project Type],"&lt;&gt;"&amp;"")</f>
        <v>0</v>
      </c>
    </row>
    <row r="865" spans="13:14" x14ac:dyDescent="0.35">
      <c r="M865" s="64" t="s">
        <v>1142</v>
      </c>
      <c r="N865" s="61">
        <f>SUMIFS(INDEX(detail_table[],,MATCH(M865,detail_table[#Headers],0)),detail_table[Project Type],"&lt;&gt;"&amp;"")</f>
        <v>0</v>
      </c>
    </row>
    <row r="866" spans="13:14" x14ac:dyDescent="0.35">
      <c r="M866" s="64" t="s">
        <v>1143</v>
      </c>
      <c r="N866" s="61">
        <f>SUMIFS(INDEX(detail_table[],,MATCH(M866,detail_table[#Headers],0)),detail_table[Project Type],"&lt;&gt;"&amp;"")</f>
        <v>0</v>
      </c>
    </row>
    <row r="867" spans="13:14" x14ac:dyDescent="0.35">
      <c r="M867" s="64" t="s">
        <v>1144</v>
      </c>
      <c r="N867" s="61">
        <f>SUMIFS(INDEX(detail_table[],,MATCH(M867,detail_table[#Headers],0)),detail_table[Project Type],"&lt;&gt;"&amp;"")</f>
        <v>0</v>
      </c>
    </row>
    <row r="868" spans="13:14" x14ac:dyDescent="0.35">
      <c r="M868" s="64" t="s">
        <v>1145</v>
      </c>
      <c r="N868" s="61">
        <f>SUMIFS(INDEX(detail_table[],,MATCH(M868,detail_table[#Headers],0)),detail_table[Project Type],"&lt;&gt;"&amp;"")</f>
        <v>0</v>
      </c>
    </row>
    <row r="869" spans="13:14" x14ac:dyDescent="0.35">
      <c r="M869" s="64" t="s">
        <v>1146</v>
      </c>
      <c r="N869" s="61">
        <f>SUMIFS(INDEX(detail_table[],,MATCH(M869,detail_table[#Headers],0)),detail_table[Project Type],"&lt;&gt;"&amp;"")</f>
        <v>0</v>
      </c>
    </row>
    <row r="870" spans="13:14" x14ac:dyDescent="0.35">
      <c r="M870" s="64" t="s">
        <v>1147</v>
      </c>
      <c r="N870" s="61">
        <f>SUMIFS(INDEX(detail_table[],,MATCH(M870,detail_table[#Headers],0)),detail_table[Project Type],"&lt;&gt;"&amp;"")</f>
        <v>0</v>
      </c>
    </row>
    <row r="871" spans="13:14" x14ac:dyDescent="0.35">
      <c r="M871" s="64" t="s">
        <v>1148</v>
      </c>
      <c r="N871" s="61">
        <f>SUMIFS(INDEX(detail_table[],,MATCH(M871,detail_table[#Headers],0)),detail_table[Project Type],"&lt;&gt;"&amp;"")</f>
        <v>0</v>
      </c>
    </row>
    <row r="872" spans="13:14" x14ac:dyDescent="0.35">
      <c r="M872" s="64" t="s">
        <v>1149</v>
      </c>
      <c r="N872" s="61">
        <f>SUMIFS(INDEX(detail_table[],,MATCH(M872,detail_table[#Headers],0)),detail_table[Project Type],"&lt;&gt;"&amp;"")</f>
        <v>0</v>
      </c>
    </row>
    <row r="873" spans="13:14" x14ac:dyDescent="0.35">
      <c r="M873" s="64" t="s">
        <v>1150</v>
      </c>
      <c r="N873" s="61">
        <f>SUMIFS(INDEX(detail_table[],,MATCH(M873,detail_table[#Headers],0)),detail_table[Project Type],"&lt;&gt;"&amp;"")</f>
        <v>0</v>
      </c>
    </row>
    <row r="874" spans="13:14" x14ac:dyDescent="0.35">
      <c r="M874" s="64" t="s">
        <v>1151</v>
      </c>
      <c r="N874" s="61">
        <f>SUMIFS(INDEX(detail_table[],,MATCH(M874,detail_table[#Headers],0)),detail_table[Project Type],"&lt;&gt;"&amp;"")</f>
        <v>0</v>
      </c>
    </row>
    <row r="875" spans="13:14" x14ac:dyDescent="0.35">
      <c r="M875" s="64" t="s">
        <v>1152</v>
      </c>
      <c r="N875" s="61">
        <f>SUMIFS(INDEX(detail_table[],,MATCH(M875,detail_table[#Headers],0)),detail_table[Project Type],"&lt;&gt;"&amp;"")</f>
        <v>0</v>
      </c>
    </row>
    <row r="876" spans="13:14" x14ac:dyDescent="0.35">
      <c r="M876" s="64" t="s">
        <v>1153</v>
      </c>
      <c r="N876" s="61">
        <f>SUMIFS(INDEX(detail_table[],,MATCH(M876,detail_table[#Headers],0)),detail_table[Project Type],"&lt;&gt;"&amp;"")</f>
        <v>0</v>
      </c>
    </row>
    <row r="877" spans="13:14" x14ac:dyDescent="0.35">
      <c r="M877" s="64" t="s">
        <v>1154</v>
      </c>
      <c r="N877" s="61">
        <f>SUMIFS(INDEX(detail_table[],,MATCH(M877,detail_table[#Headers],0)),detail_table[Project Type],"&lt;&gt;"&amp;"")</f>
        <v>0</v>
      </c>
    </row>
    <row r="878" spans="13:14" x14ac:dyDescent="0.35">
      <c r="M878" s="64" t="s">
        <v>1155</v>
      </c>
      <c r="N878" s="61">
        <f>SUMIFS(INDEX(detail_table[],,MATCH(M878,detail_table[#Headers],0)),detail_table[Project Type],"&lt;&gt;"&amp;"")</f>
        <v>0</v>
      </c>
    </row>
    <row r="879" spans="13:14" x14ac:dyDescent="0.35">
      <c r="M879" s="64" t="s">
        <v>1156</v>
      </c>
      <c r="N879" s="61">
        <f>SUMIFS(INDEX(detail_table[],,MATCH(M879,detail_table[#Headers],0)),detail_table[Project Type],"&lt;&gt;"&amp;"")</f>
        <v>0</v>
      </c>
    </row>
    <row r="880" spans="13:14" x14ac:dyDescent="0.35">
      <c r="M880" s="64" t="s">
        <v>1157</v>
      </c>
      <c r="N880" s="61">
        <f>SUMIFS(INDEX(detail_table[],,MATCH(M880,detail_table[#Headers],0)),detail_table[Project Type],"&lt;&gt;"&amp;"")</f>
        <v>0</v>
      </c>
    </row>
    <row r="881" spans="13:14" x14ac:dyDescent="0.35">
      <c r="M881" s="64" t="s">
        <v>1158</v>
      </c>
      <c r="N881" s="61">
        <f>SUMIFS(INDEX(detail_table[],,MATCH(M881,detail_table[#Headers],0)),detail_table[Project Type],"&lt;&gt;"&amp;"")</f>
        <v>0</v>
      </c>
    </row>
    <row r="882" spans="13:14" x14ac:dyDescent="0.35">
      <c r="M882" s="64" t="s">
        <v>1159</v>
      </c>
      <c r="N882" s="61">
        <f>SUMIFS(INDEX(detail_table[],,MATCH(M882,detail_table[#Headers],0)),detail_table[Project Type],"&lt;&gt;"&amp;"")</f>
        <v>0</v>
      </c>
    </row>
    <row r="883" spans="13:14" x14ac:dyDescent="0.35">
      <c r="M883" s="64" t="s">
        <v>1160</v>
      </c>
      <c r="N883" s="61">
        <f>SUMIFS(INDEX(detail_table[],,MATCH(M883,detail_table[#Headers],0)),detail_table[Project Type],"&lt;&gt;"&amp;"")</f>
        <v>0</v>
      </c>
    </row>
    <row r="884" spans="13:14" x14ac:dyDescent="0.35">
      <c r="M884" s="64" t="s">
        <v>1161</v>
      </c>
      <c r="N884" s="61">
        <f>SUMIFS(INDEX(detail_table[],,MATCH(M884,detail_table[#Headers],0)),detail_table[Project Type],"&lt;&gt;"&amp;"")</f>
        <v>0</v>
      </c>
    </row>
    <row r="885" spans="13:14" x14ac:dyDescent="0.35">
      <c r="M885" s="64" t="s">
        <v>1162</v>
      </c>
      <c r="N885" s="61">
        <f>SUMIFS(INDEX(detail_table[],,MATCH(M885,detail_table[#Headers],0)),detail_table[Project Type],"&lt;&gt;"&amp;"")</f>
        <v>0</v>
      </c>
    </row>
    <row r="886" spans="13:14" x14ac:dyDescent="0.35">
      <c r="M886" s="64" t="s">
        <v>1163</v>
      </c>
      <c r="N886" s="61">
        <f>SUMIFS(INDEX(detail_table[],,MATCH(M886,detail_table[#Headers],0)),detail_table[Project Type],"&lt;&gt;"&amp;"")</f>
        <v>0</v>
      </c>
    </row>
    <row r="887" spans="13:14" x14ac:dyDescent="0.35">
      <c r="M887" s="64" t="s">
        <v>1164</v>
      </c>
      <c r="N887" s="61">
        <f>SUMIFS(INDEX(detail_table[],,MATCH(M887,detail_table[#Headers],0)),detail_table[Project Type],"&lt;&gt;"&amp;"")</f>
        <v>0</v>
      </c>
    </row>
    <row r="888" spans="13:14" x14ac:dyDescent="0.35">
      <c r="M888" s="64" t="s">
        <v>1165</v>
      </c>
      <c r="N888" s="61">
        <f>SUMIFS(INDEX(detail_table[],,MATCH(M888,detail_table[#Headers],0)),detail_table[Project Type],"&lt;&gt;"&amp;"")</f>
        <v>0</v>
      </c>
    </row>
    <row r="889" spans="13:14" x14ac:dyDescent="0.35">
      <c r="M889" s="64" t="s">
        <v>1166</v>
      </c>
      <c r="N889" s="61">
        <f>SUMIFS(INDEX(detail_table[],,MATCH(M889,detail_table[#Headers],0)),detail_table[Project Type],"&lt;&gt;"&amp;"")</f>
        <v>0</v>
      </c>
    </row>
    <row r="890" spans="13:14" x14ac:dyDescent="0.35">
      <c r="M890" s="64" t="s">
        <v>1167</v>
      </c>
      <c r="N890" s="61">
        <f>SUMIFS(INDEX(detail_table[],,MATCH(M890,detail_table[#Headers],0)),detail_table[Project Type],"&lt;&gt;"&amp;"")</f>
        <v>0</v>
      </c>
    </row>
    <row r="891" spans="13:14" x14ac:dyDescent="0.35">
      <c r="M891" s="64" t="s">
        <v>1168</v>
      </c>
      <c r="N891" s="61">
        <f>SUMIFS(INDEX(detail_table[],,MATCH(M891,detail_table[#Headers],0)),detail_table[Project Type],"&lt;&gt;"&amp;"")</f>
        <v>0</v>
      </c>
    </row>
    <row r="892" spans="13:14" x14ac:dyDescent="0.35">
      <c r="M892" s="64" t="s">
        <v>1169</v>
      </c>
      <c r="N892" s="61">
        <f>SUMIFS(INDEX(detail_table[],,MATCH(M892,detail_table[#Headers],0)),detail_table[Project Type],"&lt;&gt;"&amp;"")</f>
        <v>0</v>
      </c>
    </row>
    <row r="893" spans="13:14" x14ac:dyDescent="0.35">
      <c r="M893" s="64" t="s">
        <v>1170</v>
      </c>
      <c r="N893" s="61">
        <f>SUMIFS(INDEX(detail_table[],,MATCH(M893,detail_table[#Headers],0)),detail_table[Project Type],"&lt;&gt;"&amp;"")</f>
        <v>0</v>
      </c>
    </row>
    <row r="894" spans="13:14" x14ac:dyDescent="0.35">
      <c r="M894" s="64" t="s">
        <v>1171</v>
      </c>
      <c r="N894" s="61">
        <f>SUMIFS(INDEX(detail_table[],,MATCH(M894,detail_table[#Headers],0)),detail_table[Project Type],"&lt;&gt;"&amp;"")</f>
        <v>0</v>
      </c>
    </row>
    <row r="895" spans="13:14" x14ac:dyDescent="0.35">
      <c r="M895" s="64" t="s">
        <v>1172</v>
      </c>
      <c r="N895" s="61">
        <f>SUMIFS(INDEX(detail_table[],,MATCH(M895,detail_table[#Headers],0)),detail_table[Project Type],"&lt;&gt;"&amp;"")</f>
        <v>0</v>
      </c>
    </row>
    <row r="896" spans="13:14" x14ac:dyDescent="0.35">
      <c r="M896" s="64" t="s">
        <v>1173</v>
      </c>
      <c r="N896" s="61">
        <f>SUMIFS(INDEX(detail_table[],,MATCH(M896,detail_table[#Headers],0)),detail_table[Project Type],"&lt;&gt;"&amp;"")</f>
        <v>0</v>
      </c>
    </row>
    <row r="897" spans="13:14" x14ac:dyDescent="0.35">
      <c r="M897" s="64" t="s">
        <v>1174</v>
      </c>
      <c r="N897" s="61">
        <f>SUMIFS(INDEX(detail_table[],,MATCH(M897,detail_table[#Headers],0)),detail_table[Project Type],"&lt;&gt;"&amp;"")</f>
        <v>0</v>
      </c>
    </row>
    <row r="898" spans="13:14" x14ac:dyDescent="0.35">
      <c r="M898" s="64" t="s">
        <v>1175</v>
      </c>
      <c r="N898" s="61">
        <f>SUMIFS(INDEX(detail_table[],,MATCH(M898,detail_table[#Headers],0)),detail_table[Project Type],"&lt;&gt;"&amp;"")</f>
        <v>0</v>
      </c>
    </row>
    <row r="899" spans="13:14" x14ac:dyDescent="0.35">
      <c r="M899" s="64" t="s">
        <v>1176</v>
      </c>
      <c r="N899" s="61">
        <f>SUMIFS(INDEX(detail_table[],,MATCH(M899,detail_table[#Headers],0)),detail_table[Project Type],"&lt;&gt;"&amp;"")</f>
        <v>0</v>
      </c>
    </row>
    <row r="900" spans="13:14" x14ac:dyDescent="0.35">
      <c r="M900" s="64" t="s">
        <v>1177</v>
      </c>
      <c r="N900" s="61">
        <f>SUMIFS(INDEX(detail_table[],,MATCH(M900,detail_table[#Headers],0)),detail_table[Project Type],"&lt;&gt;"&amp;"")</f>
        <v>0</v>
      </c>
    </row>
    <row r="901" spans="13:14" x14ac:dyDescent="0.35">
      <c r="M901" s="64" t="s">
        <v>1178</v>
      </c>
      <c r="N901" s="61">
        <f>SUMIFS(INDEX(detail_table[],,MATCH(M901,detail_table[#Headers],0)),detail_table[Project Type],"&lt;&gt;"&amp;"")</f>
        <v>0</v>
      </c>
    </row>
    <row r="902" spans="13:14" x14ac:dyDescent="0.35">
      <c r="M902" s="64" t="s">
        <v>1179</v>
      </c>
      <c r="N902" s="61">
        <f>SUMIFS(INDEX(detail_table[],,MATCH(M902,detail_table[#Headers],0)),detail_table[Project Type],"&lt;&gt;"&amp;"")</f>
        <v>0</v>
      </c>
    </row>
    <row r="903" spans="13:14" x14ac:dyDescent="0.35">
      <c r="M903" s="64" t="s">
        <v>1180</v>
      </c>
      <c r="N903" s="61">
        <f>SUMIFS(INDEX(detail_table[],,MATCH(M903,detail_table[#Headers],0)),detail_table[Project Type],"&lt;&gt;"&amp;"")</f>
        <v>0</v>
      </c>
    </row>
    <row r="904" spans="13:14" x14ac:dyDescent="0.35">
      <c r="M904" s="64" t="s">
        <v>2059</v>
      </c>
      <c r="N904" s="61">
        <f>SUMIFS(INDEX(detail_table[],,MATCH(M904,detail_table[#Headers],0)),detail_table[Project Type],"&lt;&gt;"&amp;"")</f>
        <v>0</v>
      </c>
    </row>
    <row r="905" spans="13:14" x14ac:dyDescent="0.35">
      <c r="M905" s="64" t="s">
        <v>2060</v>
      </c>
      <c r="N905" s="61">
        <f>SUMIFS(INDEX(detail_table[],,MATCH(M905,detail_table[#Headers],0)),detail_table[Project Type],"&lt;&gt;"&amp;"")</f>
        <v>0</v>
      </c>
    </row>
    <row r="906" spans="13:14" x14ac:dyDescent="0.35">
      <c r="M906" s="64" t="s">
        <v>2061</v>
      </c>
      <c r="N906" s="61">
        <f>SUMIFS(INDEX(detail_table[],,MATCH(M906,detail_table[#Headers],0)),detail_table[Project Type],"&lt;&gt;"&amp;"")</f>
        <v>0</v>
      </c>
    </row>
    <row r="907" spans="13:14" x14ac:dyDescent="0.35">
      <c r="M907" s="64" t="s">
        <v>2062</v>
      </c>
      <c r="N907" s="61">
        <f>SUMIFS(INDEX(detail_table[],,MATCH(M907,detail_table[#Headers],0)),detail_table[Project Type],"&lt;&gt;"&amp;"")</f>
        <v>0</v>
      </c>
    </row>
    <row r="908" spans="13:14" x14ac:dyDescent="0.35">
      <c r="M908" s="64" t="s">
        <v>2063</v>
      </c>
      <c r="N908" s="61">
        <f>SUMIFS(INDEX(detail_table[],,MATCH(M908,detail_table[#Headers],0)),detail_table[Project Type],"&lt;&gt;"&amp;"")</f>
        <v>0</v>
      </c>
    </row>
    <row r="909" spans="13:14" x14ac:dyDescent="0.35">
      <c r="M909" s="64" t="s">
        <v>1181</v>
      </c>
      <c r="N909" s="61">
        <f>SUMIFS(INDEX(detail_table[],,MATCH(M909,detail_table[#Headers],0)),detail_table[Project Type],"&lt;&gt;"&amp;"")</f>
        <v>0</v>
      </c>
    </row>
    <row r="910" spans="13:14" x14ac:dyDescent="0.35">
      <c r="M910" s="64" t="s">
        <v>1182</v>
      </c>
      <c r="N910" s="61">
        <f>SUMIFS(INDEX(detail_table[],,MATCH(M910,detail_table[#Headers],0)),detail_table[Project Type],"&lt;&gt;"&amp;"")</f>
        <v>0</v>
      </c>
    </row>
    <row r="911" spans="13:14" x14ac:dyDescent="0.35">
      <c r="M911" s="64" t="s">
        <v>1183</v>
      </c>
      <c r="N911" s="61">
        <f>SUMIFS(INDEX(detail_table[],,MATCH(M911,detail_table[#Headers],0)),detail_table[Project Type],"&lt;&gt;"&amp;"")</f>
        <v>0</v>
      </c>
    </row>
    <row r="912" spans="13:14" x14ac:dyDescent="0.35">
      <c r="M912" s="64" t="s">
        <v>1184</v>
      </c>
      <c r="N912" s="61">
        <f>SUMIFS(INDEX(detail_table[],,MATCH(M912,detail_table[#Headers],0)),detail_table[Project Type],"&lt;&gt;"&amp;"")</f>
        <v>0</v>
      </c>
    </row>
    <row r="913" spans="13:14" x14ac:dyDescent="0.35">
      <c r="M913" s="64" t="s">
        <v>1185</v>
      </c>
      <c r="N913" s="61">
        <f>SUMIFS(INDEX(detail_table[],,MATCH(M913,detail_table[#Headers],0)),detail_table[Project Type],"&lt;&gt;"&amp;"")</f>
        <v>0</v>
      </c>
    </row>
    <row r="914" spans="13:14" x14ac:dyDescent="0.35">
      <c r="M914" s="64" t="s">
        <v>1186</v>
      </c>
      <c r="N914" s="61">
        <f>SUMIFS(INDEX(detail_table[],,MATCH(M914,detail_table[#Headers],0)),detail_table[Project Type],"&lt;&gt;"&amp;"")</f>
        <v>0</v>
      </c>
    </row>
    <row r="915" spans="13:14" x14ac:dyDescent="0.35">
      <c r="M915" s="64" t="s">
        <v>1187</v>
      </c>
      <c r="N915" s="61">
        <f>SUMIFS(INDEX(detail_table[],,MATCH(M915,detail_table[#Headers],0)),detail_table[Project Type],"&lt;&gt;"&amp;"")</f>
        <v>0</v>
      </c>
    </row>
    <row r="916" spans="13:14" x14ac:dyDescent="0.35">
      <c r="M916" s="64" t="s">
        <v>1188</v>
      </c>
      <c r="N916" s="61">
        <f>SUMIFS(INDEX(detail_table[],,MATCH(M916,detail_table[#Headers],0)),detail_table[Project Type],"&lt;&gt;"&amp;"")</f>
        <v>0</v>
      </c>
    </row>
    <row r="917" spans="13:14" x14ac:dyDescent="0.35">
      <c r="M917" s="64" t="s">
        <v>1189</v>
      </c>
      <c r="N917" s="61">
        <f>SUMIFS(INDEX(detail_table[],,MATCH(M917,detail_table[#Headers],0)),detail_table[Project Type],"&lt;&gt;"&amp;"")</f>
        <v>0</v>
      </c>
    </row>
    <row r="918" spans="13:14" x14ac:dyDescent="0.35">
      <c r="M918" s="64" t="s">
        <v>1190</v>
      </c>
      <c r="N918" s="61">
        <f>SUMIFS(INDEX(detail_table[],,MATCH(M918,detail_table[#Headers],0)),detail_table[Project Type],"&lt;&gt;"&amp;"")</f>
        <v>0</v>
      </c>
    </row>
    <row r="919" spans="13:14" x14ac:dyDescent="0.35">
      <c r="M919" s="64" t="s">
        <v>1191</v>
      </c>
      <c r="N919" s="61">
        <f>SUMIFS(INDEX(detail_table[],,MATCH(M919,detail_table[#Headers],0)),detail_table[Project Type],"&lt;&gt;"&amp;"")</f>
        <v>0</v>
      </c>
    </row>
    <row r="920" spans="13:14" x14ac:dyDescent="0.35">
      <c r="M920" s="64" t="s">
        <v>1192</v>
      </c>
      <c r="N920" s="61">
        <f>SUMIFS(INDEX(detail_table[],,MATCH(M920,detail_table[#Headers],0)),detail_table[Project Type],"&lt;&gt;"&amp;"")</f>
        <v>0</v>
      </c>
    </row>
    <row r="921" spans="13:14" x14ac:dyDescent="0.35">
      <c r="M921" s="64" t="s">
        <v>1193</v>
      </c>
      <c r="N921" s="61">
        <f>SUMIFS(INDEX(detail_table[],,MATCH(M921,detail_table[#Headers],0)),detail_table[Project Type],"&lt;&gt;"&amp;"")</f>
        <v>0</v>
      </c>
    </row>
    <row r="922" spans="13:14" x14ac:dyDescent="0.35">
      <c r="M922" s="64" t="s">
        <v>1194</v>
      </c>
      <c r="N922" s="61">
        <f>SUMIFS(INDEX(detail_table[],,MATCH(M922,detail_table[#Headers],0)),detail_table[Project Type],"&lt;&gt;"&amp;"")</f>
        <v>0</v>
      </c>
    </row>
    <row r="923" spans="13:14" x14ac:dyDescent="0.35">
      <c r="M923" s="64" t="s">
        <v>1195</v>
      </c>
      <c r="N923" s="61">
        <f>SUMIFS(INDEX(detail_table[],,MATCH(M923,detail_table[#Headers],0)),detail_table[Project Type],"&lt;&gt;"&amp;"")</f>
        <v>0</v>
      </c>
    </row>
    <row r="924" spans="13:14" x14ac:dyDescent="0.35">
      <c r="M924" s="64" t="s">
        <v>1196</v>
      </c>
      <c r="N924" s="61">
        <f>SUMIFS(INDEX(detail_table[],,MATCH(M924,detail_table[#Headers],0)),detail_table[Project Type],"&lt;&gt;"&amp;"")</f>
        <v>0</v>
      </c>
    </row>
    <row r="925" spans="13:14" x14ac:dyDescent="0.35">
      <c r="M925" s="64" t="s">
        <v>1197</v>
      </c>
      <c r="N925" s="61">
        <f>SUMIFS(INDEX(detail_table[],,MATCH(M925,detail_table[#Headers],0)),detail_table[Project Type],"&lt;&gt;"&amp;"")</f>
        <v>0</v>
      </c>
    </row>
    <row r="926" spans="13:14" x14ac:dyDescent="0.35">
      <c r="M926" s="64" t="s">
        <v>1198</v>
      </c>
      <c r="N926" s="61">
        <f>SUMIFS(INDEX(detail_table[],,MATCH(M926,detail_table[#Headers],0)),detail_table[Project Type],"&lt;&gt;"&amp;"")</f>
        <v>0</v>
      </c>
    </row>
    <row r="927" spans="13:14" x14ac:dyDescent="0.35">
      <c r="M927" s="64" t="s">
        <v>1199</v>
      </c>
      <c r="N927" s="61">
        <f>SUMIFS(INDEX(detail_table[],,MATCH(M927,detail_table[#Headers],0)),detail_table[Project Type],"&lt;&gt;"&amp;"")</f>
        <v>0</v>
      </c>
    </row>
    <row r="928" spans="13:14" x14ac:dyDescent="0.35">
      <c r="M928" s="64" t="s">
        <v>1200</v>
      </c>
      <c r="N928" s="61">
        <f>SUMIFS(INDEX(detail_table[],,MATCH(M928,detail_table[#Headers],0)),detail_table[Project Type],"&lt;&gt;"&amp;"")</f>
        <v>0</v>
      </c>
    </row>
    <row r="929" spans="13:14" x14ac:dyDescent="0.35">
      <c r="M929" s="64" t="s">
        <v>1201</v>
      </c>
      <c r="N929" s="61">
        <f>SUMIFS(INDEX(detail_table[],,MATCH(M929,detail_table[#Headers],0)),detail_table[Project Type],"&lt;&gt;"&amp;"")</f>
        <v>0</v>
      </c>
    </row>
    <row r="930" spans="13:14" x14ac:dyDescent="0.35">
      <c r="M930" s="64" t="s">
        <v>1202</v>
      </c>
      <c r="N930" s="61">
        <f>SUMIFS(INDEX(detail_table[],,MATCH(M930,detail_table[#Headers],0)),detail_table[Project Type],"&lt;&gt;"&amp;"")</f>
        <v>0</v>
      </c>
    </row>
    <row r="931" spans="13:14" x14ac:dyDescent="0.35">
      <c r="M931" s="64" t="s">
        <v>1203</v>
      </c>
      <c r="N931" s="61">
        <f>SUMIFS(INDEX(detail_table[],,MATCH(M931,detail_table[#Headers],0)),detail_table[Project Type],"&lt;&gt;"&amp;"")</f>
        <v>0</v>
      </c>
    </row>
    <row r="932" spans="13:14" x14ac:dyDescent="0.35">
      <c r="M932" s="64" t="s">
        <v>1204</v>
      </c>
      <c r="N932" s="61">
        <f>SUMIFS(INDEX(detail_table[],,MATCH(M932,detail_table[#Headers],0)),detail_table[Project Type],"&lt;&gt;"&amp;"")</f>
        <v>0</v>
      </c>
    </row>
    <row r="933" spans="13:14" x14ac:dyDescent="0.35">
      <c r="M933" s="64" t="s">
        <v>1205</v>
      </c>
      <c r="N933" s="61">
        <f>SUMIFS(INDEX(detail_table[],,MATCH(M933,detail_table[#Headers],0)),detail_table[Project Type],"&lt;&gt;"&amp;"")</f>
        <v>0</v>
      </c>
    </row>
    <row r="934" spans="13:14" x14ac:dyDescent="0.35">
      <c r="M934" s="64" t="s">
        <v>1206</v>
      </c>
      <c r="N934" s="61">
        <f>SUMIFS(INDEX(detail_table[],,MATCH(M934,detail_table[#Headers],0)),detail_table[Project Type],"&lt;&gt;"&amp;"")</f>
        <v>0</v>
      </c>
    </row>
    <row r="935" spans="13:14" x14ac:dyDescent="0.35">
      <c r="M935" s="64" t="s">
        <v>1207</v>
      </c>
      <c r="N935" s="61">
        <f>SUMIFS(INDEX(detail_table[],,MATCH(M935,detail_table[#Headers],0)),detail_table[Project Type],"&lt;&gt;"&amp;"")</f>
        <v>0</v>
      </c>
    </row>
    <row r="936" spans="13:14" x14ac:dyDescent="0.35">
      <c r="M936" s="64" t="s">
        <v>1208</v>
      </c>
      <c r="N936" s="61">
        <f>SUMIFS(INDEX(detail_table[],,MATCH(M936,detail_table[#Headers],0)),detail_table[Project Type],"&lt;&gt;"&amp;"")</f>
        <v>0</v>
      </c>
    </row>
    <row r="937" spans="13:14" x14ac:dyDescent="0.35">
      <c r="M937" s="64" t="s">
        <v>1209</v>
      </c>
      <c r="N937" s="61">
        <f>SUMIFS(INDEX(detail_table[],,MATCH(M937,detail_table[#Headers],0)),detail_table[Project Type],"&lt;&gt;"&amp;"")</f>
        <v>0</v>
      </c>
    </row>
    <row r="938" spans="13:14" x14ac:dyDescent="0.35">
      <c r="M938" s="64" t="s">
        <v>1210</v>
      </c>
      <c r="N938" s="61">
        <f>SUMIFS(INDEX(detail_table[],,MATCH(M938,detail_table[#Headers],0)),detail_table[Project Type],"&lt;&gt;"&amp;"")</f>
        <v>0</v>
      </c>
    </row>
    <row r="939" spans="13:14" x14ac:dyDescent="0.35">
      <c r="M939" s="64" t="s">
        <v>1211</v>
      </c>
      <c r="N939" s="61">
        <f>SUMIFS(INDEX(detail_table[],,MATCH(M939,detail_table[#Headers],0)),detail_table[Project Type],"&lt;&gt;"&amp;"")</f>
        <v>0</v>
      </c>
    </row>
    <row r="940" spans="13:14" x14ac:dyDescent="0.35">
      <c r="M940" s="64" t="s">
        <v>1212</v>
      </c>
      <c r="N940" s="61">
        <f>SUMIFS(INDEX(detail_table[],,MATCH(M940,detail_table[#Headers],0)),detail_table[Project Type],"&lt;&gt;"&amp;"")</f>
        <v>0</v>
      </c>
    </row>
    <row r="941" spans="13:14" x14ac:dyDescent="0.35">
      <c r="M941" s="64" t="s">
        <v>1213</v>
      </c>
      <c r="N941" s="61">
        <f>SUMIFS(INDEX(detail_table[],,MATCH(M941,detail_table[#Headers],0)),detail_table[Project Type],"&lt;&gt;"&amp;"")</f>
        <v>0</v>
      </c>
    </row>
    <row r="942" spans="13:14" x14ac:dyDescent="0.35">
      <c r="M942" s="64" t="s">
        <v>1214</v>
      </c>
      <c r="N942" s="61">
        <f>SUMIFS(INDEX(detail_table[],,MATCH(M942,detail_table[#Headers],0)),detail_table[Project Type],"&lt;&gt;"&amp;"")</f>
        <v>0</v>
      </c>
    </row>
    <row r="943" spans="13:14" x14ac:dyDescent="0.35">
      <c r="M943" s="64" t="s">
        <v>1215</v>
      </c>
      <c r="N943" s="61">
        <f>SUMIFS(INDEX(detail_table[],,MATCH(M943,detail_table[#Headers],0)),detail_table[Project Type],"&lt;&gt;"&amp;"")</f>
        <v>0</v>
      </c>
    </row>
    <row r="944" spans="13:14" x14ac:dyDescent="0.35">
      <c r="M944" s="64" t="s">
        <v>1216</v>
      </c>
      <c r="N944" s="61">
        <f>SUMIFS(INDEX(detail_table[],,MATCH(M944,detail_table[#Headers],0)),detail_table[Project Type],"&lt;&gt;"&amp;"")</f>
        <v>0</v>
      </c>
    </row>
    <row r="945" spans="13:14" x14ac:dyDescent="0.35">
      <c r="M945" s="64" t="s">
        <v>1217</v>
      </c>
      <c r="N945" s="61">
        <f>SUMIFS(INDEX(detail_table[],,MATCH(M945,detail_table[#Headers],0)),detail_table[Project Type],"&lt;&gt;"&amp;"")</f>
        <v>0</v>
      </c>
    </row>
    <row r="946" spans="13:14" x14ac:dyDescent="0.35">
      <c r="M946" s="64" t="s">
        <v>1218</v>
      </c>
      <c r="N946" s="61">
        <f>SUMIFS(INDEX(detail_table[],,MATCH(M946,detail_table[#Headers],0)),detail_table[Project Type],"&lt;&gt;"&amp;"")</f>
        <v>0</v>
      </c>
    </row>
    <row r="947" spans="13:14" x14ac:dyDescent="0.35">
      <c r="M947" s="64" t="s">
        <v>1219</v>
      </c>
      <c r="N947" s="61">
        <f>SUMIFS(INDEX(detail_table[],,MATCH(M947,detail_table[#Headers],0)),detail_table[Project Type],"&lt;&gt;"&amp;"")</f>
        <v>0</v>
      </c>
    </row>
    <row r="948" spans="13:14" x14ac:dyDescent="0.35">
      <c r="M948" s="64" t="s">
        <v>1220</v>
      </c>
      <c r="N948" s="61">
        <f>SUMIFS(INDEX(detail_table[],,MATCH(M948,detail_table[#Headers],0)),detail_table[Project Type],"&lt;&gt;"&amp;"")</f>
        <v>0</v>
      </c>
    </row>
    <row r="949" spans="13:14" x14ac:dyDescent="0.35">
      <c r="M949" s="64" t="s">
        <v>1221</v>
      </c>
      <c r="N949" s="61">
        <f>SUMIFS(INDEX(detail_table[],,MATCH(M949,detail_table[#Headers],0)),detail_table[Project Type],"&lt;&gt;"&amp;"")</f>
        <v>0</v>
      </c>
    </row>
    <row r="950" spans="13:14" x14ac:dyDescent="0.35">
      <c r="M950" s="64" t="s">
        <v>1222</v>
      </c>
      <c r="N950" s="61">
        <f>SUMIFS(INDEX(detail_table[],,MATCH(M950,detail_table[#Headers],0)),detail_table[Project Type],"&lt;&gt;"&amp;"")</f>
        <v>0</v>
      </c>
    </row>
    <row r="951" spans="13:14" x14ac:dyDescent="0.35">
      <c r="M951" s="64" t="s">
        <v>1223</v>
      </c>
      <c r="N951" s="61">
        <f>SUMIFS(INDEX(detail_table[],,MATCH(M951,detail_table[#Headers],0)),detail_table[Project Type],"&lt;&gt;"&amp;"")</f>
        <v>0</v>
      </c>
    </row>
    <row r="952" spans="13:14" x14ac:dyDescent="0.35">
      <c r="M952" s="64" t="s">
        <v>1224</v>
      </c>
      <c r="N952" s="61">
        <f>SUMIFS(INDEX(detail_table[],,MATCH(M952,detail_table[#Headers],0)),detail_table[Project Type],"&lt;&gt;"&amp;"")</f>
        <v>0</v>
      </c>
    </row>
    <row r="953" spans="13:14" x14ac:dyDescent="0.35">
      <c r="M953" s="64" t="s">
        <v>1225</v>
      </c>
      <c r="N953" s="61">
        <f>SUMIFS(INDEX(detail_table[],,MATCH(M953,detail_table[#Headers],0)),detail_table[Project Type],"&lt;&gt;"&amp;"")</f>
        <v>0</v>
      </c>
    </row>
    <row r="954" spans="13:14" x14ac:dyDescent="0.35">
      <c r="M954" s="64" t="s">
        <v>1226</v>
      </c>
      <c r="N954" s="61">
        <f>SUMIFS(INDEX(detail_table[],,MATCH(M954,detail_table[#Headers],0)),detail_table[Project Type],"&lt;&gt;"&amp;"")</f>
        <v>0</v>
      </c>
    </row>
    <row r="955" spans="13:14" x14ac:dyDescent="0.35">
      <c r="M955" s="64" t="s">
        <v>1227</v>
      </c>
      <c r="N955" s="61">
        <f>SUMIFS(INDEX(detail_table[],,MATCH(M955,detail_table[#Headers],0)),detail_table[Project Type],"&lt;&gt;"&amp;"")</f>
        <v>0</v>
      </c>
    </row>
    <row r="956" spans="13:14" x14ac:dyDescent="0.35">
      <c r="M956" s="64" t="s">
        <v>1228</v>
      </c>
      <c r="N956" s="61">
        <f>SUMIFS(INDEX(detail_table[],,MATCH(M956,detail_table[#Headers],0)),detail_table[Project Type],"&lt;&gt;"&amp;"")</f>
        <v>0</v>
      </c>
    </row>
    <row r="957" spans="13:14" x14ac:dyDescent="0.35">
      <c r="M957" s="64" t="s">
        <v>1229</v>
      </c>
      <c r="N957" s="61">
        <f>SUMIFS(INDEX(detail_table[],,MATCH(M957,detail_table[#Headers],0)),detail_table[Project Type],"&lt;&gt;"&amp;"")</f>
        <v>0</v>
      </c>
    </row>
    <row r="958" spans="13:14" x14ac:dyDescent="0.35">
      <c r="M958" s="64" t="s">
        <v>1230</v>
      </c>
      <c r="N958" s="61">
        <f>SUMIFS(INDEX(detail_table[],,MATCH(M958,detail_table[#Headers],0)),detail_table[Project Type],"&lt;&gt;"&amp;"")</f>
        <v>0</v>
      </c>
    </row>
    <row r="959" spans="13:14" x14ac:dyDescent="0.35">
      <c r="M959" s="64" t="s">
        <v>2064</v>
      </c>
      <c r="N959" s="61">
        <f>SUMIFS(INDEX(detail_table[],,MATCH(M959,detail_table[#Headers],0)),detail_table[Project Type],$D$1)</f>
        <v>0</v>
      </c>
    </row>
    <row r="960" spans="13:14" x14ac:dyDescent="0.35">
      <c r="M960" s="64" t="s">
        <v>2065</v>
      </c>
      <c r="N960" s="61">
        <f>SUMIFS(INDEX(detail_table[],,MATCH(M960,detail_table[#Headers],0)),detail_table[Project Type],$D$1)</f>
        <v>0</v>
      </c>
    </row>
    <row r="961" spans="13:14" x14ac:dyDescent="0.35">
      <c r="M961" s="64" t="s">
        <v>2066</v>
      </c>
      <c r="N961" s="61">
        <f>SUMIFS(INDEX(detail_table[],,MATCH(M961,detail_table[#Headers],0)),detail_table[Project Type],$D$1)</f>
        <v>0</v>
      </c>
    </row>
    <row r="962" spans="13:14" x14ac:dyDescent="0.35">
      <c r="M962" s="64" t="s">
        <v>2067</v>
      </c>
      <c r="N962" s="61">
        <f>SUMIFS(INDEX(detail_table[],,MATCH(M962,detail_table[#Headers],0)),detail_table[Project Type],$D$1)</f>
        <v>0</v>
      </c>
    </row>
    <row r="963" spans="13:14" x14ac:dyDescent="0.35">
      <c r="M963" s="64" t="s">
        <v>2068</v>
      </c>
      <c r="N963" s="61">
        <f>SUMIFS(INDEX(detail_table[],,MATCH(M963,detail_table[#Headers],0)),detail_table[Project Type],$D$1)</f>
        <v>0</v>
      </c>
    </row>
    <row r="964" spans="13:14" x14ac:dyDescent="0.35">
      <c r="M964" s="64" t="s">
        <v>2069</v>
      </c>
      <c r="N964" s="61">
        <f>SUMIFS(INDEX(detail_table[],,MATCH(M964,detail_table[#Headers],0)),detail_table[Project Type],$D$1)</f>
        <v>0</v>
      </c>
    </row>
    <row r="965" spans="13:14" x14ac:dyDescent="0.35">
      <c r="M965" s="64" t="s">
        <v>2070</v>
      </c>
      <c r="N965" s="61">
        <f>SUMIFS(INDEX(detail_table[],,MATCH(M965,detail_table[#Headers],0)),detail_table[Project Type],$D$1)</f>
        <v>0</v>
      </c>
    </row>
    <row r="966" spans="13:14" x14ac:dyDescent="0.35">
      <c r="M966" s="64" t="s">
        <v>2071</v>
      </c>
      <c r="N966" s="61">
        <f>SUMIFS(INDEX(detail_table[],,MATCH(M966,detail_table[#Headers],0)),detail_table[Project Type],$D$1)</f>
        <v>0</v>
      </c>
    </row>
    <row r="967" spans="13:14" x14ac:dyDescent="0.35">
      <c r="M967" s="64" t="s">
        <v>2072</v>
      </c>
      <c r="N967" s="61">
        <f>SUMIFS(INDEX(detail_table[],,MATCH(M967,detail_table[#Headers],0)),detail_table[Project Type],$D$1)</f>
        <v>0</v>
      </c>
    </row>
    <row r="968" spans="13:14" x14ac:dyDescent="0.35">
      <c r="M968" s="64" t="s">
        <v>2073</v>
      </c>
      <c r="N968" s="61">
        <f>SUMIFS(INDEX(detail_table[],,MATCH(M968,detail_table[#Headers],0)),detail_table[Project Type],$D$1)</f>
        <v>0</v>
      </c>
    </row>
    <row r="969" spans="13:14" x14ac:dyDescent="0.35">
      <c r="M969" s="64" t="s">
        <v>2074</v>
      </c>
      <c r="N969" s="61">
        <f>SUMIFS(INDEX(detail_table[],,MATCH(M969,detail_table[#Headers],0)),detail_table[Project Type],$D$1)</f>
        <v>0</v>
      </c>
    </row>
    <row r="970" spans="13:14" x14ac:dyDescent="0.35">
      <c r="M970" s="64" t="s">
        <v>2075</v>
      </c>
      <c r="N970" s="61">
        <f>SUMIFS(INDEX(detail_table[],,MATCH(M970,detail_table[#Headers],0)),detail_table[Project Type],$D$1)</f>
        <v>0</v>
      </c>
    </row>
    <row r="971" spans="13:14" x14ac:dyDescent="0.35">
      <c r="M971" s="64" t="s">
        <v>2076</v>
      </c>
      <c r="N971" s="61">
        <f>SUMIFS(INDEX(detail_table[],,MATCH(M971,detail_table[#Headers],0)),detail_table[Project Type],$D$1)</f>
        <v>0</v>
      </c>
    </row>
    <row r="972" spans="13:14" x14ac:dyDescent="0.35">
      <c r="M972" s="64" t="s">
        <v>2077</v>
      </c>
      <c r="N972" s="61">
        <f>SUMIFS(INDEX(detail_table[],,MATCH(M972,detail_table[#Headers],0)),detail_table[Project Type],$D$1)</f>
        <v>0</v>
      </c>
    </row>
    <row r="973" spans="13:14" x14ac:dyDescent="0.35">
      <c r="M973" s="64" t="s">
        <v>2078</v>
      </c>
      <c r="N973" s="61">
        <f>SUMIFS(INDEX(detail_table[],,MATCH(M973,detail_table[#Headers],0)),detail_table[Project Type],$D$1)</f>
        <v>0</v>
      </c>
    </row>
    <row r="974" spans="13:14" x14ac:dyDescent="0.35">
      <c r="M974" s="64" t="s">
        <v>2079</v>
      </c>
      <c r="N974" s="61">
        <f>SUMIFS(INDEX(detail_table[],,MATCH(M974,detail_table[#Headers],0)),detail_table[Project Type],$D$1)</f>
        <v>0</v>
      </c>
    </row>
    <row r="975" spans="13:14" x14ac:dyDescent="0.35">
      <c r="M975" s="64" t="s">
        <v>2080</v>
      </c>
      <c r="N975" s="61">
        <f>SUMIFS(INDEX(detail_table[],,MATCH(M975,detail_table[#Headers],0)),detail_table[Project Type],$D$1)</f>
        <v>0</v>
      </c>
    </row>
    <row r="976" spans="13:14" x14ac:dyDescent="0.35">
      <c r="M976" s="64" t="s">
        <v>2081</v>
      </c>
      <c r="N976" s="61">
        <f>SUMIFS(INDEX(detail_table[],,MATCH(M976,detail_table[#Headers],0)),detail_table[Project Type],$D$1)</f>
        <v>0</v>
      </c>
    </row>
    <row r="977" spans="13:14" x14ac:dyDescent="0.35">
      <c r="M977" s="64" t="s">
        <v>2082</v>
      </c>
      <c r="N977" s="61">
        <f>SUMIFS(INDEX(detail_table[],,MATCH(M977,detail_table[#Headers],0)),detail_table[Project Type],$D$1)</f>
        <v>0</v>
      </c>
    </row>
    <row r="978" spans="13:14" x14ac:dyDescent="0.35">
      <c r="M978" s="64" t="s">
        <v>2083</v>
      </c>
      <c r="N978" s="61">
        <f>SUMIFS(INDEX(detail_table[],,MATCH(M978,detail_table[#Headers],0)),detail_table[Project Type],$D$1)</f>
        <v>0</v>
      </c>
    </row>
    <row r="979" spans="13:14" x14ac:dyDescent="0.35">
      <c r="M979" s="64" t="s">
        <v>1231</v>
      </c>
      <c r="N979" s="61">
        <f>SUMIFS(INDEX(detail_table[],,MATCH(M979,detail_table[#Headers],0)),detail_table[Project Type],"&lt;&gt;"&amp;"")</f>
        <v>0</v>
      </c>
    </row>
    <row r="980" spans="13:14" x14ac:dyDescent="0.35">
      <c r="M980" s="64" t="s">
        <v>1232</v>
      </c>
      <c r="N980" s="61">
        <f>SUMIFS(INDEX(detail_table[],,MATCH(M980,detail_table[#Headers],0)),detail_table[Project Type],"&lt;&gt;"&amp;"")</f>
        <v>0</v>
      </c>
    </row>
    <row r="981" spans="13:14" x14ac:dyDescent="0.35">
      <c r="M981" s="64" t="s">
        <v>1233</v>
      </c>
      <c r="N981" s="61">
        <f>SUMIFS(INDEX(detail_table[],,MATCH(M981,detail_table[#Headers],0)),detail_table[Project Type],"&lt;&gt;"&amp;"")</f>
        <v>0</v>
      </c>
    </row>
    <row r="982" spans="13:14" x14ac:dyDescent="0.35">
      <c r="M982" s="64" t="s">
        <v>1234</v>
      </c>
      <c r="N982" s="61">
        <f>SUMIFS(INDEX(detail_table[],,MATCH(M982,detail_table[#Headers],0)),detail_table[Project Type],"&lt;&gt;"&amp;"")</f>
        <v>0</v>
      </c>
    </row>
    <row r="983" spans="13:14" x14ac:dyDescent="0.35">
      <c r="M983" s="64" t="s">
        <v>1235</v>
      </c>
      <c r="N983" s="61">
        <f>SUMIFS(INDEX(detail_table[],,MATCH(M983,detail_table[#Headers],0)),detail_table[Project Type],"&lt;&gt;"&amp;"")</f>
        <v>0</v>
      </c>
    </row>
    <row r="984" spans="13:14" x14ac:dyDescent="0.35">
      <c r="M984" s="64" t="s">
        <v>1236</v>
      </c>
      <c r="N984" s="61">
        <f>SUMIFS(INDEX(detail_table[],,MATCH(M984,detail_table[#Headers],0)),detail_table[Project Type],"&lt;&gt;"&amp;"")</f>
        <v>0</v>
      </c>
    </row>
    <row r="985" spans="13:14" x14ac:dyDescent="0.35">
      <c r="M985" s="64" t="s">
        <v>1237</v>
      </c>
      <c r="N985" s="61">
        <f>SUMIFS(INDEX(detail_table[],,MATCH(M985,detail_table[#Headers],0)),detail_table[Project Type],"&lt;&gt;"&amp;"")</f>
        <v>0</v>
      </c>
    </row>
    <row r="986" spans="13:14" x14ac:dyDescent="0.35">
      <c r="M986" s="64" t="s">
        <v>1238</v>
      </c>
      <c r="N986" s="61">
        <f>SUMIFS(INDEX(detail_table[],,MATCH(M986,detail_table[#Headers],0)),detail_table[Project Type],"&lt;&gt;"&amp;"")</f>
        <v>0</v>
      </c>
    </row>
    <row r="987" spans="13:14" x14ac:dyDescent="0.35">
      <c r="M987" s="64" t="s">
        <v>1239</v>
      </c>
      <c r="N987" s="61">
        <f>SUMIFS(INDEX(detail_table[],,MATCH(M987,detail_table[#Headers],0)),detail_table[Project Type],"&lt;&gt;"&amp;"")</f>
        <v>0</v>
      </c>
    </row>
    <row r="988" spans="13:14" x14ac:dyDescent="0.35">
      <c r="M988" s="64" t="s">
        <v>1240</v>
      </c>
      <c r="N988" s="61">
        <f>SUMIFS(INDEX(detail_table[],,MATCH(M988,detail_table[#Headers],0)),detail_table[Project Type],"&lt;&gt;"&amp;"")</f>
        <v>0</v>
      </c>
    </row>
    <row r="989" spans="13:14" x14ac:dyDescent="0.35">
      <c r="M989" s="64" t="s">
        <v>1241</v>
      </c>
      <c r="N989" s="61">
        <f>SUMIFS(INDEX(detail_table[],,MATCH(M989,detail_table[#Headers],0)),detail_table[Project Type],"&lt;&gt;"&amp;"")</f>
        <v>0</v>
      </c>
    </row>
    <row r="990" spans="13:14" x14ac:dyDescent="0.35">
      <c r="M990" s="64" t="s">
        <v>1242</v>
      </c>
      <c r="N990" s="61">
        <f>SUMIFS(INDEX(detail_table[],,MATCH(M990,detail_table[#Headers],0)),detail_table[Project Type],"&lt;&gt;"&amp;"")</f>
        <v>0</v>
      </c>
    </row>
    <row r="991" spans="13:14" x14ac:dyDescent="0.35">
      <c r="M991" s="64" t="s">
        <v>1243</v>
      </c>
      <c r="N991" s="61">
        <f>SUMIFS(INDEX(detail_table[],,MATCH(M991,detail_table[#Headers],0)),detail_table[Project Type],"&lt;&gt;"&amp;"")</f>
        <v>0</v>
      </c>
    </row>
    <row r="992" spans="13:14" x14ac:dyDescent="0.35">
      <c r="M992" s="64" t="s">
        <v>1244</v>
      </c>
      <c r="N992" s="61">
        <f>SUMIFS(INDEX(detail_table[],,MATCH(M992,detail_table[#Headers],0)),detail_table[Project Type],"&lt;&gt;"&amp;"")</f>
        <v>0</v>
      </c>
    </row>
    <row r="993" spans="13:14" x14ac:dyDescent="0.35">
      <c r="M993" s="64" t="s">
        <v>1245</v>
      </c>
      <c r="N993" s="61">
        <f>SUMIFS(INDEX(detail_table[],,MATCH(M993,detail_table[#Headers],0)),detail_table[Project Type],"&lt;&gt;"&amp;"")</f>
        <v>0</v>
      </c>
    </row>
    <row r="994" spans="13:14" x14ac:dyDescent="0.35">
      <c r="M994" s="64" t="s">
        <v>1246</v>
      </c>
      <c r="N994" s="61">
        <f>SUMIFS(INDEX(detail_table[],,MATCH(M994,detail_table[#Headers],0)),detail_table[Project Type],"&lt;&gt;"&amp;"")</f>
        <v>0</v>
      </c>
    </row>
    <row r="995" spans="13:14" x14ac:dyDescent="0.35">
      <c r="M995" s="64" t="s">
        <v>1247</v>
      </c>
      <c r="N995" s="61">
        <f>SUMIFS(INDEX(detail_table[],,MATCH(M995,detail_table[#Headers],0)),detail_table[Project Type],"&lt;&gt;"&amp;"")</f>
        <v>0</v>
      </c>
    </row>
    <row r="996" spans="13:14" x14ac:dyDescent="0.35">
      <c r="M996" s="64" t="s">
        <v>1248</v>
      </c>
      <c r="N996" s="61">
        <f>SUMIFS(INDEX(detail_table[],,MATCH(M996,detail_table[#Headers],0)),detail_table[Project Type],"&lt;&gt;"&amp;"")</f>
        <v>0</v>
      </c>
    </row>
    <row r="997" spans="13:14" x14ac:dyDescent="0.35">
      <c r="M997" s="64" t="s">
        <v>1249</v>
      </c>
      <c r="N997" s="61">
        <f>SUMIFS(INDEX(detail_table[],,MATCH(M997,detail_table[#Headers],0)),detail_table[Project Type],"&lt;&gt;"&amp;"")</f>
        <v>0</v>
      </c>
    </row>
    <row r="998" spans="13:14" x14ac:dyDescent="0.35">
      <c r="M998" s="64" t="s">
        <v>1250</v>
      </c>
      <c r="N998" s="61">
        <f>SUMIFS(INDEX(detail_table[],,MATCH(M998,detail_table[#Headers],0)),detail_table[Project Type],"&lt;&gt;"&amp;"")</f>
        <v>0</v>
      </c>
    </row>
    <row r="999" spans="13:14" x14ac:dyDescent="0.35">
      <c r="M999" s="64" t="s">
        <v>1251</v>
      </c>
      <c r="N999" s="61">
        <f>SUMIFS(INDEX(detail_table[],,MATCH(M999,detail_table[#Headers],0)),detail_table[Project Type],"&lt;&gt;"&amp;"")</f>
        <v>0</v>
      </c>
    </row>
    <row r="1000" spans="13:14" x14ac:dyDescent="0.35">
      <c r="M1000" s="64" t="s">
        <v>1252</v>
      </c>
      <c r="N1000" s="61">
        <f>SUMIFS(INDEX(detail_table[],,MATCH(M1000,detail_table[#Headers],0)),detail_table[Project Type],"&lt;&gt;"&amp;"")</f>
        <v>0</v>
      </c>
    </row>
    <row r="1001" spans="13:14" x14ac:dyDescent="0.35">
      <c r="M1001" s="64" t="s">
        <v>1253</v>
      </c>
      <c r="N1001" s="61">
        <f>SUMIFS(INDEX(detail_table[],,MATCH(M1001,detail_table[#Headers],0)),detail_table[Project Type],"&lt;&gt;"&amp;"")</f>
        <v>0</v>
      </c>
    </row>
    <row r="1002" spans="13:14" x14ac:dyDescent="0.35">
      <c r="M1002" s="64" t="s">
        <v>1254</v>
      </c>
      <c r="N1002" s="61">
        <f>SUMIFS(INDEX(detail_table[],,MATCH(M1002,detail_table[#Headers],0)),detail_table[Project Type],"&lt;&gt;"&amp;"")</f>
        <v>0</v>
      </c>
    </row>
    <row r="1003" spans="13:14" x14ac:dyDescent="0.35">
      <c r="M1003" s="64" t="s">
        <v>1255</v>
      </c>
      <c r="N1003" s="61">
        <f>SUMIFS(INDEX(detail_table[],,MATCH(M1003,detail_table[#Headers],0)),detail_table[Project Type],"&lt;&gt;"&amp;"")</f>
        <v>0</v>
      </c>
    </row>
    <row r="1004" spans="13:14" x14ac:dyDescent="0.35">
      <c r="M1004" s="64" t="s">
        <v>1256</v>
      </c>
      <c r="N1004" s="61">
        <f>SUMIFS(INDEX(detail_table[],,MATCH(M1004,detail_table[#Headers],0)),detail_table[Project Type],"&lt;&gt;"&amp;"")</f>
        <v>0</v>
      </c>
    </row>
    <row r="1005" spans="13:14" x14ac:dyDescent="0.35">
      <c r="M1005" s="64" t="s">
        <v>1257</v>
      </c>
      <c r="N1005" s="61">
        <f>SUMIFS(INDEX(detail_table[],,MATCH(M1005,detail_table[#Headers],0)),detail_table[Project Type],"&lt;&gt;"&amp;"")</f>
        <v>0</v>
      </c>
    </row>
    <row r="1006" spans="13:14" x14ac:dyDescent="0.35">
      <c r="M1006" s="64" t="s">
        <v>1258</v>
      </c>
      <c r="N1006" s="61">
        <f>SUMIFS(INDEX(detail_table[],,MATCH(M1006,detail_table[#Headers],0)),detail_table[Project Type],"&lt;&gt;"&amp;"")</f>
        <v>0</v>
      </c>
    </row>
    <row r="1007" spans="13:14" x14ac:dyDescent="0.35">
      <c r="M1007" s="64" t="s">
        <v>1259</v>
      </c>
      <c r="N1007" s="61">
        <f>SUMIFS(INDEX(detail_table[],,MATCH(M1007,detail_table[#Headers],0)),detail_table[Project Type],"&lt;&gt;"&amp;"")</f>
        <v>0</v>
      </c>
    </row>
    <row r="1008" spans="13:14" x14ac:dyDescent="0.35">
      <c r="M1008" s="64" t="s">
        <v>1260</v>
      </c>
      <c r="N1008" s="61">
        <f>SUMIFS(INDEX(detail_table[],,MATCH(M1008,detail_table[#Headers],0)),detail_table[Project Type],"&lt;&gt;"&amp;"")</f>
        <v>0</v>
      </c>
    </row>
    <row r="1009" spans="13:14" x14ac:dyDescent="0.35">
      <c r="M1009" s="64" t="s">
        <v>1261</v>
      </c>
      <c r="N1009" s="61">
        <f>SUMIFS(INDEX(detail_table[],,MATCH(M1009,detail_table[#Headers],0)),detail_table[Project Type],"&lt;&gt;"&amp;"")</f>
        <v>0</v>
      </c>
    </row>
    <row r="1010" spans="13:14" x14ac:dyDescent="0.35">
      <c r="M1010" s="64" t="s">
        <v>1262</v>
      </c>
      <c r="N1010" s="61">
        <f>SUMIFS(INDEX(detail_table[],,MATCH(M1010,detail_table[#Headers],0)),detail_table[Project Type],"&lt;&gt;"&amp;"")</f>
        <v>0</v>
      </c>
    </row>
    <row r="1011" spans="13:14" x14ac:dyDescent="0.35">
      <c r="M1011" s="64" t="s">
        <v>1263</v>
      </c>
      <c r="N1011" s="61">
        <f>SUMIFS(INDEX(detail_table[],,MATCH(M1011,detail_table[#Headers],0)),detail_table[Project Type],"&lt;&gt;"&amp;"")</f>
        <v>0</v>
      </c>
    </row>
    <row r="1012" spans="13:14" x14ac:dyDescent="0.35">
      <c r="M1012" s="64" t="s">
        <v>1264</v>
      </c>
      <c r="N1012" s="61">
        <f>SUMIFS(INDEX(detail_table[],,MATCH(M1012,detail_table[#Headers],0)),detail_table[Project Type],"&lt;&gt;"&amp;"")</f>
        <v>0</v>
      </c>
    </row>
    <row r="1013" spans="13:14" x14ac:dyDescent="0.35">
      <c r="M1013" s="64" t="s">
        <v>1265</v>
      </c>
      <c r="N1013" s="61">
        <f>SUMIFS(INDEX(detail_table[],,MATCH(M1013,detail_table[#Headers],0)),detail_table[Project Type],"&lt;&gt;"&amp;"")</f>
        <v>0</v>
      </c>
    </row>
    <row r="1014" spans="13:14" x14ac:dyDescent="0.35">
      <c r="M1014" s="64" t="s">
        <v>1266</v>
      </c>
      <c r="N1014" s="61">
        <f>SUMIFS(INDEX(detail_table[],,MATCH(M1014,detail_table[#Headers],0)),detail_table[Project Type],"&lt;&gt;"&amp;"")</f>
        <v>0</v>
      </c>
    </row>
    <row r="1015" spans="13:14" x14ac:dyDescent="0.35">
      <c r="M1015" s="64" t="s">
        <v>1267</v>
      </c>
      <c r="N1015" s="61">
        <f>SUMIFS(INDEX(detail_table[],,MATCH(M1015,detail_table[#Headers],0)),detail_table[Project Type],"&lt;&gt;"&amp;"")</f>
        <v>0</v>
      </c>
    </row>
    <row r="1016" spans="13:14" x14ac:dyDescent="0.35">
      <c r="M1016" s="64" t="s">
        <v>1268</v>
      </c>
      <c r="N1016" s="61">
        <f>SUMIFS(INDEX(detail_table[],,MATCH(M1016,detail_table[#Headers],0)),detail_table[Project Type],"&lt;&gt;"&amp;"")</f>
        <v>0</v>
      </c>
    </row>
    <row r="1017" spans="13:14" x14ac:dyDescent="0.35">
      <c r="M1017" s="64" t="s">
        <v>1269</v>
      </c>
      <c r="N1017" s="61">
        <f>SUMIFS(INDEX(detail_table[],,MATCH(M1017,detail_table[#Headers],0)),detail_table[Project Type],"&lt;&gt;"&amp;"")</f>
        <v>0</v>
      </c>
    </row>
    <row r="1018" spans="13:14" x14ac:dyDescent="0.35">
      <c r="M1018" s="64" t="s">
        <v>1270</v>
      </c>
      <c r="N1018" s="61">
        <f>SUMIFS(INDEX(detail_table[],,MATCH(M1018,detail_table[#Headers],0)),detail_table[Project Type],"&lt;&gt;"&amp;"")</f>
        <v>0</v>
      </c>
    </row>
    <row r="1019" spans="13:14" x14ac:dyDescent="0.35">
      <c r="M1019" s="64" t="s">
        <v>1271</v>
      </c>
      <c r="N1019" s="61">
        <f>SUMIFS(INDEX(detail_table[],,MATCH(M1019,detail_table[#Headers],0)),detail_table[Project Type],"&lt;&gt;"&amp;"")</f>
        <v>0</v>
      </c>
    </row>
    <row r="1020" spans="13:14" x14ac:dyDescent="0.35">
      <c r="M1020" s="64" t="s">
        <v>1272</v>
      </c>
      <c r="N1020" s="61">
        <f>SUMIFS(INDEX(detail_table[],,MATCH(M1020,detail_table[#Headers],0)),detail_table[Project Type],"&lt;&gt;"&amp;"")</f>
        <v>0</v>
      </c>
    </row>
    <row r="1021" spans="13:14" x14ac:dyDescent="0.35">
      <c r="M1021" s="64" t="s">
        <v>1273</v>
      </c>
      <c r="N1021" s="61">
        <f>SUMIFS(INDEX(detail_table[],,MATCH(M1021,detail_table[#Headers],0)),detail_table[Project Type],"&lt;&gt;"&amp;"")</f>
        <v>0</v>
      </c>
    </row>
    <row r="1022" spans="13:14" x14ac:dyDescent="0.35">
      <c r="M1022" s="64" t="s">
        <v>1274</v>
      </c>
      <c r="N1022" s="61">
        <f>SUMIFS(INDEX(detail_table[],,MATCH(M1022,detail_table[#Headers],0)),detail_table[Project Type],"&lt;&gt;"&amp;"")</f>
        <v>0</v>
      </c>
    </row>
    <row r="1023" spans="13:14" x14ac:dyDescent="0.35">
      <c r="M1023" s="64" t="s">
        <v>1275</v>
      </c>
      <c r="N1023" s="61">
        <f>SUMIFS(INDEX(detail_table[],,MATCH(M1023,detail_table[#Headers],0)),detail_table[Project Type],"&lt;&gt;"&amp;"")</f>
        <v>0</v>
      </c>
    </row>
    <row r="1024" spans="13:14" x14ac:dyDescent="0.35">
      <c r="M1024" s="64" t="s">
        <v>1276</v>
      </c>
      <c r="N1024" s="61">
        <f>SUMIFS(INDEX(detail_table[],,MATCH(M1024,detail_table[#Headers],0)),detail_table[Project Type],"&lt;&gt;"&amp;"")</f>
        <v>0</v>
      </c>
    </row>
    <row r="1025" spans="13:14" x14ac:dyDescent="0.35">
      <c r="M1025" s="64" t="s">
        <v>1277</v>
      </c>
      <c r="N1025" s="61">
        <f>SUMIFS(INDEX(detail_table[],,MATCH(M1025,detail_table[#Headers],0)),detail_table[Project Type],"&lt;&gt;"&amp;"")</f>
        <v>0</v>
      </c>
    </row>
    <row r="1026" spans="13:14" x14ac:dyDescent="0.35">
      <c r="M1026" s="64" t="s">
        <v>1278</v>
      </c>
      <c r="N1026" s="61">
        <f>SUMIFS(INDEX(detail_table[],,MATCH(M1026,detail_table[#Headers],0)),detail_table[Project Type],"&lt;&gt;"&amp;"")</f>
        <v>0</v>
      </c>
    </row>
    <row r="1027" spans="13:14" x14ac:dyDescent="0.35">
      <c r="M1027" s="64" t="s">
        <v>1279</v>
      </c>
      <c r="N1027" s="61">
        <f>SUMIFS(INDEX(detail_table[],,MATCH(M1027,detail_table[#Headers],0)),detail_table[Project Type],"&lt;&gt;"&amp;"")</f>
        <v>0</v>
      </c>
    </row>
    <row r="1028" spans="13:14" x14ac:dyDescent="0.35">
      <c r="M1028" s="64" t="s">
        <v>1280</v>
      </c>
      <c r="N1028" s="61">
        <f>SUMIFS(INDEX(detail_table[],,MATCH(M1028,detail_table[#Headers],0)),detail_table[Project Type],"&lt;&gt;"&amp;"")</f>
        <v>0</v>
      </c>
    </row>
    <row r="1029" spans="13:14" x14ac:dyDescent="0.35">
      <c r="M1029" s="64" t="s">
        <v>1281</v>
      </c>
      <c r="N1029" s="61">
        <f>SUMIFS(INDEX(detail_table[],,MATCH(M1029,detail_table[#Headers],0)),detail_table[Project Type],"&lt;&gt;"&amp;"")</f>
        <v>0</v>
      </c>
    </row>
    <row r="1030" spans="13:14" x14ac:dyDescent="0.35">
      <c r="M1030" s="64" t="s">
        <v>1282</v>
      </c>
      <c r="N1030" s="61">
        <f>SUMIFS(INDEX(detail_table[],,MATCH(M1030,detail_table[#Headers],0)),detail_table[Project Type],"&lt;&gt;"&amp;"")</f>
        <v>0</v>
      </c>
    </row>
    <row r="1031" spans="13:14" x14ac:dyDescent="0.35">
      <c r="M1031" s="64" t="s">
        <v>1283</v>
      </c>
      <c r="N1031" s="61">
        <f>SUMIFS(INDEX(detail_table[],,MATCH(M1031,detail_table[#Headers],0)),detail_table[Project Type],"&lt;&gt;"&amp;"")</f>
        <v>0</v>
      </c>
    </row>
    <row r="1032" spans="13:14" x14ac:dyDescent="0.35">
      <c r="M1032" s="64" t="s">
        <v>1284</v>
      </c>
      <c r="N1032" s="61">
        <f>SUMIFS(INDEX(detail_table[],,MATCH(M1032,detail_table[#Headers],0)),detail_table[Project Type],"&lt;&gt;"&amp;"")</f>
        <v>0</v>
      </c>
    </row>
    <row r="1033" spans="13:14" x14ac:dyDescent="0.35">
      <c r="M1033" s="64" t="s">
        <v>1285</v>
      </c>
      <c r="N1033" s="61">
        <f>SUMIFS(INDEX(detail_table[],,MATCH(M1033,detail_table[#Headers],0)),detail_table[Project Type],"&lt;&gt;"&amp;"")</f>
        <v>0</v>
      </c>
    </row>
    <row r="1034" spans="13:14" x14ac:dyDescent="0.35">
      <c r="M1034" s="64" t="s">
        <v>1286</v>
      </c>
      <c r="N1034" s="61">
        <f>SUMIFS(INDEX(detail_table[],,MATCH(M1034,detail_table[#Headers],0)),detail_table[Project Type],"&lt;&gt;"&amp;"")</f>
        <v>0</v>
      </c>
    </row>
    <row r="1035" spans="13:14" x14ac:dyDescent="0.35">
      <c r="M1035" s="64" t="s">
        <v>1287</v>
      </c>
      <c r="N1035" s="61">
        <f>SUMIFS(INDEX(detail_table[],,MATCH(M1035,detail_table[#Headers],0)),detail_table[Project Type],"&lt;&gt;"&amp;"")</f>
        <v>0</v>
      </c>
    </row>
    <row r="1036" spans="13:14" x14ac:dyDescent="0.35">
      <c r="M1036" s="64" t="s">
        <v>1288</v>
      </c>
      <c r="N1036" s="61">
        <f>SUMIFS(INDEX(detail_table[],,MATCH(M1036,detail_table[#Headers],0)),detail_table[Project Type],"&lt;&gt;"&amp;"")</f>
        <v>0</v>
      </c>
    </row>
    <row r="1037" spans="13:14" x14ac:dyDescent="0.35">
      <c r="M1037" s="64" t="s">
        <v>1289</v>
      </c>
      <c r="N1037" s="61">
        <f>SUMIFS(INDEX(detail_table[],,MATCH(M1037,detail_table[#Headers],0)),detail_table[Project Type],"&lt;&gt;"&amp;"")</f>
        <v>0</v>
      </c>
    </row>
    <row r="1038" spans="13:14" x14ac:dyDescent="0.35">
      <c r="M1038" s="64" t="s">
        <v>1290</v>
      </c>
      <c r="N1038" s="61">
        <f>SUMIFS(INDEX(detail_table[],,MATCH(M1038,detail_table[#Headers],0)),detail_table[Project Type],"&lt;&gt;"&amp;"")</f>
        <v>0</v>
      </c>
    </row>
    <row r="1039" spans="13:14" x14ac:dyDescent="0.35">
      <c r="M1039" s="64" t="s">
        <v>1291</v>
      </c>
      <c r="N1039" s="61">
        <f>SUMIFS(INDEX(detail_table[],,MATCH(M1039,detail_table[#Headers],0)),detail_table[Project Type],"&lt;&gt;"&amp;"")</f>
        <v>0</v>
      </c>
    </row>
    <row r="1040" spans="13:14" x14ac:dyDescent="0.35">
      <c r="M1040" s="64" t="s">
        <v>1292</v>
      </c>
      <c r="N1040" s="61">
        <f>SUMIFS(INDEX(detail_table[],,MATCH(M1040,detail_table[#Headers],0)),detail_table[Project Type],"&lt;&gt;"&amp;"")</f>
        <v>0</v>
      </c>
    </row>
    <row r="1041" spans="13:14" x14ac:dyDescent="0.35">
      <c r="M1041" s="64" t="s">
        <v>1293</v>
      </c>
      <c r="N1041" s="61">
        <f>SUMIFS(INDEX(detail_table[],,MATCH(M1041,detail_table[#Headers],0)),detail_table[Project Type],"&lt;&gt;"&amp;"")</f>
        <v>0</v>
      </c>
    </row>
    <row r="1042" spans="13:14" x14ac:dyDescent="0.35">
      <c r="M1042" s="64" t="s">
        <v>1294</v>
      </c>
      <c r="N1042" s="61">
        <f>SUMIFS(INDEX(detail_table[],,MATCH(M1042,detail_table[#Headers],0)),detail_table[Project Type],"&lt;&gt;"&amp;"")</f>
        <v>0</v>
      </c>
    </row>
    <row r="1043" spans="13:14" x14ac:dyDescent="0.35">
      <c r="M1043" s="64" t="s">
        <v>1295</v>
      </c>
      <c r="N1043" s="61">
        <f>SUMIFS(INDEX(detail_table[],,MATCH(M1043,detail_table[#Headers],0)),detail_table[Project Type],"&lt;&gt;"&amp;"")</f>
        <v>0</v>
      </c>
    </row>
    <row r="1044" spans="13:14" x14ac:dyDescent="0.35">
      <c r="M1044" s="64" t="s">
        <v>1296</v>
      </c>
      <c r="N1044" s="61">
        <f>SUMIFS(INDEX(detail_table[],,MATCH(M1044,detail_table[#Headers],0)),detail_table[Project Type],"&lt;&gt;"&amp;"")</f>
        <v>0</v>
      </c>
    </row>
    <row r="1045" spans="13:14" x14ac:dyDescent="0.35">
      <c r="M1045" s="64" t="s">
        <v>1297</v>
      </c>
      <c r="N1045" s="61">
        <f>SUMIFS(INDEX(detail_table[],,MATCH(M1045,detail_table[#Headers],0)),detail_table[Project Type],"&lt;&gt;"&amp;"")</f>
        <v>0</v>
      </c>
    </row>
    <row r="1046" spans="13:14" x14ac:dyDescent="0.35">
      <c r="M1046" s="64" t="s">
        <v>1298</v>
      </c>
      <c r="N1046" s="61">
        <f>SUMIFS(INDEX(detail_table[],,MATCH(M1046,detail_table[#Headers],0)),detail_table[Project Type],"&lt;&gt;"&amp;"")</f>
        <v>0</v>
      </c>
    </row>
    <row r="1047" spans="13:14" x14ac:dyDescent="0.35">
      <c r="M1047" s="64" t="s">
        <v>1299</v>
      </c>
      <c r="N1047" s="61">
        <f>SUMIFS(INDEX(detail_table[],,MATCH(M1047,detail_table[#Headers],0)),detail_table[Project Type],"&lt;&gt;"&amp;"")</f>
        <v>0</v>
      </c>
    </row>
    <row r="1048" spans="13:14" x14ac:dyDescent="0.35">
      <c r="M1048" s="64" t="s">
        <v>1300</v>
      </c>
      <c r="N1048" s="61">
        <f>SUMIFS(INDEX(detail_table[],,MATCH(M1048,detail_table[#Headers],0)),detail_table[Project Type],"&lt;&gt;"&amp;"")</f>
        <v>0</v>
      </c>
    </row>
    <row r="1049" spans="13:14" x14ac:dyDescent="0.35">
      <c r="M1049" s="64" t="s">
        <v>1301</v>
      </c>
      <c r="N1049" s="61">
        <f>SUMIFS(INDEX(detail_table[],,MATCH(M1049,detail_table[#Headers],0)),detail_table[Project Type],"&lt;&gt;"&amp;"")</f>
        <v>0</v>
      </c>
    </row>
    <row r="1050" spans="13:14" x14ac:dyDescent="0.35">
      <c r="M1050" s="64" t="s">
        <v>1302</v>
      </c>
      <c r="N1050" s="61">
        <f>SUMIFS(INDEX(detail_table[],,MATCH(M1050,detail_table[#Headers],0)),detail_table[Project Type],"&lt;&gt;"&amp;"")</f>
        <v>0</v>
      </c>
    </row>
    <row r="1051" spans="13:14" x14ac:dyDescent="0.35">
      <c r="M1051" s="64" t="s">
        <v>1303</v>
      </c>
      <c r="N1051" s="61">
        <f>SUMIFS(INDEX(detail_table[],,MATCH(M1051,detail_table[#Headers],0)),detail_table[Project Type],"&lt;&gt;"&amp;"")</f>
        <v>0</v>
      </c>
    </row>
    <row r="1052" spans="13:14" x14ac:dyDescent="0.35">
      <c r="M1052" s="64" t="s">
        <v>1304</v>
      </c>
      <c r="N1052" s="61">
        <f>SUMIFS(INDEX(detail_table[],,MATCH(M1052,detail_table[#Headers],0)),detail_table[Project Type],"&lt;&gt;"&amp;"")</f>
        <v>0</v>
      </c>
    </row>
    <row r="1053" spans="13:14" x14ac:dyDescent="0.35">
      <c r="M1053" s="64" t="s">
        <v>1305</v>
      </c>
      <c r="N1053" s="61">
        <f>SUMIFS(INDEX(detail_table[],,MATCH(M1053,detail_table[#Headers],0)),detail_table[Project Type],"&lt;&gt;"&amp;"")</f>
        <v>0</v>
      </c>
    </row>
    <row r="1054" spans="13:14" x14ac:dyDescent="0.35">
      <c r="M1054" s="64" t="s">
        <v>1306</v>
      </c>
      <c r="N1054" s="61">
        <f>SUMIFS(INDEX(detail_table[],,MATCH(M1054,detail_table[#Headers],0)),detail_table[Project Type],"&lt;&gt;"&amp;"")</f>
        <v>0</v>
      </c>
    </row>
    <row r="1055" spans="13:14" x14ac:dyDescent="0.35">
      <c r="M1055" s="64" t="s">
        <v>1307</v>
      </c>
      <c r="N1055" s="61">
        <f>SUMIFS(INDEX(detail_table[],,MATCH(M1055,detail_table[#Headers],0)),detail_table[Project Type],"&lt;&gt;"&amp;"")</f>
        <v>0</v>
      </c>
    </row>
    <row r="1056" spans="13:14" x14ac:dyDescent="0.35">
      <c r="M1056" s="64" t="s">
        <v>1308</v>
      </c>
      <c r="N1056" s="61">
        <f>SUMIFS(INDEX(detail_table[],,MATCH(M1056,detail_table[#Headers],0)),detail_table[Project Type],"&lt;&gt;"&amp;"")</f>
        <v>0</v>
      </c>
    </row>
    <row r="1057" spans="13:14" x14ac:dyDescent="0.35">
      <c r="M1057" s="64" t="s">
        <v>1309</v>
      </c>
      <c r="N1057" s="61">
        <f>SUMIFS(INDEX(detail_table[],,MATCH(M1057,detail_table[#Headers],0)),detail_table[Project Type],"&lt;&gt;"&amp;"")</f>
        <v>0</v>
      </c>
    </row>
    <row r="1058" spans="13:14" x14ac:dyDescent="0.35">
      <c r="M1058" s="64" t="s">
        <v>1310</v>
      </c>
      <c r="N1058" s="61">
        <f>SUMIFS(INDEX(detail_table[],,MATCH(M1058,detail_table[#Headers],0)),detail_table[Project Type],"&lt;&gt;"&amp;"")</f>
        <v>0</v>
      </c>
    </row>
    <row r="1059" spans="13:14" x14ac:dyDescent="0.35">
      <c r="M1059" s="64" t="s">
        <v>1311</v>
      </c>
      <c r="N1059" s="61">
        <f>SUMIFS(INDEX(detail_table[],,MATCH(M1059,detail_table[#Headers],0)),detail_table[Project Type],"&lt;&gt;"&amp;"")</f>
        <v>0</v>
      </c>
    </row>
    <row r="1060" spans="13:14" x14ac:dyDescent="0.35">
      <c r="M1060" s="64" t="s">
        <v>1312</v>
      </c>
      <c r="N1060" s="61">
        <f>SUMIFS(INDEX(detail_table[],,MATCH(M1060,detail_table[#Headers],0)),detail_table[Project Type],"&lt;&gt;"&amp;"")</f>
        <v>0</v>
      </c>
    </row>
    <row r="1061" spans="13:14" x14ac:dyDescent="0.35">
      <c r="M1061" s="64" t="s">
        <v>1313</v>
      </c>
      <c r="N1061" s="61">
        <f>SUMIFS(INDEX(detail_table[],,MATCH(M1061,detail_table[#Headers],0)),detail_table[Project Type],"&lt;&gt;"&amp;"")</f>
        <v>0</v>
      </c>
    </row>
    <row r="1062" spans="13:14" x14ac:dyDescent="0.35">
      <c r="M1062" s="64" t="s">
        <v>1314</v>
      </c>
      <c r="N1062" s="61">
        <f>SUMIFS(INDEX(detail_table[],,MATCH(M1062,detail_table[#Headers],0)),detail_table[Project Type],"&lt;&gt;"&amp;"")</f>
        <v>0</v>
      </c>
    </row>
    <row r="1063" spans="13:14" x14ac:dyDescent="0.35">
      <c r="M1063" s="64" t="s">
        <v>1315</v>
      </c>
      <c r="N1063" s="61">
        <f>SUMIFS(INDEX(detail_table[],,MATCH(M1063,detail_table[#Headers],0)),detail_table[Project Type],"&lt;&gt;"&amp;"")</f>
        <v>0</v>
      </c>
    </row>
    <row r="1064" spans="13:14" x14ac:dyDescent="0.35">
      <c r="M1064" s="64" t="s">
        <v>1316</v>
      </c>
      <c r="N1064" s="61">
        <f>SUMIFS(INDEX(detail_table[],,MATCH(M1064,detail_table[#Headers],0)),detail_table[Project Type],"&lt;&gt;"&amp;"")</f>
        <v>0</v>
      </c>
    </row>
    <row r="1065" spans="13:14" x14ac:dyDescent="0.35">
      <c r="M1065" s="64" t="s">
        <v>1317</v>
      </c>
      <c r="N1065" s="61">
        <f>SUMIFS(INDEX(detail_table[],,MATCH(M1065,detail_table[#Headers],0)),detail_table[Project Type],"&lt;&gt;"&amp;"")</f>
        <v>0</v>
      </c>
    </row>
    <row r="1066" spans="13:14" x14ac:dyDescent="0.35">
      <c r="M1066" s="64" t="s">
        <v>1318</v>
      </c>
      <c r="N1066" s="61">
        <f>SUMIFS(INDEX(detail_table[],,MATCH(M1066,detail_table[#Headers],0)),detail_table[Project Type],"&lt;&gt;"&amp;"")</f>
        <v>0</v>
      </c>
    </row>
    <row r="1067" spans="13:14" x14ac:dyDescent="0.35">
      <c r="M1067" s="64" t="s">
        <v>1319</v>
      </c>
      <c r="N1067" s="61">
        <f>SUMIFS(INDEX(detail_table[],,MATCH(M1067,detail_table[#Headers],0)),detail_table[Project Type],"&lt;&gt;"&amp;"")</f>
        <v>0</v>
      </c>
    </row>
    <row r="1068" spans="13:14" x14ac:dyDescent="0.35">
      <c r="M1068" s="64" t="s">
        <v>1320</v>
      </c>
      <c r="N1068" s="61">
        <f>SUMIFS(INDEX(detail_table[],,MATCH(M1068,detail_table[#Headers],0)),detail_table[Project Type],"&lt;&gt;"&amp;"")</f>
        <v>0</v>
      </c>
    </row>
    <row r="1069" spans="13:14" x14ac:dyDescent="0.35">
      <c r="M1069" s="64" t="s">
        <v>1321</v>
      </c>
      <c r="N1069" s="61">
        <f>SUMIFS(INDEX(detail_table[],,MATCH(M1069,detail_table[#Headers],0)),detail_table[Project Type],"&lt;&gt;"&amp;"")</f>
        <v>0</v>
      </c>
    </row>
    <row r="1070" spans="13:14" x14ac:dyDescent="0.35">
      <c r="M1070" s="64" t="s">
        <v>1322</v>
      </c>
      <c r="N1070" s="61">
        <f>SUMIFS(INDEX(detail_table[],,MATCH(M1070,detail_table[#Headers],0)),detail_table[Project Type],"&lt;&gt;"&amp;"")</f>
        <v>0</v>
      </c>
    </row>
    <row r="1071" spans="13:14" x14ac:dyDescent="0.35">
      <c r="M1071" s="64" t="s">
        <v>1323</v>
      </c>
      <c r="N1071" s="61">
        <f>SUMIFS(INDEX(detail_table[],,MATCH(M1071,detail_table[#Headers],0)),detail_table[Project Type],"&lt;&gt;"&amp;"")</f>
        <v>0</v>
      </c>
    </row>
    <row r="1072" spans="13:14" x14ac:dyDescent="0.35">
      <c r="M1072" s="64" t="s">
        <v>1324</v>
      </c>
      <c r="N1072" s="61">
        <f>SUMIFS(INDEX(detail_table[],,MATCH(M1072,detail_table[#Headers],0)),detail_table[Project Type],"&lt;&gt;"&amp;"")</f>
        <v>0</v>
      </c>
    </row>
    <row r="1073" spans="13:14" x14ac:dyDescent="0.35">
      <c r="M1073" s="64" t="s">
        <v>1325</v>
      </c>
      <c r="N1073" s="61">
        <f>SUMIFS(INDEX(detail_table[],,MATCH(M1073,detail_table[#Headers],0)),detail_table[Project Type],"&lt;&gt;"&amp;"")</f>
        <v>0</v>
      </c>
    </row>
    <row r="1074" spans="13:14" x14ac:dyDescent="0.35">
      <c r="M1074" s="64" t="s">
        <v>1946</v>
      </c>
      <c r="N1074" s="61">
        <f>SUMIFS(INDEX(detail_table[],,MATCH(M1074,detail_table[#Headers],0)),detail_table[Project Type],"&lt;&gt;"&amp;"")</f>
        <v>0</v>
      </c>
    </row>
    <row r="1075" spans="13:14" x14ac:dyDescent="0.35">
      <c r="M1075" s="64" t="s">
        <v>1947</v>
      </c>
      <c r="N1075" s="61">
        <f>SUMIFS(INDEX(detail_table[],,MATCH(M1075,detail_table[#Headers],0)),detail_table[Project Type],"&lt;&gt;"&amp;"")</f>
        <v>0</v>
      </c>
    </row>
    <row r="1076" spans="13:14" x14ac:dyDescent="0.35">
      <c r="M1076" s="64" t="s">
        <v>1948</v>
      </c>
      <c r="N1076" s="61">
        <f>SUMIFS(INDEX(detail_table[],,MATCH(M1076,detail_table[#Headers],0)),detail_table[Project Type],"&lt;&gt;"&amp;"")</f>
        <v>0</v>
      </c>
    </row>
    <row r="1077" spans="13:14" x14ac:dyDescent="0.35">
      <c r="M1077" s="64" t="s">
        <v>1949</v>
      </c>
      <c r="N1077" s="61">
        <f>SUMIFS(INDEX(detail_table[],,MATCH(M1077,detail_table[#Headers],0)),detail_table[Project Type],"&lt;&gt;"&amp;"")</f>
        <v>0</v>
      </c>
    </row>
    <row r="1078" spans="13:14" x14ac:dyDescent="0.35">
      <c r="M1078" s="64" t="s">
        <v>1950</v>
      </c>
      <c r="N1078" s="61">
        <f>SUMIFS(INDEX(detail_table[],,MATCH(M1078,detail_table[#Headers],0)),detail_table[Project Type],"&lt;&gt;"&amp;"")</f>
        <v>0</v>
      </c>
    </row>
    <row r="1079" spans="13:14" x14ac:dyDescent="0.35">
      <c r="M1079" s="64" t="s">
        <v>1326</v>
      </c>
      <c r="N1079" s="61">
        <f>SUMIFS(INDEX(detail_table[],,MATCH(M1079,detail_table[#Headers],0)),detail_table[Project Type],"&lt;&gt;"&amp;"")</f>
        <v>0</v>
      </c>
    </row>
    <row r="1080" spans="13:14" x14ac:dyDescent="0.35">
      <c r="M1080" s="64" t="s">
        <v>1327</v>
      </c>
      <c r="N1080" s="61">
        <f>SUMIFS(INDEX(detail_table[],,MATCH(M1080,detail_table[#Headers],0)),detail_table[Project Type],"&lt;&gt;"&amp;"")</f>
        <v>0</v>
      </c>
    </row>
    <row r="1081" spans="13:14" x14ac:dyDescent="0.35">
      <c r="M1081" s="64" t="s">
        <v>1328</v>
      </c>
      <c r="N1081" s="61">
        <f>SUMIFS(INDEX(detail_table[],,MATCH(M1081,detail_table[#Headers],0)),detail_table[Project Type],"&lt;&gt;"&amp;"")</f>
        <v>0</v>
      </c>
    </row>
    <row r="1082" spans="13:14" x14ac:dyDescent="0.35">
      <c r="M1082" s="64" t="s">
        <v>1329</v>
      </c>
      <c r="N1082" s="61">
        <f>SUMIFS(INDEX(detail_table[],,MATCH(M1082,detail_table[#Headers],0)),detail_table[Project Type],"&lt;&gt;"&amp;"")</f>
        <v>0</v>
      </c>
    </row>
    <row r="1083" spans="13:14" x14ac:dyDescent="0.35">
      <c r="M1083" s="64" t="s">
        <v>1330</v>
      </c>
      <c r="N1083" s="61">
        <f>SUMIFS(INDEX(detail_table[],,MATCH(M1083,detail_table[#Headers],0)),detail_table[Project Type],"&lt;&gt;"&amp;"")</f>
        <v>0</v>
      </c>
    </row>
    <row r="1084" spans="13:14" x14ac:dyDescent="0.35">
      <c r="M1084" s="64" t="s">
        <v>1331</v>
      </c>
      <c r="N1084" s="61">
        <f>SUMIFS(INDEX(detail_table[],,MATCH(M1084,detail_table[#Headers],0)),detail_table[Project Type],"&lt;&gt;"&amp;"")</f>
        <v>0</v>
      </c>
    </row>
    <row r="1085" spans="13:14" x14ac:dyDescent="0.35">
      <c r="M1085" s="64" t="s">
        <v>1332</v>
      </c>
      <c r="N1085" s="61">
        <f>SUMIFS(INDEX(detail_table[],,MATCH(M1085,detail_table[#Headers],0)),detail_table[Project Type],"&lt;&gt;"&amp;"")</f>
        <v>0</v>
      </c>
    </row>
    <row r="1086" spans="13:14" x14ac:dyDescent="0.35">
      <c r="M1086" s="64" t="s">
        <v>1333</v>
      </c>
      <c r="N1086" s="61">
        <f>SUMIFS(INDEX(detail_table[],,MATCH(M1086,detail_table[#Headers],0)),detail_table[Project Type],"&lt;&gt;"&amp;"")</f>
        <v>0</v>
      </c>
    </row>
    <row r="1087" spans="13:14" x14ac:dyDescent="0.35">
      <c r="M1087" s="64" t="s">
        <v>1334</v>
      </c>
      <c r="N1087" s="61">
        <f>SUMIFS(INDEX(detail_table[],,MATCH(M1087,detail_table[#Headers],0)),detail_table[Project Type],"&lt;&gt;"&amp;"")</f>
        <v>0</v>
      </c>
    </row>
    <row r="1088" spans="13:14" x14ac:dyDescent="0.35">
      <c r="M1088" s="64" t="s">
        <v>1335</v>
      </c>
      <c r="N1088" s="61">
        <f>SUMIFS(INDEX(detail_table[],,MATCH(M1088,detail_table[#Headers],0)),detail_table[Project Type],"&lt;&gt;"&amp;"")</f>
        <v>0</v>
      </c>
    </row>
    <row r="1089" spans="13:14" x14ac:dyDescent="0.35">
      <c r="M1089" s="64" t="s">
        <v>1336</v>
      </c>
      <c r="N1089" s="61">
        <f>SUMIFS(INDEX(detail_table[],,MATCH(M1089,detail_table[#Headers],0)),detail_table[Project Type],"&lt;&gt;"&amp;"")</f>
        <v>0</v>
      </c>
    </row>
    <row r="1090" spans="13:14" x14ac:dyDescent="0.35">
      <c r="M1090" s="64" t="s">
        <v>1337</v>
      </c>
      <c r="N1090" s="61">
        <f>SUMIFS(INDEX(detail_table[],,MATCH(M1090,detail_table[#Headers],0)),detail_table[Project Type],"&lt;&gt;"&amp;"")</f>
        <v>0</v>
      </c>
    </row>
    <row r="1091" spans="13:14" x14ac:dyDescent="0.35">
      <c r="M1091" s="64" t="s">
        <v>1338</v>
      </c>
      <c r="N1091" s="61">
        <f>SUMIFS(INDEX(detail_table[],,MATCH(M1091,detail_table[#Headers],0)),detail_table[Project Type],"&lt;&gt;"&amp;"")</f>
        <v>0</v>
      </c>
    </row>
    <row r="1092" spans="13:14" x14ac:dyDescent="0.35">
      <c r="M1092" s="64" t="s">
        <v>1339</v>
      </c>
      <c r="N1092" s="61">
        <f>SUMIFS(INDEX(detail_table[],,MATCH(M1092,detail_table[#Headers],0)),detail_table[Project Type],"&lt;&gt;"&amp;"")</f>
        <v>0</v>
      </c>
    </row>
    <row r="1093" spans="13:14" x14ac:dyDescent="0.35">
      <c r="M1093" s="64" t="s">
        <v>1340</v>
      </c>
      <c r="N1093" s="61">
        <f>SUMIFS(INDEX(detail_table[],,MATCH(M1093,detail_table[#Headers],0)),detail_table[Project Type],"&lt;&gt;"&amp;"")</f>
        <v>0</v>
      </c>
    </row>
    <row r="1094" spans="13:14" x14ac:dyDescent="0.35">
      <c r="M1094" s="64" t="s">
        <v>1341</v>
      </c>
      <c r="N1094" s="61">
        <f>SUMIFS(INDEX(detail_table[],,MATCH(M1094,detail_table[#Headers],0)),detail_table[Project Type],"&lt;&gt;"&amp;"")</f>
        <v>0</v>
      </c>
    </row>
    <row r="1095" spans="13:14" x14ac:dyDescent="0.35">
      <c r="M1095" s="64" t="s">
        <v>1342</v>
      </c>
      <c r="N1095" s="61">
        <f>SUMIFS(INDEX(detail_table[],,MATCH(M1095,detail_table[#Headers],0)),detail_table[Project Type],"&lt;&gt;"&amp;"")</f>
        <v>0</v>
      </c>
    </row>
    <row r="1096" spans="13:14" x14ac:dyDescent="0.35">
      <c r="M1096" s="64" t="s">
        <v>1343</v>
      </c>
      <c r="N1096" s="61">
        <f>SUMIFS(INDEX(detail_table[],,MATCH(M1096,detail_table[#Headers],0)),detail_table[Project Type],"&lt;&gt;"&amp;"")</f>
        <v>0</v>
      </c>
    </row>
    <row r="1097" spans="13:14" x14ac:dyDescent="0.35">
      <c r="M1097" s="64" t="s">
        <v>1344</v>
      </c>
      <c r="N1097" s="61">
        <f>SUMIFS(INDEX(detail_table[],,MATCH(M1097,detail_table[#Headers],0)),detail_table[Project Type],"&lt;&gt;"&amp;"")</f>
        <v>0</v>
      </c>
    </row>
    <row r="1098" spans="13:14" x14ac:dyDescent="0.35">
      <c r="M1098" s="64" t="s">
        <v>1345</v>
      </c>
      <c r="N1098" s="61">
        <f>SUMIFS(INDEX(detail_table[],,MATCH(M1098,detail_table[#Headers],0)),detail_table[Project Type],"&lt;&gt;"&amp;"")</f>
        <v>0</v>
      </c>
    </row>
    <row r="1099" spans="13:14" x14ac:dyDescent="0.35">
      <c r="M1099" s="64" t="s">
        <v>1346</v>
      </c>
      <c r="N1099" s="61">
        <f>SUMIFS(INDEX(detail_table[],,MATCH(M1099,detail_table[#Headers],0)),detail_table[Project Type],"&lt;&gt;"&amp;"")</f>
        <v>0</v>
      </c>
    </row>
    <row r="1100" spans="13:14" x14ac:dyDescent="0.35">
      <c r="M1100" s="64" t="s">
        <v>1347</v>
      </c>
      <c r="N1100" s="61">
        <f>SUMIFS(INDEX(detail_table[],,MATCH(M1100,detail_table[#Headers],0)),detail_table[Project Type],"&lt;&gt;"&amp;"")</f>
        <v>0</v>
      </c>
    </row>
    <row r="1101" spans="13:14" x14ac:dyDescent="0.35">
      <c r="M1101" s="64" t="s">
        <v>1348</v>
      </c>
      <c r="N1101" s="61">
        <f>SUMIFS(INDEX(detail_table[],,MATCH(M1101,detail_table[#Headers],0)),detail_table[Project Type],"&lt;&gt;"&amp;"")</f>
        <v>0</v>
      </c>
    </row>
    <row r="1102" spans="13:14" x14ac:dyDescent="0.35">
      <c r="M1102" s="64" t="s">
        <v>1349</v>
      </c>
      <c r="N1102" s="61">
        <f>SUMIFS(INDEX(detail_table[],,MATCH(M1102,detail_table[#Headers],0)),detail_table[Project Type],"&lt;&gt;"&amp;"")</f>
        <v>0</v>
      </c>
    </row>
    <row r="1103" spans="13:14" x14ac:dyDescent="0.35">
      <c r="M1103" s="64" t="s">
        <v>1350</v>
      </c>
      <c r="N1103" s="61">
        <f>SUMIFS(INDEX(detail_table[],,MATCH(M1103,detail_table[#Headers],0)),detail_table[Project Type],"&lt;&gt;"&amp;"")</f>
        <v>0</v>
      </c>
    </row>
    <row r="1104" spans="13:14" x14ac:dyDescent="0.35">
      <c r="M1104" s="64" t="s">
        <v>1351</v>
      </c>
      <c r="N1104" s="61">
        <f>SUMIFS(INDEX(detail_table[],,MATCH(M1104,detail_table[#Headers],0)),detail_table[Project Type],"&lt;&gt;"&amp;"")</f>
        <v>0</v>
      </c>
    </row>
    <row r="1105" spans="13:14" x14ac:dyDescent="0.35">
      <c r="M1105" s="64" t="s">
        <v>1352</v>
      </c>
      <c r="N1105" s="61">
        <f>SUMIFS(INDEX(detail_table[],,MATCH(M1105,detail_table[#Headers],0)),detail_table[Project Type],"&lt;&gt;"&amp;"")</f>
        <v>0</v>
      </c>
    </row>
    <row r="1106" spans="13:14" x14ac:dyDescent="0.35">
      <c r="M1106" s="64" t="s">
        <v>1353</v>
      </c>
      <c r="N1106" s="61">
        <f>SUMIFS(INDEX(detail_table[],,MATCH(M1106,detail_table[#Headers],0)),detail_table[Project Type],"&lt;&gt;"&amp;"")</f>
        <v>0</v>
      </c>
    </row>
    <row r="1107" spans="13:14" x14ac:dyDescent="0.35">
      <c r="M1107" s="64" t="s">
        <v>1354</v>
      </c>
      <c r="N1107" s="61">
        <f>SUMIFS(INDEX(detail_table[],,MATCH(M1107,detail_table[#Headers],0)),detail_table[Project Type],"&lt;&gt;"&amp;"")</f>
        <v>0</v>
      </c>
    </row>
    <row r="1108" spans="13:14" x14ac:dyDescent="0.35">
      <c r="M1108" s="64" t="s">
        <v>1355</v>
      </c>
      <c r="N1108" s="61">
        <f>SUMIFS(INDEX(detail_table[],,MATCH(M1108,detail_table[#Headers],0)),detail_table[Project Type],"&lt;&gt;"&amp;"")</f>
        <v>0</v>
      </c>
    </row>
    <row r="1109" spans="13:14" x14ac:dyDescent="0.35">
      <c r="M1109" s="64" t="s">
        <v>1356</v>
      </c>
      <c r="N1109" s="61">
        <f>SUMIFS(INDEX(detail_table[],,MATCH(M1109,detail_table[#Headers],0)),detail_table[Project Type],"&lt;&gt;"&amp;"")</f>
        <v>0</v>
      </c>
    </row>
    <row r="1110" spans="13:14" x14ac:dyDescent="0.35">
      <c r="M1110" s="64" t="s">
        <v>1357</v>
      </c>
      <c r="N1110" s="61">
        <f>SUMIFS(INDEX(detail_table[],,MATCH(M1110,detail_table[#Headers],0)),detail_table[Project Type],"&lt;&gt;"&amp;"")</f>
        <v>0</v>
      </c>
    </row>
    <row r="1111" spans="13:14" x14ac:dyDescent="0.35">
      <c r="M1111" s="64" t="s">
        <v>1358</v>
      </c>
      <c r="N1111" s="61">
        <f>SUMIFS(INDEX(detail_table[],,MATCH(M1111,detail_table[#Headers],0)),detail_table[Project Type],"&lt;&gt;"&amp;"")</f>
        <v>0</v>
      </c>
    </row>
    <row r="1112" spans="13:14" x14ac:dyDescent="0.35">
      <c r="M1112" s="64" t="s">
        <v>1359</v>
      </c>
      <c r="N1112" s="61">
        <f>SUMIFS(INDEX(detail_table[],,MATCH(M1112,detail_table[#Headers],0)),detail_table[Project Type],"&lt;&gt;"&amp;"")</f>
        <v>0</v>
      </c>
    </row>
    <row r="1113" spans="13:14" x14ac:dyDescent="0.35">
      <c r="M1113" s="64" t="s">
        <v>1360</v>
      </c>
      <c r="N1113" s="61">
        <f>SUMIFS(INDEX(detail_table[],,MATCH(M1113,detail_table[#Headers],0)),detail_table[Project Type],"&lt;&gt;"&amp;"")</f>
        <v>0</v>
      </c>
    </row>
    <row r="1114" spans="13:14" x14ac:dyDescent="0.35">
      <c r="M1114" s="64" t="s">
        <v>1361</v>
      </c>
      <c r="N1114" s="61">
        <f>SUMIFS(INDEX(detail_table[],,MATCH(M1114,detail_table[#Headers],0)),detail_table[Project Type],"&lt;&gt;"&amp;"")</f>
        <v>0</v>
      </c>
    </row>
    <row r="1115" spans="13:14" x14ac:dyDescent="0.35">
      <c r="M1115" s="64" t="s">
        <v>1362</v>
      </c>
      <c r="N1115" s="61">
        <f>SUMIFS(INDEX(detail_table[],,MATCH(M1115,detail_table[#Headers],0)),detail_table[Project Type],"&lt;&gt;"&amp;"")</f>
        <v>0</v>
      </c>
    </row>
    <row r="1116" spans="13:14" x14ac:dyDescent="0.35">
      <c r="M1116" s="64" t="s">
        <v>1363</v>
      </c>
      <c r="N1116" s="61">
        <f>SUMIFS(INDEX(detail_table[],,MATCH(M1116,detail_table[#Headers],0)),detail_table[Project Type],"&lt;&gt;"&amp;"")</f>
        <v>0</v>
      </c>
    </row>
    <row r="1117" spans="13:14" x14ac:dyDescent="0.35">
      <c r="M1117" s="64" t="s">
        <v>1364</v>
      </c>
      <c r="N1117" s="61">
        <f>SUMIFS(INDEX(detail_table[],,MATCH(M1117,detail_table[#Headers],0)),detail_table[Project Type],"&lt;&gt;"&amp;"")</f>
        <v>0</v>
      </c>
    </row>
    <row r="1118" spans="13:14" x14ac:dyDescent="0.35">
      <c r="M1118" s="64" t="s">
        <v>1365</v>
      </c>
      <c r="N1118" s="61">
        <f>SUMIFS(INDEX(detail_table[],,MATCH(M1118,detail_table[#Headers],0)),detail_table[Project Type],"&lt;&gt;"&amp;"")</f>
        <v>0</v>
      </c>
    </row>
    <row r="1119" spans="13:14" x14ac:dyDescent="0.35">
      <c r="M1119" s="64" t="s">
        <v>1366</v>
      </c>
      <c r="N1119" s="61">
        <f>SUMIFS(INDEX(detail_table[],,MATCH(M1119,detail_table[#Headers],0)),detail_table[Project Type],"&lt;&gt;"&amp;"")</f>
        <v>0</v>
      </c>
    </row>
    <row r="1120" spans="13:14" x14ac:dyDescent="0.35">
      <c r="M1120" s="64" t="s">
        <v>1367</v>
      </c>
      <c r="N1120" s="61">
        <f>SUMIFS(INDEX(detail_table[],,MATCH(M1120,detail_table[#Headers],0)),detail_table[Project Type],"&lt;&gt;"&amp;"")</f>
        <v>0</v>
      </c>
    </row>
    <row r="1121" spans="13:14" x14ac:dyDescent="0.35">
      <c r="M1121" s="64" t="s">
        <v>1368</v>
      </c>
      <c r="N1121" s="61">
        <f>SUMIFS(INDEX(detail_table[],,MATCH(M1121,detail_table[#Headers],0)),detail_table[Project Type],"&lt;&gt;"&amp;"")</f>
        <v>0</v>
      </c>
    </row>
    <row r="1122" spans="13:14" x14ac:dyDescent="0.35">
      <c r="M1122" s="64" t="s">
        <v>1369</v>
      </c>
      <c r="N1122" s="61">
        <f>SUMIFS(INDEX(detail_table[],,MATCH(M1122,detail_table[#Headers],0)),detail_table[Project Type],"&lt;&gt;"&amp;"")</f>
        <v>0</v>
      </c>
    </row>
    <row r="1123" spans="13:14" x14ac:dyDescent="0.35">
      <c r="M1123" s="64" t="s">
        <v>1370</v>
      </c>
      <c r="N1123" s="61">
        <f>SUMIFS(INDEX(detail_table[],,MATCH(M1123,detail_table[#Headers],0)),detail_table[Project Type],"&lt;&gt;"&amp;"")</f>
        <v>0</v>
      </c>
    </row>
    <row r="1124" spans="13:14" x14ac:dyDescent="0.35">
      <c r="M1124" s="64" t="s">
        <v>1371</v>
      </c>
      <c r="N1124" s="61">
        <f>SUMIFS(INDEX(detail_table[],,MATCH(M1124,detail_table[#Headers],0)),detail_table[Project Type],"&lt;&gt;"&amp;"")</f>
        <v>0</v>
      </c>
    </row>
    <row r="1125" spans="13:14" x14ac:dyDescent="0.35">
      <c r="M1125" s="64" t="s">
        <v>1372</v>
      </c>
      <c r="N1125" s="61">
        <f>SUMIFS(INDEX(detail_table[],,MATCH(M1125,detail_table[#Headers],0)),detail_table[Project Type],"&lt;&gt;"&amp;"")</f>
        <v>0</v>
      </c>
    </row>
    <row r="1126" spans="13:14" x14ac:dyDescent="0.35">
      <c r="M1126" s="64" t="s">
        <v>1373</v>
      </c>
      <c r="N1126" s="61">
        <f>SUMIFS(INDEX(detail_table[],,MATCH(M1126,detail_table[#Headers],0)),detail_table[Project Type],"&lt;&gt;"&amp;"")</f>
        <v>0</v>
      </c>
    </row>
    <row r="1127" spans="13:14" x14ac:dyDescent="0.35">
      <c r="M1127" s="64" t="s">
        <v>1374</v>
      </c>
      <c r="N1127" s="61">
        <f>SUMIFS(INDEX(detail_table[],,MATCH(M1127,detail_table[#Headers],0)),detail_table[Project Type],"&lt;&gt;"&amp;"")</f>
        <v>0</v>
      </c>
    </row>
    <row r="1128" spans="13:14" x14ac:dyDescent="0.35">
      <c r="M1128" s="64" t="s">
        <v>1375</v>
      </c>
      <c r="N1128" s="61">
        <f>SUMIFS(INDEX(detail_table[],,MATCH(M1128,detail_table[#Headers],0)),detail_table[Project Type],"&lt;&gt;"&amp;"")</f>
        <v>0</v>
      </c>
    </row>
    <row r="1129" spans="13:14" x14ac:dyDescent="0.35">
      <c r="M1129" s="64" t="s">
        <v>1376</v>
      </c>
      <c r="N1129" s="61">
        <f>SUMIFS(INDEX(detail_table[],,MATCH(M1129,detail_table[#Headers],0)),detail_table[Project Type],"&lt;&gt;"&amp;"")</f>
        <v>0</v>
      </c>
    </row>
    <row r="1130" spans="13:14" x14ac:dyDescent="0.35">
      <c r="M1130" s="64" t="s">
        <v>1377</v>
      </c>
      <c r="N1130" s="61">
        <f>SUMIFS(INDEX(detail_table[],,MATCH(M1130,detail_table[#Headers],0)),detail_table[Project Type],"&lt;&gt;"&amp;"")</f>
        <v>0</v>
      </c>
    </row>
    <row r="1131" spans="13:14" x14ac:dyDescent="0.35">
      <c r="M1131" s="64" t="s">
        <v>1378</v>
      </c>
      <c r="N1131" s="61">
        <f>SUMIFS(INDEX(detail_table[],,MATCH(M1131,detail_table[#Headers],0)),detail_table[Project Type],"&lt;&gt;"&amp;"")</f>
        <v>0</v>
      </c>
    </row>
    <row r="1132" spans="13:14" x14ac:dyDescent="0.35">
      <c r="M1132" s="64" t="s">
        <v>1379</v>
      </c>
      <c r="N1132" s="61">
        <f>SUMIFS(INDEX(detail_table[],,MATCH(M1132,detail_table[#Headers],0)),detail_table[Project Type],"&lt;&gt;"&amp;"")</f>
        <v>0</v>
      </c>
    </row>
    <row r="1133" spans="13:14" x14ac:dyDescent="0.35">
      <c r="M1133" s="64" t="s">
        <v>1380</v>
      </c>
      <c r="N1133" s="61">
        <f>SUMIFS(INDEX(detail_table[],,MATCH(M1133,detail_table[#Headers],0)),detail_table[Project Type],"&lt;&gt;"&amp;"")</f>
        <v>0</v>
      </c>
    </row>
    <row r="1134" spans="13:14" x14ac:dyDescent="0.35">
      <c r="M1134" s="64" t="s">
        <v>1381</v>
      </c>
      <c r="N1134" s="61">
        <f>SUMIFS(INDEX(detail_table[],,MATCH(M1134,detail_table[#Headers],0)),detail_table[Project Type],"&lt;&gt;"&amp;"")</f>
        <v>0</v>
      </c>
    </row>
    <row r="1135" spans="13:14" x14ac:dyDescent="0.35">
      <c r="M1135" s="64" t="s">
        <v>1382</v>
      </c>
      <c r="N1135" s="61">
        <f>SUMIFS(INDEX(detail_table[],,MATCH(M1135,detail_table[#Headers],0)),detail_table[Project Type],"&lt;&gt;"&amp;"")</f>
        <v>0</v>
      </c>
    </row>
    <row r="1136" spans="13:14" x14ac:dyDescent="0.35">
      <c r="M1136" s="64" t="s">
        <v>1383</v>
      </c>
      <c r="N1136" s="61">
        <f>SUMIFS(INDEX(detail_table[],,MATCH(M1136,detail_table[#Headers],0)),detail_table[Project Type],"&lt;&gt;"&amp;"")</f>
        <v>0</v>
      </c>
    </row>
    <row r="1137" spans="13:14" x14ac:dyDescent="0.35">
      <c r="M1137" s="64" t="s">
        <v>1384</v>
      </c>
      <c r="N1137" s="61">
        <f>SUMIFS(INDEX(detail_table[],,MATCH(M1137,detail_table[#Headers],0)),detail_table[Project Type],"&lt;&gt;"&amp;"")</f>
        <v>0</v>
      </c>
    </row>
    <row r="1138" spans="13:14" x14ac:dyDescent="0.35">
      <c r="M1138" s="64" t="s">
        <v>1385</v>
      </c>
      <c r="N1138" s="61">
        <f>SUMIFS(INDEX(detail_table[],,MATCH(M1138,detail_table[#Headers],0)),detail_table[Project Type],"&lt;&gt;"&amp;"")</f>
        <v>0</v>
      </c>
    </row>
    <row r="1139" spans="13:14" x14ac:dyDescent="0.35">
      <c r="M1139" s="64" t="s">
        <v>1386</v>
      </c>
      <c r="N1139" s="61">
        <f>SUMIFS(INDEX(detail_table[],,MATCH(M1139,detail_table[#Headers],0)),detail_table[Project Type],"&lt;&gt;"&amp;"")</f>
        <v>0</v>
      </c>
    </row>
    <row r="1140" spans="13:14" x14ac:dyDescent="0.35">
      <c r="M1140" s="64" t="s">
        <v>1387</v>
      </c>
      <c r="N1140" s="61">
        <f>SUMIFS(INDEX(detail_table[],,MATCH(M1140,detail_table[#Headers],0)),detail_table[Project Type],"&lt;&gt;"&amp;"")</f>
        <v>0</v>
      </c>
    </row>
    <row r="1141" spans="13:14" x14ac:dyDescent="0.35">
      <c r="M1141" s="64" t="s">
        <v>1388</v>
      </c>
      <c r="N1141" s="61">
        <f>SUMIFS(INDEX(detail_table[],,MATCH(M1141,detail_table[#Headers],0)),detail_table[Project Type],"&lt;&gt;"&amp;"")</f>
        <v>0</v>
      </c>
    </row>
    <row r="1142" spans="13:14" x14ac:dyDescent="0.35">
      <c r="M1142" s="64" t="s">
        <v>1389</v>
      </c>
      <c r="N1142" s="61">
        <f>SUMIFS(INDEX(detail_table[],,MATCH(M1142,detail_table[#Headers],0)),detail_table[Project Type],"&lt;&gt;"&amp;"")</f>
        <v>0</v>
      </c>
    </row>
    <row r="1143" spans="13:14" x14ac:dyDescent="0.35">
      <c r="M1143" s="64" t="s">
        <v>1390</v>
      </c>
      <c r="N1143" s="61">
        <f>SUMIFS(INDEX(detail_table[],,MATCH(M1143,detail_table[#Headers],0)),detail_table[Project Type],"&lt;&gt;"&amp;"")</f>
        <v>0</v>
      </c>
    </row>
    <row r="1144" spans="13:14" x14ac:dyDescent="0.35">
      <c r="M1144" s="64" t="s">
        <v>1391</v>
      </c>
      <c r="N1144" s="61">
        <f>SUMIFS(INDEX(detail_table[],,MATCH(M1144,detail_table[#Headers],0)),detail_table[Project Type],"&lt;&gt;"&amp;"")</f>
        <v>0</v>
      </c>
    </row>
    <row r="1145" spans="13:14" x14ac:dyDescent="0.35">
      <c r="M1145" s="64" t="s">
        <v>1392</v>
      </c>
      <c r="N1145" s="61">
        <f>SUMIFS(INDEX(detail_table[],,MATCH(M1145,detail_table[#Headers],0)),detail_table[Project Type],"&lt;&gt;"&amp;"")</f>
        <v>0</v>
      </c>
    </row>
    <row r="1146" spans="13:14" x14ac:dyDescent="0.35">
      <c r="M1146" s="64" t="s">
        <v>1393</v>
      </c>
      <c r="N1146" s="61">
        <f>SUMIFS(INDEX(detail_table[],,MATCH(M1146,detail_table[#Headers],0)),detail_table[Project Type],"&lt;&gt;"&amp;"")</f>
        <v>0</v>
      </c>
    </row>
    <row r="1147" spans="13:14" x14ac:dyDescent="0.35">
      <c r="M1147" s="64" t="s">
        <v>1394</v>
      </c>
      <c r="N1147" s="61">
        <f>SUMIFS(INDEX(detail_table[],,MATCH(M1147,detail_table[#Headers],0)),detail_table[Project Type],"&lt;&gt;"&amp;"")</f>
        <v>0</v>
      </c>
    </row>
    <row r="1148" spans="13:14" x14ac:dyDescent="0.35">
      <c r="M1148" s="64" t="s">
        <v>1395</v>
      </c>
      <c r="N1148" s="61">
        <f>SUMIFS(INDEX(detail_table[],,MATCH(M1148,detail_table[#Headers],0)),detail_table[Project Type],"&lt;&gt;"&amp;"")</f>
        <v>0</v>
      </c>
    </row>
    <row r="1149" spans="13:14" x14ac:dyDescent="0.35">
      <c r="M1149" s="64" t="s">
        <v>1396</v>
      </c>
      <c r="N1149" s="61">
        <f>SUMIFS(INDEX(detail_table[],,MATCH(M1149,detail_table[#Headers],0)),detail_table[Project Type],"&lt;&gt;"&amp;"")</f>
        <v>0</v>
      </c>
    </row>
    <row r="1150" spans="13:14" x14ac:dyDescent="0.35">
      <c r="M1150" s="64" t="s">
        <v>1397</v>
      </c>
      <c r="N1150" s="61">
        <f>SUMIFS(INDEX(detail_table[],,MATCH(M1150,detail_table[#Headers],0)),detail_table[Project Type],"&lt;&gt;"&amp;"")</f>
        <v>0</v>
      </c>
    </row>
    <row r="1151" spans="13:14" x14ac:dyDescent="0.35">
      <c r="M1151" s="64" t="s">
        <v>1398</v>
      </c>
      <c r="N1151" s="61">
        <f>SUMIFS(INDEX(detail_table[],,MATCH(M1151,detail_table[#Headers],0)),detail_table[Project Type],"&lt;&gt;"&amp;"")</f>
        <v>0</v>
      </c>
    </row>
    <row r="1152" spans="13:14" x14ac:dyDescent="0.35">
      <c r="M1152" s="64" t="s">
        <v>1399</v>
      </c>
      <c r="N1152" s="61">
        <f>SUMIFS(INDEX(detail_table[],,MATCH(M1152,detail_table[#Headers],0)),detail_table[Project Type],"&lt;&gt;"&amp;"")</f>
        <v>0</v>
      </c>
    </row>
    <row r="1153" spans="13:14" x14ac:dyDescent="0.35">
      <c r="M1153" s="64" t="s">
        <v>1400</v>
      </c>
      <c r="N1153" s="61">
        <f>SUMIFS(INDEX(detail_table[],,MATCH(M1153,detail_table[#Headers],0)),detail_table[Project Type],"&lt;&gt;"&amp;"")</f>
        <v>0</v>
      </c>
    </row>
    <row r="1154" spans="13:14" x14ac:dyDescent="0.35">
      <c r="M1154" s="64" t="s">
        <v>1401</v>
      </c>
      <c r="N1154" s="61">
        <f>SUMIFS(INDEX(detail_table[],,MATCH(M1154,detail_table[#Headers],0)),detail_table[Project Type],"&lt;&gt;"&amp;"")</f>
        <v>0</v>
      </c>
    </row>
    <row r="1155" spans="13:14" x14ac:dyDescent="0.35">
      <c r="M1155" s="64" t="s">
        <v>1402</v>
      </c>
      <c r="N1155" s="61">
        <f>SUMIFS(INDEX(detail_table[],,MATCH(M1155,detail_table[#Headers],0)),detail_table[Project Type],"&lt;&gt;"&amp;"")</f>
        <v>0</v>
      </c>
    </row>
    <row r="1156" spans="13:14" x14ac:dyDescent="0.35">
      <c r="M1156" s="64" t="s">
        <v>1403</v>
      </c>
      <c r="N1156" s="61">
        <f>SUMIFS(INDEX(detail_table[],,MATCH(M1156,detail_table[#Headers],0)),detail_table[Project Type],"&lt;&gt;"&amp;"")</f>
        <v>0</v>
      </c>
    </row>
    <row r="1157" spans="13:14" x14ac:dyDescent="0.35">
      <c r="M1157" s="64" t="s">
        <v>1404</v>
      </c>
      <c r="N1157" s="61">
        <f>SUMIFS(INDEX(detail_table[],,MATCH(M1157,detail_table[#Headers],0)),detail_table[Project Type],"&lt;&gt;"&amp;"")</f>
        <v>0</v>
      </c>
    </row>
    <row r="1158" spans="13:14" x14ac:dyDescent="0.35">
      <c r="M1158" s="64" t="s">
        <v>1405</v>
      </c>
      <c r="N1158" s="61">
        <f>SUMIFS(INDEX(detail_table[],,MATCH(M1158,detail_table[#Headers],0)),detail_table[Project Type],"&lt;&gt;"&amp;"")</f>
        <v>0</v>
      </c>
    </row>
    <row r="1159" spans="13:14" x14ac:dyDescent="0.35">
      <c r="M1159" s="64" t="s">
        <v>1406</v>
      </c>
      <c r="N1159" s="61">
        <f>SUMIFS(INDEX(detail_table[],,MATCH(M1159,detail_table[#Headers],0)),detail_table[Project Type],"&lt;&gt;"&amp;"")</f>
        <v>0</v>
      </c>
    </row>
    <row r="1160" spans="13:14" x14ac:dyDescent="0.35">
      <c r="M1160" s="64" t="s">
        <v>1407</v>
      </c>
      <c r="N1160" s="61">
        <f>SUMIFS(INDEX(detail_table[],,MATCH(M1160,detail_table[#Headers],0)),detail_table[Project Type],"&lt;&gt;"&amp;"")</f>
        <v>0</v>
      </c>
    </row>
    <row r="1161" spans="13:14" x14ac:dyDescent="0.35">
      <c r="M1161" s="64" t="s">
        <v>1408</v>
      </c>
      <c r="N1161" s="61">
        <f>SUMIFS(INDEX(detail_table[],,MATCH(M1161,detail_table[#Headers],0)),detail_table[Project Type],"&lt;&gt;"&amp;"")</f>
        <v>0</v>
      </c>
    </row>
    <row r="1162" spans="13:14" x14ac:dyDescent="0.35">
      <c r="M1162" s="64" t="s">
        <v>1409</v>
      </c>
      <c r="N1162" s="61">
        <f>SUMIFS(INDEX(detail_table[],,MATCH(M1162,detail_table[#Headers],0)),detail_table[Project Type],"&lt;&gt;"&amp;"")</f>
        <v>0</v>
      </c>
    </row>
    <row r="1163" spans="13:14" x14ac:dyDescent="0.35">
      <c r="M1163" s="64" t="s">
        <v>1410</v>
      </c>
      <c r="N1163" s="61">
        <f>SUMIFS(INDEX(detail_table[],,MATCH(M1163,detail_table[#Headers],0)),detail_table[Project Type],"&lt;&gt;"&amp;"")</f>
        <v>0</v>
      </c>
    </row>
    <row r="1164" spans="13:14" x14ac:dyDescent="0.35">
      <c r="M1164" s="64" t="s">
        <v>1411</v>
      </c>
      <c r="N1164" s="61">
        <f>SUMIFS(INDEX(detail_table[],,MATCH(M1164,detail_table[#Headers],0)),detail_table[Project Type],"&lt;&gt;"&amp;"")</f>
        <v>0</v>
      </c>
    </row>
    <row r="1165" spans="13:14" x14ac:dyDescent="0.35">
      <c r="M1165" s="64" t="s">
        <v>1412</v>
      </c>
      <c r="N1165" s="61">
        <f>SUMIFS(INDEX(detail_table[],,MATCH(M1165,detail_table[#Headers],0)),detail_table[Project Type],"&lt;&gt;"&amp;"")</f>
        <v>0</v>
      </c>
    </row>
    <row r="1166" spans="13:14" x14ac:dyDescent="0.35">
      <c r="M1166" s="64" t="s">
        <v>1413</v>
      </c>
      <c r="N1166" s="61">
        <f>SUMIFS(INDEX(detail_table[],,MATCH(M1166,detail_table[#Headers],0)),detail_table[Project Type],"&lt;&gt;"&amp;"")</f>
        <v>0</v>
      </c>
    </row>
    <row r="1167" spans="13:14" x14ac:dyDescent="0.35">
      <c r="M1167" s="64" t="s">
        <v>1414</v>
      </c>
      <c r="N1167" s="61">
        <f>SUMIFS(INDEX(detail_table[],,MATCH(M1167,detail_table[#Headers],0)),detail_table[Project Type],"&lt;&gt;"&amp;"")</f>
        <v>0</v>
      </c>
    </row>
    <row r="1168" spans="13:14" x14ac:dyDescent="0.35">
      <c r="M1168" s="64" t="s">
        <v>1415</v>
      </c>
      <c r="N1168" s="61">
        <f>SUMIFS(INDEX(detail_table[],,MATCH(M1168,detail_table[#Headers],0)),detail_table[Project Type],"&lt;&gt;"&amp;"")</f>
        <v>0</v>
      </c>
    </row>
    <row r="1169" spans="13:14" x14ac:dyDescent="0.35">
      <c r="M1169" s="64" t="s">
        <v>1416</v>
      </c>
      <c r="N1169" s="61">
        <f>SUMIFS(INDEX(detail_table[],,MATCH(M1169,detail_table[#Headers],0)),detail_table[Project Type],"&lt;&gt;"&amp;"")</f>
        <v>0</v>
      </c>
    </row>
    <row r="1170" spans="13:14" x14ac:dyDescent="0.35">
      <c r="M1170" s="64" t="s">
        <v>1417</v>
      </c>
      <c r="N1170" s="61">
        <f>SUMIFS(INDEX(detail_table[],,MATCH(M1170,detail_table[#Headers],0)),detail_table[Project Type],"&lt;&gt;"&amp;"")</f>
        <v>0</v>
      </c>
    </row>
    <row r="1171" spans="13:14" x14ac:dyDescent="0.35">
      <c r="M1171" s="64" t="s">
        <v>1418</v>
      </c>
      <c r="N1171" s="61">
        <f>SUMIFS(INDEX(detail_table[],,MATCH(M1171,detail_table[#Headers],0)),detail_table[Project Type],"&lt;&gt;"&amp;"")</f>
        <v>0</v>
      </c>
    </row>
    <row r="1172" spans="13:14" x14ac:dyDescent="0.35">
      <c r="M1172" s="64" t="s">
        <v>1419</v>
      </c>
      <c r="N1172" s="61">
        <f>SUMIFS(INDEX(detail_table[],,MATCH(M1172,detail_table[#Headers],0)),detail_table[Project Type],"&lt;&gt;"&amp;"")</f>
        <v>0</v>
      </c>
    </row>
    <row r="1173" spans="13:14" x14ac:dyDescent="0.35">
      <c r="M1173" s="64" t="s">
        <v>1420</v>
      </c>
      <c r="N1173" s="61">
        <f>SUMIFS(INDEX(detail_table[],,MATCH(M1173,detail_table[#Headers],0)),detail_table[Project Type],"&lt;&gt;"&amp;"")</f>
        <v>0</v>
      </c>
    </row>
    <row r="1174" spans="13:14" x14ac:dyDescent="0.35">
      <c r="M1174" s="64" t="s">
        <v>1421</v>
      </c>
      <c r="N1174" s="61">
        <f>SUMIFS(INDEX(detail_table[],,MATCH(M1174,detail_table[#Headers],0)),detail_table[Project Type],"&lt;&gt;"&amp;"")</f>
        <v>0</v>
      </c>
    </row>
    <row r="1175" spans="13:14" x14ac:dyDescent="0.35">
      <c r="M1175" s="64" t="s">
        <v>1422</v>
      </c>
      <c r="N1175" s="61">
        <f>SUMIFS(INDEX(detail_table[],,MATCH(M1175,detail_table[#Headers],0)),detail_table[Project Type],"&lt;&gt;"&amp;"")</f>
        <v>0</v>
      </c>
    </row>
    <row r="1176" spans="13:14" x14ac:dyDescent="0.35">
      <c r="M1176" s="64" t="s">
        <v>1423</v>
      </c>
      <c r="N1176" s="61">
        <f>SUMIFS(INDEX(detail_table[],,MATCH(M1176,detail_table[#Headers],0)),detail_table[Project Type],"&lt;&gt;"&amp;"")</f>
        <v>0</v>
      </c>
    </row>
    <row r="1177" spans="13:14" x14ac:dyDescent="0.35">
      <c r="M1177" s="64" t="s">
        <v>1424</v>
      </c>
      <c r="N1177" s="61">
        <f>SUMIFS(INDEX(detail_table[],,MATCH(M1177,detail_table[#Headers],0)),detail_table[Project Type],"&lt;&gt;"&amp;"")</f>
        <v>0</v>
      </c>
    </row>
    <row r="1178" spans="13:14" x14ac:dyDescent="0.35">
      <c r="M1178" s="64" t="s">
        <v>1425</v>
      </c>
      <c r="N1178" s="61">
        <f>SUMIFS(INDEX(detail_table[],,MATCH(M1178,detail_table[#Headers],0)),detail_table[Project Type],"&lt;&gt;"&amp;"")</f>
        <v>0</v>
      </c>
    </row>
    <row r="1179" spans="13:14" x14ac:dyDescent="0.35">
      <c r="M1179" s="64" t="s">
        <v>1426</v>
      </c>
      <c r="N1179" s="61">
        <f>SUMIFS(INDEX(detail_table[],,MATCH(M1179,detail_table[#Headers],0)),detail_table[Project Type],"&lt;&gt;"&amp;"")</f>
        <v>0</v>
      </c>
    </row>
    <row r="1180" spans="13:14" x14ac:dyDescent="0.35">
      <c r="M1180" s="64" t="s">
        <v>1427</v>
      </c>
      <c r="N1180" s="61">
        <f>SUMIFS(INDEX(detail_table[],,MATCH(M1180,detail_table[#Headers],0)),detail_table[Project Type],"&lt;&gt;"&amp;"")</f>
        <v>0</v>
      </c>
    </row>
    <row r="1181" spans="13:14" x14ac:dyDescent="0.35">
      <c r="M1181" s="64" t="s">
        <v>1428</v>
      </c>
      <c r="N1181" s="61">
        <f>SUMIFS(INDEX(detail_table[],,MATCH(M1181,detail_table[#Headers],0)),detail_table[Project Type],"&lt;&gt;"&amp;"")</f>
        <v>0</v>
      </c>
    </row>
    <row r="1182" spans="13:14" x14ac:dyDescent="0.35">
      <c r="M1182" s="64" t="s">
        <v>1429</v>
      </c>
      <c r="N1182" s="61">
        <f>SUMIFS(INDEX(detail_table[],,MATCH(M1182,detail_table[#Headers],0)),detail_table[Project Type],"&lt;&gt;"&amp;"")</f>
        <v>0</v>
      </c>
    </row>
    <row r="1183" spans="13:14" x14ac:dyDescent="0.35">
      <c r="M1183" s="64" t="s">
        <v>1430</v>
      </c>
      <c r="N1183" s="61">
        <f>SUMIFS(INDEX(detail_table[],,MATCH(M1183,detail_table[#Headers],0)),detail_table[Project Type],"&lt;&gt;"&amp;"")</f>
        <v>0</v>
      </c>
    </row>
    <row r="1184" spans="13:14" x14ac:dyDescent="0.35">
      <c r="M1184" s="64" t="s">
        <v>1431</v>
      </c>
      <c r="N1184" s="61">
        <f>SUMIFS(INDEX(detail_table[],,MATCH(M1184,detail_table[#Headers],0)),detail_table[Project Type],"&lt;&gt;"&amp;"")</f>
        <v>0</v>
      </c>
    </row>
    <row r="1185" spans="13:14" x14ac:dyDescent="0.35">
      <c r="M1185" s="64" t="s">
        <v>1432</v>
      </c>
      <c r="N1185" s="61">
        <f>SUMIFS(INDEX(detail_table[],,MATCH(M1185,detail_table[#Headers],0)),detail_table[Project Type],"&lt;&gt;"&amp;"")</f>
        <v>0</v>
      </c>
    </row>
    <row r="1186" spans="13:14" x14ac:dyDescent="0.35">
      <c r="M1186" s="64" t="s">
        <v>1433</v>
      </c>
      <c r="N1186" s="61">
        <f>SUMIFS(INDEX(detail_table[],,MATCH(M1186,detail_table[#Headers],0)),detail_table[Project Type],"&lt;&gt;"&amp;"")</f>
        <v>0</v>
      </c>
    </row>
    <row r="1187" spans="13:14" x14ac:dyDescent="0.35">
      <c r="M1187" s="64" t="s">
        <v>1434</v>
      </c>
      <c r="N1187" s="61">
        <f>SUMIFS(INDEX(detail_table[],,MATCH(M1187,detail_table[#Headers],0)),detail_table[Project Type],"&lt;&gt;"&amp;"")</f>
        <v>0</v>
      </c>
    </row>
    <row r="1188" spans="13:14" x14ac:dyDescent="0.35">
      <c r="M1188" s="64" t="s">
        <v>1435</v>
      </c>
      <c r="N1188" s="61">
        <f>SUMIFS(INDEX(detail_table[],,MATCH(M1188,detail_table[#Headers],0)),detail_table[Project Type],"&lt;&gt;"&amp;"")</f>
        <v>0</v>
      </c>
    </row>
    <row r="1189" spans="13:14" x14ac:dyDescent="0.35">
      <c r="M1189" s="64" t="s">
        <v>1436</v>
      </c>
      <c r="N1189" s="61">
        <f>SUMIFS(INDEX(detail_table[],,MATCH(M1189,detail_table[#Headers],0)),detail_table[Project Type],"&lt;&gt;"&amp;"")</f>
        <v>0</v>
      </c>
    </row>
    <row r="1190" spans="13:14" x14ac:dyDescent="0.35">
      <c r="M1190" s="64" t="s">
        <v>1437</v>
      </c>
      <c r="N1190" s="61">
        <f>SUMIFS(INDEX(detail_table[],,MATCH(M1190,detail_table[#Headers],0)),detail_table[Project Type],"&lt;&gt;"&amp;"")</f>
        <v>0</v>
      </c>
    </row>
    <row r="1191" spans="13:14" x14ac:dyDescent="0.35">
      <c r="M1191" s="64" t="s">
        <v>1438</v>
      </c>
      <c r="N1191" s="61">
        <f>SUMIFS(INDEX(detail_table[],,MATCH(M1191,detail_table[#Headers],0)),detail_table[Project Type],"&lt;&gt;"&amp;"")</f>
        <v>0</v>
      </c>
    </row>
    <row r="1192" spans="13:14" x14ac:dyDescent="0.35">
      <c r="M1192" s="64" t="s">
        <v>1439</v>
      </c>
      <c r="N1192" s="61">
        <f>SUMIFS(INDEX(detail_table[],,MATCH(M1192,detail_table[#Headers],0)),detail_table[Project Type],"&lt;&gt;"&amp;"")</f>
        <v>0</v>
      </c>
    </row>
    <row r="1193" spans="13:14" x14ac:dyDescent="0.35">
      <c r="M1193" s="64" t="s">
        <v>1440</v>
      </c>
      <c r="N1193" s="61">
        <f>SUMIFS(INDEX(detail_table[],,MATCH(M1193,detail_table[#Headers],0)),detail_table[Project Type],"&lt;&gt;"&amp;"")</f>
        <v>0</v>
      </c>
    </row>
    <row r="1194" spans="13:14" x14ac:dyDescent="0.35">
      <c r="M1194" s="64" t="s">
        <v>1441</v>
      </c>
      <c r="N1194" s="61">
        <f>SUMIFS(INDEX(detail_table[],,MATCH(M1194,detail_table[#Headers],0)),detail_table[Project Type],"&lt;&gt;"&amp;"")</f>
        <v>0</v>
      </c>
    </row>
    <row r="1195" spans="13:14" x14ac:dyDescent="0.35">
      <c r="M1195" s="64" t="s">
        <v>1442</v>
      </c>
      <c r="N1195" s="61">
        <f>SUMIFS(INDEX(detail_table[],,MATCH(M1195,detail_table[#Headers],0)),detail_table[Project Type],"&lt;&gt;"&amp;"")</f>
        <v>0</v>
      </c>
    </row>
    <row r="1196" spans="13:14" x14ac:dyDescent="0.35">
      <c r="M1196" s="64" t="s">
        <v>1443</v>
      </c>
      <c r="N1196" s="61">
        <f>SUMIFS(INDEX(detail_table[],,MATCH(M1196,detail_table[#Headers],0)),detail_table[Project Type],"&lt;&gt;"&amp;"")</f>
        <v>0</v>
      </c>
    </row>
    <row r="1197" spans="13:14" x14ac:dyDescent="0.35">
      <c r="M1197" s="64" t="s">
        <v>1444</v>
      </c>
      <c r="N1197" s="61">
        <f>SUMIFS(INDEX(detail_table[],,MATCH(M1197,detail_table[#Headers],0)),detail_table[Project Type],"&lt;&gt;"&amp;"")</f>
        <v>0</v>
      </c>
    </row>
    <row r="1198" spans="13:14" x14ac:dyDescent="0.35">
      <c r="M1198" s="64" t="s">
        <v>1445</v>
      </c>
      <c r="N1198" s="61">
        <f>SUMIFS(INDEX(detail_table[],,MATCH(M1198,detail_table[#Headers],0)),detail_table[Project Type],"&lt;&gt;"&amp;"")</f>
        <v>0</v>
      </c>
    </row>
    <row r="1199" spans="13:14" x14ac:dyDescent="0.35">
      <c r="M1199" s="64" t="s">
        <v>1446</v>
      </c>
      <c r="N1199" s="61">
        <f>SUMIFS(INDEX(detail_table[],,MATCH(M1199,detail_table[#Headers],0)),detail_table[Project Type],"&lt;&gt;"&amp;"")</f>
        <v>0</v>
      </c>
    </row>
    <row r="1200" spans="13:14" x14ac:dyDescent="0.35">
      <c r="M1200" s="64" t="s">
        <v>1447</v>
      </c>
      <c r="N1200" s="61">
        <f>SUMIFS(INDEX(detail_table[],,MATCH(M1200,detail_table[#Headers],0)),detail_table[Project Type],"&lt;&gt;"&amp;"")</f>
        <v>0</v>
      </c>
    </row>
    <row r="1201" spans="13:14" x14ac:dyDescent="0.35">
      <c r="M1201" s="64" t="s">
        <v>1448</v>
      </c>
      <c r="N1201" s="61">
        <f>SUMIFS(INDEX(detail_table[],,MATCH(M1201,detail_table[#Headers],0)),detail_table[Project Type],"&lt;&gt;"&amp;"")</f>
        <v>0</v>
      </c>
    </row>
    <row r="1202" spans="13:14" x14ac:dyDescent="0.35">
      <c r="M1202" s="64" t="s">
        <v>1449</v>
      </c>
      <c r="N1202" s="61">
        <f>SUMIFS(INDEX(detail_table[],,MATCH(M1202,detail_table[#Headers],0)),detail_table[Project Type],"&lt;&gt;"&amp;"")</f>
        <v>0</v>
      </c>
    </row>
    <row r="1203" spans="13:14" x14ac:dyDescent="0.35">
      <c r="M1203" s="64" t="s">
        <v>1450</v>
      </c>
      <c r="N1203" s="61">
        <f>SUMIFS(INDEX(detail_table[],,MATCH(M1203,detail_table[#Headers],0)),detail_table[Project Type],"&lt;&gt;"&amp;"")</f>
        <v>0</v>
      </c>
    </row>
    <row r="1204" spans="13:14" x14ac:dyDescent="0.35">
      <c r="M1204" s="64" t="s">
        <v>1451</v>
      </c>
      <c r="N1204" s="61">
        <f>SUMIFS(INDEX(detail_table[],,MATCH(M1204,detail_table[#Headers],0)),detail_table[Project Type],"&lt;&gt;"&amp;"")</f>
        <v>0</v>
      </c>
    </row>
    <row r="1205" spans="13:14" x14ac:dyDescent="0.35">
      <c r="M1205" s="64" t="s">
        <v>1452</v>
      </c>
      <c r="N1205" s="61">
        <f>SUMIFS(INDEX(detail_table[],,MATCH(M1205,detail_table[#Headers],0)),detail_table[Project Type],"&lt;&gt;"&amp;"")</f>
        <v>0</v>
      </c>
    </row>
    <row r="1206" spans="13:14" x14ac:dyDescent="0.35">
      <c r="M1206" s="64" t="s">
        <v>1453</v>
      </c>
      <c r="N1206" s="61">
        <f>SUMIFS(INDEX(detail_table[],,MATCH(M1206,detail_table[#Headers],0)),detail_table[Project Type],"&lt;&gt;"&amp;"")</f>
        <v>0</v>
      </c>
    </row>
    <row r="1207" spans="13:14" x14ac:dyDescent="0.35">
      <c r="M1207" s="64" t="s">
        <v>1454</v>
      </c>
      <c r="N1207" s="61">
        <f>SUMIFS(INDEX(detail_table[],,MATCH(M1207,detail_table[#Headers],0)),detail_table[Project Type],"&lt;&gt;"&amp;"")</f>
        <v>0</v>
      </c>
    </row>
    <row r="1208" spans="13:14" x14ac:dyDescent="0.35">
      <c r="M1208" s="64" t="s">
        <v>1455</v>
      </c>
      <c r="N1208" s="61">
        <f>SUMIFS(INDEX(detail_table[],,MATCH(M1208,detail_table[#Headers],0)),detail_table[Project Type],"&lt;&gt;"&amp;"")</f>
        <v>0</v>
      </c>
    </row>
    <row r="1209" spans="13:14" x14ac:dyDescent="0.35">
      <c r="M1209" s="64" t="s">
        <v>1456</v>
      </c>
      <c r="N1209" s="61">
        <f>SUMIFS(INDEX(detail_table[],,MATCH(M1209,detail_table[#Headers],0)),detail_table[Project Type],"&lt;&gt;"&amp;"")</f>
        <v>0</v>
      </c>
    </row>
    <row r="1210" spans="13:14" x14ac:dyDescent="0.35">
      <c r="M1210" s="64" t="s">
        <v>1457</v>
      </c>
      <c r="N1210" s="61">
        <f>SUMIFS(INDEX(detail_table[],,MATCH(M1210,detail_table[#Headers],0)),detail_table[Project Type],"&lt;&gt;"&amp;"")</f>
        <v>0</v>
      </c>
    </row>
    <row r="1211" spans="13:14" x14ac:dyDescent="0.35">
      <c r="M1211" s="64" t="s">
        <v>1458</v>
      </c>
      <c r="N1211" s="61">
        <f>SUMIFS(INDEX(detail_table[],,MATCH(M1211,detail_table[#Headers],0)),detail_table[Project Type],"&lt;&gt;"&amp;"")</f>
        <v>0</v>
      </c>
    </row>
    <row r="1212" spans="13:14" x14ac:dyDescent="0.35">
      <c r="M1212" s="64" t="s">
        <v>1459</v>
      </c>
      <c r="N1212" s="61">
        <f>SUMIFS(INDEX(detail_table[],,MATCH(M1212,detail_table[#Headers],0)),detail_table[Project Type],"&lt;&gt;"&amp;"")</f>
        <v>0</v>
      </c>
    </row>
    <row r="1213" spans="13:14" x14ac:dyDescent="0.35">
      <c r="M1213" s="64" t="s">
        <v>1460</v>
      </c>
      <c r="N1213" s="61">
        <f>SUMIFS(INDEX(detail_table[],,MATCH(M1213,detail_table[#Headers],0)),detail_table[Project Type],"&lt;&gt;"&amp;"")</f>
        <v>0</v>
      </c>
    </row>
    <row r="1214" spans="13:14" x14ac:dyDescent="0.35">
      <c r="M1214" s="64" t="s">
        <v>1461</v>
      </c>
      <c r="N1214" s="61">
        <f>SUMIFS(INDEX(detail_table[],,MATCH(M1214,detail_table[#Headers],0)),detail_table[Project Type],"&lt;&gt;"&amp;"")</f>
        <v>0</v>
      </c>
    </row>
    <row r="1215" spans="13:14" x14ac:dyDescent="0.35">
      <c r="M1215" s="64" t="s">
        <v>1462</v>
      </c>
      <c r="N1215" s="61">
        <f>SUMIFS(INDEX(detail_table[],,MATCH(M1215,detail_table[#Headers],0)),detail_table[Project Type],"&lt;&gt;"&amp;"")</f>
        <v>0</v>
      </c>
    </row>
    <row r="1216" spans="13:14" x14ac:dyDescent="0.35">
      <c r="M1216" s="64" t="s">
        <v>1463</v>
      </c>
      <c r="N1216" s="61">
        <f>SUMIFS(INDEX(detail_table[],,MATCH(M1216,detail_table[#Headers],0)),detail_table[Project Type],"&lt;&gt;"&amp;"")</f>
        <v>0</v>
      </c>
    </row>
    <row r="1217" spans="13:14" x14ac:dyDescent="0.35">
      <c r="M1217" s="64" t="s">
        <v>1464</v>
      </c>
      <c r="N1217" s="61">
        <f>SUMIFS(INDEX(detail_table[],,MATCH(M1217,detail_table[#Headers],0)),detail_table[Project Type],"&lt;&gt;"&amp;"")</f>
        <v>0</v>
      </c>
    </row>
    <row r="1218" spans="13:14" x14ac:dyDescent="0.35">
      <c r="M1218" s="64" t="s">
        <v>1465</v>
      </c>
      <c r="N1218" s="61">
        <f>SUMIFS(INDEX(detail_table[],,MATCH(M1218,detail_table[#Headers],0)),detail_table[Project Type],"&lt;&gt;"&amp;"")</f>
        <v>0</v>
      </c>
    </row>
    <row r="1219" spans="13:14" x14ac:dyDescent="0.35">
      <c r="M1219" s="64" t="s">
        <v>1466</v>
      </c>
      <c r="N1219" s="61">
        <f>SUMIFS(INDEX(detail_table[],,MATCH(M1219,detail_table[#Headers],0)),detail_table[Project Type],"&lt;&gt;"&amp;"")</f>
        <v>0</v>
      </c>
    </row>
    <row r="1220" spans="13:14" x14ac:dyDescent="0.35">
      <c r="M1220" s="64" t="s">
        <v>1467</v>
      </c>
      <c r="N1220" s="61">
        <f>SUMIFS(INDEX(detail_table[],,MATCH(M1220,detail_table[#Headers],0)),detail_table[Project Type],"&lt;&gt;"&amp;"")</f>
        <v>0</v>
      </c>
    </row>
    <row r="1221" spans="13:14" x14ac:dyDescent="0.35">
      <c r="M1221" s="64" t="s">
        <v>1468</v>
      </c>
      <c r="N1221" s="61">
        <f>SUMIFS(INDEX(detail_table[],,MATCH(M1221,detail_table[#Headers],0)),detail_table[Project Type],"&lt;&gt;"&amp;"")</f>
        <v>0</v>
      </c>
    </row>
    <row r="1222" spans="13:14" x14ac:dyDescent="0.35">
      <c r="M1222" s="64" t="s">
        <v>1469</v>
      </c>
      <c r="N1222" s="61">
        <f>SUMIFS(INDEX(detail_table[],,MATCH(M1222,detail_table[#Headers],0)),detail_table[Project Type],"&lt;&gt;"&amp;"")</f>
        <v>0</v>
      </c>
    </row>
    <row r="1223" spans="13:14" x14ac:dyDescent="0.35">
      <c r="M1223" s="64" t="s">
        <v>1470</v>
      </c>
      <c r="N1223" s="61">
        <f>SUMIFS(INDEX(detail_table[],,MATCH(M1223,detail_table[#Headers],0)),detail_table[Project Type],"&lt;&gt;"&amp;"")</f>
        <v>0</v>
      </c>
    </row>
    <row r="1224" spans="13:14" x14ac:dyDescent="0.35">
      <c r="M1224" s="64" t="s">
        <v>1471</v>
      </c>
      <c r="N1224" s="61">
        <f>SUMIFS(INDEX(detail_table[],,MATCH(M1224,detail_table[#Headers],0)),detail_table[Project Type],"&lt;&gt;"&amp;"")</f>
        <v>0</v>
      </c>
    </row>
    <row r="1225" spans="13:14" x14ac:dyDescent="0.35">
      <c r="M1225" s="64" t="s">
        <v>1472</v>
      </c>
      <c r="N1225" s="61">
        <f>SUMIFS(INDEX(detail_table[],,MATCH(M1225,detail_table[#Headers],0)),detail_table[Project Type],"&lt;&gt;"&amp;"")</f>
        <v>0</v>
      </c>
    </row>
    <row r="1226" spans="13:14" x14ac:dyDescent="0.35">
      <c r="M1226" s="64" t="s">
        <v>1473</v>
      </c>
      <c r="N1226" s="61">
        <f>SUMIFS(INDEX(detail_table[],,MATCH(M1226,detail_table[#Headers],0)),detail_table[Project Type],"&lt;&gt;"&amp;"")</f>
        <v>0</v>
      </c>
    </row>
    <row r="1227" spans="13:14" x14ac:dyDescent="0.35">
      <c r="M1227" s="64" t="s">
        <v>1474</v>
      </c>
      <c r="N1227" s="61">
        <f>SUMIFS(INDEX(detail_table[],,MATCH(M1227,detail_table[#Headers],0)),detail_table[Project Type],"&lt;&gt;"&amp;"")</f>
        <v>0</v>
      </c>
    </row>
    <row r="1228" spans="13:14" x14ac:dyDescent="0.35">
      <c r="M1228" s="64" t="s">
        <v>1475</v>
      </c>
      <c r="N1228" s="61">
        <f>SUMIFS(INDEX(detail_table[],,MATCH(M1228,detail_table[#Headers],0)),detail_table[Project Type],"&lt;&gt;"&amp;"")</f>
        <v>0</v>
      </c>
    </row>
    <row r="1229" spans="13:14" x14ac:dyDescent="0.35">
      <c r="M1229" s="64" t="s">
        <v>1476</v>
      </c>
      <c r="N1229" s="61">
        <f>SUMIFS(INDEX(detail_table[],,MATCH(M1229,detail_table[#Headers],0)),detail_table[Project Type],"&lt;&gt;"&amp;"")</f>
        <v>0</v>
      </c>
    </row>
    <row r="1230" spans="13:14" x14ac:dyDescent="0.35">
      <c r="M1230" s="64" t="s">
        <v>1477</v>
      </c>
      <c r="N1230" s="61">
        <f>SUMIFS(INDEX(detail_table[],,MATCH(M1230,detail_table[#Headers],0)),detail_table[Project Type],"&lt;&gt;"&amp;"")</f>
        <v>0</v>
      </c>
    </row>
    <row r="1231" spans="13:14" x14ac:dyDescent="0.35">
      <c r="M1231" s="64" t="s">
        <v>1478</v>
      </c>
      <c r="N1231" s="61">
        <f>SUMIFS(INDEX(detail_table[],,MATCH(M1231,detail_table[#Headers],0)),detail_table[Project Type],"&lt;&gt;"&amp;"")</f>
        <v>0</v>
      </c>
    </row>
    <row r="1232" spans="13:14" x14ac:dyDescent="0.35">
      <c r="M1232" s="64" t="s">
        <v>1479</v>
      </c>
      <c r="N1232" s="61">
        <f>SUMIFS(INDEX(detail_table[],,MATCH(M1232,detail_table[#Headers],0)),detail_table[Project Type],"&lt;&gt;"&amp;"")</f>
        <v>0</v>
      </c>
    </row>
    <row r="1233" spans="13:14" x14ac:dyDescent="0.35">
      <c r="M1233" s="64" t="s">
        <v>1480</v>
      </c>
      <c r="N1233" s="61">
        <f>SUMIFS(INDEX(detail_table[],,MATCH(M1233,detail_table[#Headers],0)),detail_table[Project Type],"&lt;&gt;"&amp;"")</f>
        <v>0</v>
      </c>
    </row>
    <row r="1234" spans="13:14" x14ac:dyDescent="0.35">
      <c r="M1234" s="64" t="s">
        <v>1481</v>
      </c>
      <c r="N1234" s="61">
        <f>SUMIFS(INDEX(detail_table[],,MATCH(M1234,detail_table[#Headers],0)),detail_table[Project Type],"&lt;&gt;"&amp;"")</f>
        <v>0</v>
      </c>
    </row>
    <row r="1235" spans="13:14" x14ac:dyDescent="0.35">
      <c r="M1235" s="64" t="s">
        <v>1482</v>
      </c>
      <c r="N1235" s="61">
        <f>SUMIFS(INDEX(detail_table[],,MATCH(M1235,detail_table[#Headers],0)),detail_table[Project Type],"&lt;&gt;"&amp;"")</f>
        <v>0</v>
      </c>
    </row>
    <row r="1236" spans="13:14" x14ac:dyDescent="0.35">
      <c r="M1236" s="64" t="s">
        <v>1483</v>
      </c>
      <c r="N1236" s="61">
        <f>SUMIFS(INDEX(detail_table[],,MATCH(M1236,detail_table[#Headers],0)),detail_table[Project Type],"&lt;&gt;"&amp;"")</f>
        <v>0</v>
      </c>
    </row>
    <row r="1237" spans="13:14" x14ac:dyDescent="0.35">
      <c r="M1237" s="64" t="s">
        <v>1484</v>
      </c>
      <c r="N1237" s="61">
        <f>SUMIFS(INDEX(detail_table[],,MATCH(M1237,detail_table[#Headers],0)),detail_table[Project Type],"&lt;&gt;"&amp;"")</f>
        <v>0</v>
      </c>
    </row>
    <row r="1238" spans="13:14" x14ac:dyDescent="0.35">
      <c r="M1238" s="64" t="s">
        <v>1485</v>
      </c>
      <c r="N1238" s="61">
        <f>SUMIFS(INDEX(detail_table[],,MATCH(M1238,detail_table[#Headers],0)),detail_table[Project Type],"&lt;&gt;"&amp;"")</f>
        <v>0</v>
      </c>
    </row>
    <row r="1239" spans="13:14" x14ac:dyDescent="0.35">
      <c r="M1239" s="64" t="s">
        <v>1486</v>
      </c>
      <c r="N1239" s="61">
        <f>SUMIFS(INDEX(detail_table[],,MATCH(M1239,detail_table[#Headers],0)),detail_table[Project Type],"&lt;&gt;"&amp;"")</f>
        <v>0</v>
      </c>
    </row>
    <row r="1240" spans="13:14" x14ac:dyDescent="0.35">
      <c r="M1240" s="64" t="s">
        <v>1487</v>
      </c>
      <c r="N1240" s="61">
        <f>SUMIFS(INDEX(detail_table[],,MATCH(M1240,detail_table[#Headers],0)),detail_table[Project Type],"&lt;&gt;"&amp;"")</f>
        <v>0</v>
      </c>
    </row>
    <row r="1241" spans="13:14" x14ac:dyDescent="0.35">
      <c r="M1241" s="64" t="s">
        <v>1488</v>
      </c>
      <c r="N1241" s="61">
        <f>SUMIFS(INDEX(detail_table[],,MATCH(M1241,detail_table[#Headers],0)),detail_table[Project Type],"&lt;&gt;"&amp;"")</f>
        <v>0</v>
      </c>
    </row>
    <row r="1242" spans="13:14" x14ac:dyDescent="0.35">
      <c r="M1242" s="64" t="s">
        <v>1489</v>
      </c>
      <c r="N1242" s="61">
        <f>SUMIFS(INDEX(detail_table[],,MATCH(M1242,detail_table[#Headers],0)),detail_table[Project Type],"&lt;&gt;"&amp;"")</f>
        <v>0</v>
      </c>
    </row>
    <row r="1243" spans="13:14" x14ac:dyDescent="0.35">
      <c r="M1243" s="64" t="s">
        <v>1490</v>
      </c>
      <c r="N1243" s="61">
        <f>SUMIFS(INDEX(detail_table[],,MATCH(M1243,detail_table[#Headers],0)),detail_table[Project Type],"&lt;&gt;"&amp;"")</f>
        <v>0</v>
      </c>
    </row>
    <row r="1244" spans="13:14" x14ac:dyDescent="0.35">
      <c r="M1244" s="64" t="s">
        <v>1491</v>
      </c>
      <c r="N1244" s="61">
        <f>SUMIFS(INDEX(detail_table[],,MATCH(M1244,detail_table[#Headers],0)),detail_table[Project Type],"&lt;&gt;"&amp;"")</f>
        <v>0</v>
      </c>
    </row>
    <row r="1245" spans="13:14" x14ac:dyDescent="0.35">
      <c r="M1245" s="64" t="s">
        <v>1492</v>
      </c>
      <c r="N1245" s="61">
        <f>SUMIFS(INDEX(detail_table[],,MATCH(M1245,detail_table[#Headers],0)),detail_table[Project Type],"&lt;&gt;"&amp;"")</f>
        <v>0</v>
      </c>
    </row>
    <row r="1246" spans="13:14" x14ac:dyDescent="0.35">
      <c r="M1246" s="64" t="s">
        <v>1493</v>
      </c>
      <c r="N1246" s="61">
        <f>SUMIFS(INDEX(detail_table[],,MATCH(M1246,detail_table[#Headers],0)),detail_table[Project Type],"&lt;&gt;"&amp;"")</f>
        <v>0</v>
      </c>
    </row>
    <row r="1247" spans="13:14" x14ac:dyDescent="0.35">
      <c r="M1247" s="64" t="s">
        <v>1494</v>
      </c>
      <c r="N1247" s="61">
        <f>SUMIFS(INDEX(detail_table[],,MATCH(M1247,detail_table[#Headers],0)),detail_table[Project Type],"&lt;&gt;"&amp;"")</f>
        <v>0</v>
      </c>
    </row>
    <row r="1248" spans="13:14" x14ac:dyDescent="0.35">
      <c r="M1248" s="64" t="s">
        <v>1495</v>
      </c>
      <c r="N1248" s="61">
        <f>SUMIFS(INDEX(detail_table[],,MATCH(M1248,detail_table[#Headers],0)),detail_table[Project Type],"&lt;&gt;"&amp;"")</f>
        <v>0</v>
      </c>
    </row>
    <row r="1249" spans="13:14" x14ac:dyDescent="0.35">
      <c r="M1249" s="64" t="s">
        <v>1496</v>
      </c>
      <c r="N1249" s="61">
        <f>SUMIFS(INDEX(detail_table[],,MATCH(M1249,detail_table[#Headers],0)),detail_table[Project Type],"&lt;&gt;"&amp;"")</f>
        <v>0</v>
      </c>
    </row>
    <row r="1250" spans="13:14" x14ac:dyDescent="0.35">
      <c r="M1250" s="64" t="s">
        <v>1497</v>
      </c>
      <c r="N1250" s="61">
        <f>SUMIFS(INDEX(detail_table[],,MATCH(M1250,detail_table[#Headers],0)),detail_table[Project Type],"&lt;&gt;"&amp;"")</f>
        <v>0</v>
      </c>
    </row>
    <row r="1251" spans="13:14" x14ac:dyDescent="0.35">
      <c r="M1251" s="64" t="s">
        <v>1498</v>
      </c>
      <c r="N1251" s="61">
        <f>SUMIFS(INDEX(detail_table[],,MATCH(M1251,detail_table[#Headers],0)),detail_table[Project Type],"&lt;&gt;"&amp;"")</f>
        <v>0</v>
      </c>
    </row>
    <row r="1252" spans="13:14" x14ac:dyDescent="0.35">
      <c r="M1252" s="64" t="s">
        <v>1499</v>
      </c>
      <c r="N1252" s="61">
        <f>SUMIFS(INDEX(detail_table[],,MATCH(M1252,detail_table[#Headers],0)),detail_table[Project Type],"&lt;&gt;"&amp;"")</f>
        <v>0</v>
      </c>
    </row>
    <row r="1253" spans="13:14" x14ac:dyDescent="0.35">
      <c r="M1253" s="64" t="s">
        <v>1500</v>
      </c>
      <c r="N1253" s="61">
        <f>SUMIFS(INDEX(detail_table[],,MATCH(M1253,detail_table[#Headers],0)),detail_table[Project Type],"&lt;&gt;"&amp;"")</f>
        <v>0</v>
      </c>
    </row>
    <row r="1254" spans="13:14" x14ac:dyDescent="0.35">
      <c r="M1254" s="64" t="s">
        <v>1501</v>
      </c>
      <c r="N1254" s="61">
        <f>SUMIFS(INDEX(detail_table[],,MATCH(M1254,detail_table[#Headers],0)),detail_table[Project Type],"&lt;&gt;"&amp;"")</f>
        <v>0</v>
      </c>
    </row>
    <row r="1255" spans="13:14" x14ac:dyDescent="0.35">
      <c r="M1255" s="64" t="s">
        <v>1502</v>
      </c>
      <c r="N1255" s="61">
        <f>SUMIFS(INDEX(detail_table[],,MATCH(M1255,detail_table[#Headers],0)),detail_table[Project Type],"&lt;&gt;"&amp;"")</f>
        <v>0</v>
      </c>
    </row>
    <row r="1256" spans="13:14" x14ac:dyDescent="0.35">
      <c r="M1256" s="64" t="s">
        <v>1503</v>
      </c>
      <c r="N1256" s="61">
        <f>SUMIFS(INDEX(detail_table[],,MATCH(M1256,detail_table[#Headers],0)),detail_table[Project Type],"&lt;&gt;"&amp;"")</f>
        <v>0</v>
      </c>
    </row>
    <row r="1257" spans="13:14" x14ac:dyDescent="0.35">
      <c r="M1257" s="64" t="s">
        <v>1504</v>
      </c>
      <c r="N1257" s="61">
        <f>SUMIFS(INDEX(detail_table[],,MATCH(M1257,detail_table[#Headers],0)),detail_table[Project Type],"&lt;&gt;"&amp;"")</f>
        <v>0</v>
      </c>
    </row>
    <row r="1258" spans="13:14" x14ac:dyDescent="0.35">
      <c r="M1258" s="64" t="s">
        <v>1505</v>
      </c>
      <c r="N1258" s="61">
        <f>SUMIFS(INDEX(detail_table[],,MATCH(M1258,detail_table[#Headers],0)),detail_table[Project Type],"&lt;&gt;"&amp;"")</f>
        <v>0</v>
      </c>
    </row>
    <row r="1259" spans="13:14" x14ac:dyDescent="0.35">
      <c r="M1259" s="64" t="s">
        <v>1506</v>
      </c>
      <c r="N1259" s="61">
        <f>SUMIFS(INDEX(detail_table[],,MATCH(M1259,detail_table[#Headers],0)),detail_table[Project Type],"&lt;&gt;"&amp;"")</f>
        <v>0</v>
      </c>
    </row>
    <row r="1260" spans="13:14" x14ac:dyDescent="0.35">
      <c r="M1260" s="64" t="s">
        <v>1507</v>
      </c>
      <c r="N1260" s="61">
        <f>SUMIFS(INDEX(detail_table[],,MATCH(M1260,detail_table[#Headers],0)),detail_table[Project Type],"&lt;&gt;"&amp;"")</f>
        <v>0</v>
      </c>
    </row>
    <row r="1261" spans="13:14" x14ac:dyDescent="0.35">
      <c r="M1261" s="64" t="s">
        <v>1508</v>
      </c>
      <c r="N1261" s="61">
        <f>SUMIFS(INDEX(detail_table[],,MATCH(M1261,detail_table[#Headers],0)),detail_table[Project Type],"&lt;&gt;"&amp;"")</f>
        <v>0</v>
      </c>
    </row>
    <row r="1262" spans="13:14" x14ac:dyDescent="0.35">
      <c r="M1262" s="64" t="s">
        <v>1509</v>
      </c>
      <c r="N1262" s="61">
        <f>SUMIFS(INDEX(detail_table[],,MATCH(M1262,detail_table[#Headers],0)),detail_table[Project Type],"&lt;&gt;"&amp;"")</f>
        <v>0</v>
      </c>
    </row>
    <row r="1263" spans="13:14" x14ac:dyDescent="0.35">
      <c r="M1263" s="64" t="s">
        <v>1510</v>
      </c>
      <c r="N1263" s="61">
        <f>SUMIFS(INDEX(detail_table[],,MATCH(M1263,detail_table[#Headers],0)),detail_table[Project Type],"&lt;&gt;"&amp;"")</f>
        <v>0</v>
      </c>
    </row>
    <row r="1264" spans="13:14" x14ac:dyDescent="0.35">
      <c r="M1264" s="64" t="s">
        <v>1951</v>
      </c>
      <c r="N1264" s="61">
        <f>SUMIFS(INDEX(detail_table[],,MATCH(M1264,detail_table[#Headers],0)),detail_table[Project Type],"&lt;&gt;"&amp;"")</f>
        <v>0</v>
      </c>
    </row>
    <row r="1265" spans="13:14" x14ac:dyDescent="0.35">
      <c r="M1265" s="64" t="s">
        <v>1952</v>
      </c>
      <c r="N1265" s="61">
        <f>SUMIFS(INDEX(detail_table[],,MATCH(M1265,detail_table[#Headers],0)),detail_table[Project Type],"&lt;&gt;"&amp;"")</f>
        <v>0</v>
      </c>
    </row>
    <row r="1266" spans="13:14" x14ac:dyDescent="0.35">
      <c r="M1266" s="64" t="s">
        <v>1953</v>
      </c>
      <c r="N1266" s="61">
        <f>SUMIFS(INDEX(detail_table[],,MATCH(M1266,detail_table[#Headers],0)),detail_table[Project Type],"&lt;&gt;"&amp;"")</f>
        <v>0</v>
      </c>
    </row>
    <row r="1267" spans="13:14" x14ac:dyDescent="0.35">
      <c r="M1267" s="64" t="s">
        <v>1954</v>
      </c>
      <c r="N1267" s="61">
        <f>SUMIFS(INDEX(detail_table[],,MATCH(M1267,detail_table[#Headers],0)),detail_table[Project Type],"&lt;&gt;"&amp;"")</f>
        <v>0</v>
      </c>
    </row>
    <row r="1268" spans="13:14" x14ac:dyDescent="0.35">
      <c r="M1268" s="64" t="s">
        <v>1955</v>
      </c>
      <c r="N1268" s="61">
        <f>SUMIFS(INDEX(detail_table[],,MATCH(M1268,detail_table[#Headers],0)),detail_table[Project Type],"&lt;&gt;"&amp;"")</f>
        <v>0</v>
      </c>
    </row>
    <row r="1269" spans="13:14" x14ac:dyDescent="0.35">
      <c r="M1269" s="64" t="s">
        <v>1511</v>
      </c>
      <c r="N1269" s="61">
        <f>SUMIFS(INDEX(detail_table[],,MATCH(M1269,detail_table[#Headers],0)),detail_table[Project Type],"&lt;&gt;"&amp;"")</f>
        <v>0</v>
      </c>
    </row>
    <row r="1270" spans="13:14" x14ac:dyDescent="0.35">
      <c r="M1270" s="64" t="s">
        <v>1512</v>
      </c>
      <c r="N1270" s="61">
        <f>SUMIFS(INDEX(detail_table[],,MATCH(M1270,detail_table[#Headers],0)),detail_table[Project Type],"&lt;&gt;"&amp;"")</f>
        <v>0</v>
      </c>
    </row>
    <row r="1271" spans="13:14" x14ac:dyDescent="0.35">
      <c r="M1271" s="64" t="s">
        <v>1513</v>
      </c>
      <c r="N1271" s="61">
        <f>SUMIFS(INDEX(detail_table[],,MATCH(M1271,detail_table[#Headers],0)),detail_table[Project Type],"&lt;&gt;"&amp;"")</f>
        <v>0</v>
      </c>
    </row>
    <row r="1272" spans="13:14" x14ac:dyDescent="0.35">
      <c r="M1272" s="64" t="s">
        <v>1514</v>
      </c>
      <c r="N1272" s="61">
        <f>SUMIFS(INDEX(detail_table[],,MATCH(M1272,detail_table[#Headers],0)),detail_table[Project Type],"&lt;&gt;"&amp;"")</f>
        <v>0</v>
      </c>
    </row>
    <row r="1273" spans="13:14" x14ac:dyDescent="0.35">
      <c r="M1273" s="64" t="s">
        <v>1515</v>
      </c>
      <c r="N1273" s="61">
        <f>SUMIFS(INDEX(detail_table[],,MATCH(M1273,detail_table[#Headers],0)),detail_table[Project Type],"&lt;&gt;"&amp;"")</f>
        <v>0</v>
      </c>
    </row>
    <row r="1274" spans="13:14" x14ac:dyDescent="0.35">
      <c r="M1274" s="64" t="s">
        <v>1516</v>
      </c>
      <c r="N1274" s="61">
        <f>SUMIFS(INDEX(detail_table[],,MATCH(M1274,detail_table[#Headers],0)),detail_table[Project Type],"&lt;&gt;"&amp;"")</f>
        <v>0</v>
      </c>
    </row>
    <row r="1275" spans="13:14" x14ac:dyDescent="0.35">
      <c r="M1275" s="64" t="s">
        <v>1517</v>
      </c>
      <c r="N1275" s="61">
        <f>SUMIFS(INDEX(detail_table[],,MATCH(M1275,detail_table[#Headers],0)),detail_table[Project Type],"&lt;&gt;"&amp;"")</f>
        <v>0</v>
      </c>
    </row>
    <row r="1276" spans="13:14" x14ac:dyDescent="0.35">
      <c r="M1276" s="64" t="s">
        <v>1518</v>
      </c>
      <c r="N1276" s="61">
        <f>SUMIFS(INDEX(detail_table[],,MATCH(M1276,detail_table[#Headers],0)),detail_table[Project Type],"&lt;&gt;"&amp;"")</f>
        <v>0</v>
      </c>
    </row>
    <row r="1277" spans="13:14" x14ac:dyDescent="0.35">
      <c r="M1277" s="64" t="s">
        <v>1519</v>
      </c>
      <c r="N1277" s="61">
        <f>SUMIFS(INDEX(detail_table[],,MATCH(M1277,detail_table[#Headers],0)),detail_table[Project Type],"&lt;&gt;"&amp;"")</f>
        <v>0</v>
      </c>
    </row>
    <row r="1278" spans="13:14" x14ac:dyDescent="0.35">
      <c r="M1278" s="64" t="s">
        <v>1520</v>
      </c>
      <c r="N1278" s="61">
        <f>SUMIFS(INDEX(detail_table[],,MATCH(M1278,detail_table[#Headers],0)),detail_table[Project Type],"&lt;&gt;"&amp;"")</f>
        <v>0</v>
      </c>
    </row>
    <row r="1279" spans="13:14" x14ac:dyDescent="0.35">
      <c r="M1279" s="64" t="s">
        <v>1521</v>
      </c>
      <c r="N1279" s="61">
        <f>SUMIFS(INDEX(detail_table[],,MATCH(M1279,detail_table[#Headers],0)),detail_table[Project Type],"&lt;&gt;"&amp;"")</f>
        <v>0</v>
      </c>
    </row>
    <row r="1280" spans="13:14" x14ac:dyDescent="0.35">
      <c r="M1280" s="64" t="s">
        <v>1522</v>
      </c>
      <c r="N1280" s="61">
        <f>SUMIFS(INDEX(detail_table[],,MATCH(M1280,detail_table[#Headers],0)),detail_table[Project Type],"&lt;&gt;"&amp;"")</f>
        <v>0</v>
      </c>
    </row>
    <row r="1281" spans="13:14" x14ac:dyDescent="0.35">
      <c r="M1281" s="64" t="s">
        <v>1523</v>
      </c>
      <c r="N1281" s="61">
        <f>SUMIFS(INDEX(detail_table[],,MATCH(M1281,detail_table[#Headers],0)),detail_table[Project Type],"&lt;&gt;"&amp;"")</f>
        <v>0</v>
      </c>
    </row>
    <row r="1282" spans="13:14" x14ac:dyDescent="0.35">
      <c r="M1282" s="64" t="s">
        <v>1524</v>
      </c>
      <c r="N1282" s="61">
        <f>SUMIFS(INDEX(detail_table[],,MATCH(M1282,detail_table[#Headers],0)),detail_table[Project Type],"&lt;&gt;"&amp;"")</f>
        <v>0</v>
      </c>
    </row>
    <row r="1283" spans="13:14" x14ac:dyDescent="0.35">
      <c r="M1283" s="64" t="s">
        <v>1525</v>
      </c>
      <c r="N1283" s="61">
        <f>SUMIFS(INDEX(detail_table[],,MATCH(M1283,detail_table[#Headers],0)),detail_table[Project Type],"&lt;&gt;"&amp;"")</f>
        <v>0</v>
      </c>
    </row>
    <row r="1284" spans="13:14" x14ac:dyDescent="0.35">
      <c r="M1284" s="64" t="s">
        <v>1526</v>
      </c>
      <c r="N1284" s="61">
        <f>SUMIFS(INDEX(detail_table[],,MATCH(M1284,detail_table[#Headers],0)),detail_table[Project Type],"&lt;&gt;"&amp;"")</f>
        <v>0</v>
      </c>
    </row>
    <row r="1285" spans="13:14" x14ac:dyDescent="0.35">
      <c r="M1285" s="64" t="s">
        <v>1527</v>
      </c>
      <c r="N1285" s="61">
        <f>SUMIFS(INDEX(detail_table[],,MATCH(M1285,detail_table[#Headers],0)),detail_table[Project Type],"&lt;&gt;"&amp;"")</f>
        <v>0</v>
      </c>
    </row>
    <row r="1286" spans="13:14" x14ac:dyDescent="0.35">
      <c r="M1286" s="64" t="s">
        <v>1528</v>
      </c>
      <c r="N1286" s="61">
        <f>SUMIFS(INDEX(detail_table[],,MATCH(M1286,detail_table[#Headers],0)),detail_table[Project Type],"&lt;&gt;"&amp;"")</f>
        <v>0</v>
      </c>
    </row>
    <row r="1287" spans="13:14" x14ac:dyDescent="0.35">
      <c r="M1287" s="64" t="s">
        <v>1529</v>
      </c>
      <c r="N1287" s="61">
        <f>SUMIFS(INDEX(detail_table[],,MATCH(M1287,detail_table[#Headers],0)),detail_table[Project Type],"&lt;&gt;"&amp;"")</f>
        <v>0</v>
      </c>
    </row>
    <row r="1288" spans="13:14" x14ac:dyDescent="0.35">
      <c r="M1288" s="64" t="s">
        <v>1530</v>
      </c>
      <c r="N1288" s="61">
        <f>SUMIFS(INDEX(detail_table[],,MATCH(M1288,detail_table[#Headers],0)),detail_table[Project Type],"&lt;&gt;"&amp;"")</f>
        <v>0</v>
      </c>
    </row>
    <row r="1289" spans="13:14" x14ac:dyDescent="0.35">
      <c r="M1289" s="64" t="s">
        <v>1531</v>
      </c>
      <c r="N1289" s="61">
        <f>SUMIFS(INDEX(detail_table[],,MATCH(M1289,detail_table[#Headers],0)),detail_table[Project Type],"&lt;&gt;"&amp;"")</f>
        <v>0</v>
      </c>
    </row>
    <row r="1290" spans="13:14" x14ac:dyDescent="0.35">
      <c r="M1290" s="64" t="s">
        <v>1532</v>
      </c>
      <c r="N1290" s="61">
        <f>SUMIFS(INDEX(detail_table[],,MATCH(M1290,detail_table[#Headers],0)),detail_table[Project Type],"&lt;&gt;"&amp;"")</f>
        <v>0</v>
      </c>
    </row>
    <row r="1291" spans="13:14" x14ac:dyDescent="0.35">
      <c r="M1291" s="64" t="s">
        <v>1533</v>
      </c>
      <c r="N1291" s="61">
        <f>SUMIFS(INDEX(detail_table[],,MATCH(M1291,detail_table[#Headers],0)),detail_table[Project Type],"&lt;&gt;"&amp;"")</f>
        <v>0</v>
      </c>
    </row>
    <row r="1292" spans="13:14" x14ac:dyDescent="0.35">
      <c r="M1292" s="64" t="s">
        <v>1534</v>
      </c>
      <c r="N1292" s="61">
        <f>SUMIFS(INDEX(detail_table[],,MATCH(M1292,detail_table[#Headers],0)),detail_table[Project Type],"&lt;&gt;"&amp;"")</f>
        <v>0</v>
      </c>
    </row>
    <row r="1293" spans="13:14" x14ac:dyDescent="0.35">
      <c r="M1293" s="64" t="s">
        <v>1535</v>
      </c>
      <c r="N1293" s="61">
        <f>SUMIFS(INDEX(detail_table[],,MATCH(M1293,detail_table[#Headers],0)),detail_table[Project Type],"&lt;&gt;"&amp;"")</f>
        <v>0</v>
      </c>
    </row>
    <row r="1294" spans="13:14" x14ac:dyDescent="0.35">
      <c r="M1294" s="64" t="s">
        <v>1536</v>
      </c>
      <c r="N1294" s="61">
        <f>SUMIFS(INDEX(detail_table[],,MATCH(M1294,detail_table[#Headers],0)),detail_table[Project Type],"&lt;&gt;"&amp;"")</f>
        <v>0</v>
      </c>
    </row>
    <row r="1295" spans="13:14" x14ac:dyDescent="0.35">
      <c r="M1295" s="64" t="s">
        <v>1537</v>
      </c>
      <c r="N1295" s="61">
        <f>SUMIFS(INDEX(detail_table[],,MATCH(M1295,detail_table[#Headers],0)),detail_table[Project Type],"&lt;&gt;"&amp;"")</f>
        <v>0</v>
      </c>
    </row>
    <row r="1296" spans="13:14" x14ac:dyDescent="0.35">
      <c r="M1296" s="64" t="s">
        <v>1538</v>
      </c>
      <c r="N1296" s="61">
        <f>SUMIFS(INDEX(detail_table[],,MATCH(M1296,detail_table[#Headers],0)),detail_table[Project Type],"&lt;&gt;"&amp;"")</f>
        <v>0</v>
      </c>
    </row>
    <row r="1297" spans="13:14" x14ac:dyDescent="0.35">
      <c r="M1297" s="64" t="s">
        <v>1539</v>
      </c>
      <c r="N1297" s="61">
        <f>SUMIFS(INDEX(detail_table[],,MATCH(M1297,detail_table[#Headers],0)),detail_table[Project Type],"&lt;&gt;"&amp;"")</f>
        <v>0</v>
      </c>
    </row>
    <row r="1298" spans="13:14" x14ac:dyDescent="0.35">
      <c r="M1298" s="64" t="s">
        <v>1540</v>
      </c>
      <c r="N1298" s="61">
        <f>SUMIFS(INDEX(detail_table[],,MATCH(M1298,detail_table[#Headers],0)),detail_table[Project Type],"&lt;&gt;"&amp;"")</f>
        <v>0</v>
      </c>
    </row>
    <row r="1299" spans="13:14" x14ac:dyDescent="0.35">
      <c r="M1299" s="64" t="s">
        <v>1541</v>
      </c>
      <c r="N1299" s="61">
        <f>SUMIFS(INDEX(detail_table[],,MATCH(M1299,detail_table[#Headers],0)),detail_table[Project Type],"&lt;&gt;"&amp;"")</f>
        <v>0</v>
      </c>
    </row>
    <row r="1300" spans="13:14" x14ac:dyDescent="0.35">
      <c r="M1300" s="64" t="s">
        <v>1542</v>
      </c>
      <c r="N1300" s="61">
        <f>SUMIFS(INDEX(detail_table[],,MATCH(M1300,detail_table[#Headers],0)),detail_table[Project Type],"&lt;&gt;"&amp;"")</f>
        <v>0</v>
      </c>
    </row>
    <row r="1301" spans="13:14" x14ac:dyDescent="0.35">
      <c r="M1301" s="64" t="s">
        <v>1543</v>
      </c>
      <c r="N1301" s="61">
        <f>SUMIFS(INDEX(detail_table[],,MATCH(M1301,detail_table[#Headers],0)),detail_table[Project Type],"&lt;&gt;"&amp;"")</f>
        <v>0</v>
      </c>
    </row>
    <row r="1302" spans="13:14" x14ac:dyDescent="0.35">
      <c r="M1302" s="64" t="s">
        <v>1544</v>
      </c>
      <c r="N1302" s="61">
        <f>SUMIFS(INDEX(detail_table[],,MATCH(M1302,detail_table[#Headers],0)),detail_table[Project Type],"&lt;&gt;"&amp;"")</f>
        <v>0</v>
      </c>
    </row>
    <row r="1303" spans="13:14" x14ac:dyDescent="0.35">
      <c r="M1303" s="64" t="s">
        <v>1545</v>
      </c>
      <c r="N1303" s="61">
        <f>SUMIFS(INDEX(detail_table[],,MATCH(M1303,detail_table[#Headers],0)),detail_table[Project Type],"&lt;&gt;"&amp;"")</f>
        <v>0</v>
      </c>
    </row>
    <row r="1304" spans="13:14" x14ac:dyDescent="0.35">
      <c r="M1304" s="64" t="s">
        <v>1546</v>
      </c>
      <c r="N1304" s="61">
        <f>SUMIFS(INDEX(detail_table[],,MATCH(M1304,detail_table[#Headers],0)),detail_table[Project Type],"&lt;&gt;"&amp;"")</f>
        <v>0</v>
      </c>
    </row>
    <row r="1305" spans="13:14" x14ac:dyDescent="0.35">
      <c r="M1305" s="64" t="s">
        <v>1547</v>
      </c>
      <c r="N1305" s="61">
        <f>SUMIFS(INDEX(detail_table[],,MATCH(M1305,detail_table[#Headers],0)),detail_table[Project Type],"&lt;&gt;"&amp;"")</f>
        <v>0</v>
      </c>
    </row>
    <row r="1306" spans="13:14" x14ac:dyDescent="0.35">
      <c r="M1306" s="64" t="s">
        <v>1548</v>
      </c>
      <c r="N1306" s="61">
        <f>SUMIFS(INDEX(detail_table[],,MATCH(M1306,detail_table[#Headers],0)),detail_table[Project Type],"&lt;&gt;"&amp;"")</f>
        <v>0</v>
      </c>
    </row>
    <row r="1307" spans="13:14" x14ac:dyDescent="0.35">
      <c r="M1307" s="64" t="s">
        <v>1549</v>
      </c>
      <c r="N1307" s="61">
        <f>SUMIFS(INDEX(detail_table[],,MATCH(M1307,detail_table[#Headers],0)),detail_table[Project Type],"&lt;&gt;"&amp;"")</f>
        <v>0</v>
      </c>
    </row>
    <row r="1308" spans="13:14" x14ac:dyDescent="0.35">
      <c r="M1308" s="64" t="s">
        <v>1550</v>
      </c>
      <c r="N1308" s="61">
        <f>SUMIFS(INDEX(detail_table[],,MATCH(M1308,detail_table[#Headers],0)),detail_table[Project Type],"&lt;&gt;"&amp;"")</f>
        <v>0</v>
      </c>
    </row>
    <row r="1309" spans="13:14" x14ac:dyDescent="0.35">
      <c r="M1309" s="64" t="s">
        <v>1551</v>
      </c>
      <c r="N1309" s="61">
        <f>SUMIFS(INDEX(detail_table[],,MATCH(M1309,detail_table[#Headers],0)),detail_table[Project Type],"&lt;&gt;"&amp;"")</f>
        <v>0</v>
      </c>
    </row>
    <row r="1310" spans="13:14" x14ac:dyDescent="0.35">
      <c r="M1310" s="64" t="s">
        <v>1552</v>
      </c>
      <c r="N1310" s="61">
        <f>SUMIFS(INDEX(detail_table[],,MATCH(M1310,detail_table[#Headers],0)),detail_table[Project Type],"&lt;&gt;"&amp;"")</f>
        <v>0</v>
      </c>
    </row>
    <row r="1311" spans="13:14" x14ac:dyDescent="0.35">
      <c r="M1311" s="64" t="s">
        <v>1553</v>
      </c>
      <c r="N1311" s="61">
        <f>SUMIFS(INDEX(detail_table[],,MATCH(M1311,detail_table[#Headers],0)),detail_table[Project Type],"&lt;&gt;"&amp;"")</f>
        <v>0</v>
      </c>
    </row>
    <row r="1312" spans="13:14" x14ac:dyDescent="0.35">
      <c r="M1312" s="64" t="s">
        <v>1554</v>
      </c>
      <c r="N1312" s="61">
        <f>SUMIFS(INDEX(detail_table[],,MATCH(M1312,detail_table[#Headers],0)),detail_table[Project Type],"&lt;&gt;"&amp;"")</f>
        <v>0</v>
      </c>
    </row>
    <row r="1313" spans="13:14" x14ac:dyDescent="0.35">
      <c r="M1313" s="64" t="s">
        <v>1555</v>
      </c>
      <c r="N1313" s="61">
        <f>SUMIFS(INDEX(detail_table[],,MATCH(M1313,detail_table[#Headers],0)),detail_table[Project Type],"&lt;&gt;"&amp;"")</f>
        <v>0</v>
      </c>
    </row>
    <row r="1314" spans="13:14" x14ac:dyDescent="0.35">
      <c r="M1314" s="64" t="s">
        <v>1556</v>
      </c>
      <c r="N1314" s="61">
        <f>SUMIFS(INDEX(detail_table[],,MATCH(M1314,detail_table[#Headers],0)),detail_table[Project Type],"&lt;&gt;"&amp;"")</f>
        <v>0</v>
      </c>
    </row>
    <row r="1315" spans="13:14" x14ac:dyDescent="0.35">
      <c r="M1315" s="64" t="s">
        <v>1557</v>
      </c>
      <c r="N1315" s="61">
        <f>SUMIFS(INDEX(detail_table[],,MATCH(M1315,detail_table[#Headers],0)),detail_table[Project Type],"&lt;&gt;"&amp;"")</f>
        <v>0</v>
      </c>
    </row>
    <row r="1316" spans="13:14" x14ac:dyDescent="0.35">
      <c r="M1316" s="64" t="s">
        <v>1558</v>
      </c>
      <c r="N1316" s="61">
        <f>SUMIFS(INDEX(detail_table[],,MATCH(M1316,detail_table[#Headers],0)),detail_table[Project Type],"&lt;&gt;"&amp;"")</f>
        <v>0</v>
      </c>
    </row>
    <row r="1317" spans="13:14" x14ac:dyDescent="0.35">
      <c r="M1317" s="64" t="s">
        <v>1559</v>
      </c>
      <c r="N1317" s="61">
        <f>SUMIFS(INDEX(detail_table[],,MATCH(M1317,detail_table[#Headers],0)),detail_table[Project Type],"&lt;&gt;"&amp;"")</f>
        <v>0</v>
      </c>
    </row>
    <row r="1318" spans="13:14" x14ac:dyDescent="0.35">
      <c r="M1318" s="64" t="s">
        <v>1560</v>
      </c>
      <c r="N1318" s="61">
        <f>SUMIFS(INDEX(detail_table[],,MATCH(M1318,detail_table[#Headers],0)),detail_table[Project Type],"&lt;&gt;"&amp;"")</f>
        <v>0</v>
      </c>
    </row>
    <row r="1319" spans="13:14" x14ac:dyDescent="0.35">
      <c r="M1319" s="64" t="s">
        <v>1561</v>
      </c>
      <c r="N1319" s="61">
        <f>SUMIFS(INDEX(detail_table[],,MATCH(M1319,detail_table[#Headers],0)),detail_table[Project Type],"&lt;&gt;"&amp;"")</f>
        <v>0</v>
      </c>
    </row>
    <row r="1320" spans="13:14" x14ac:dyDescent="0.35">
      <c r="M1320" s="64" t="s">
        <v>1562</v>
      </c>
      <c r="N1320" s="61">
        <f>SUMIFS(INDEX(detail_table[],,MATCH(M1320,detail_table[#Headers],0)),detail_table[Project Type],"&lt;&gt;"&amp;"")</f>
        <v>0</v>
      </c>
    </row>
    <row r="1321" spans="13:14" x14ac:dyDescent="0.35">
      <c r="M1321" s="64" t="s">
        <v>1563</v>
      </c>
      <c r="N1321" s="61">
        <f>SUMIFS(INDEX(detail_table[],,MATCH(M1321,detail_table[#Headers],0)),detail_table[Project Type],"&lt;&gt;"&amp;"")</f>
        <v>0</v>
      </c>
    </row>
    <row r="1322" spans="13:14" x14ac:dyDescent="0.35">
      <c r="M1322" s="64" t="s">
        <v>1564</v>
      </c>
      <c r="N1322" s="61">
        <f>SUMIFS(INDEX(detail_table[],,MATCH(M1322,detail_table[#Headers],0)),detail_table[Project Type],"&lt;&gt;"&amp;"")</f>
        <v>0</v>
      </c>
    </row>
    <row r="1323" spans="13:14" x14ac:dyDescent="0.35">
      <c r="M1323" s="64" t="s">
        <v>1565</v>
      </c>
      <c r="N1323" s="61">
        <f>SUMIFS(INDEX(detail_table[],,MATCH(M1323,detail_table[#Headers],0)),detail_table[Project Type],"&lt;&gt;"&amp;"")</f>
        <v>0</v>
      </c>
    </row>
    <row r="1324" spans="13:14" x14ac:dyDescent="0.35">
      <c r="M1324" s="64" t="s">
        <v>1566</v>
      </c>
      <c r="N1324" s="61">
        <f>SUMIFS(INDEX(detail_table[],,MATCH(M1324,detail_table[#Headers],0)),detail_table[Project Type],"&lt;&gt;"&amp;"")</f>
        <v>0</v>
      </c>
    </row>
    <row r="1325" spans="13:14" x14ac:dyDescent="0.35">
      <c r="M1325" s="64" t="s">
        <v>1567</v>
      </c>
      <c r="N1325" s="61">
        <f>SUMIFS(INDEX(detail_table[],,MATCH(M1325,detail_table[#Headers],0)),detail_table[Project Type],"&lt;&gt;"&amp;"")</f>
        <v>0</v>
      </c>
    </row>
    <row r="1326" spans="13:14" x14ac:dyDescent="0.35">
      <c r="M1326" s="64" t="s">
        <v>1568</v>
      </c>
      <c r="N1326" s="61">
        <f>SUMIFS(INDEX(detail_table[],,MATCH(M1326,detail_table[#Headers],0)),detail_table[Project Type],"&lt;&gt;"&amp;"")</f>
        <v>0</v>
      </c>
    </row>
    <row r="1327" spans="13:14" x14ac:dyDescent="0.35">
      <c r="M1327" s="64" t="s">
        <v>1569</v>
      </c>
      <c r="N1327" s="61">
        <f>SUMIFS(INDEX(detail_table[],,MATCH(M1327,detail_table[#Headers],0)),detail_table[Project Type],"&lt;&gt;"&amp;"")</f>
        <v>0</v>
      </c>
    </row>
    <row r="1328" spans="13:14" x14ac:dyDescent="0.35">
      <c r="M1328" s="64" t="s">
        <v>1570</v>
      </c>
      <c r="N1328" s="61">
        <f>SUMIFS(INDEX(detail_table[],,MATCH(M1328,detail_table[#Headers],0)),detail_table[Project Type],"&lt;&gt;"&amp;"")</f>
        <v>0</v>
      </c>
    </row>
    <row r="1329" spans="13:14" x14ac:dyDescent="0.35">
      <c r="M1329" s="64" t="s">
        <v>1571</v>
      </c>
      <c r="N1329" s="61">
        <f>SUMIFS(INDEX(detail_table[],,MATCH(M1329,detail_table[#Headers],0)),detail_table[Project Type],"&lt;&gt;"&amp;"")</f>
        <v>0</v>
      </c>
    </row>
    <row r="1330" spans="13:14" x14ac:dyDescent="0.35">
      <c r="M1330" s="64" t="s">
        <v>1572</v>
      </c>
      <c r="N1330" s="61">
        <f>SUMIFS(INDEX(detail_table[],,MATCH(M1330,detail_table[#Headers],0)),detail_table[Project Type],"&lt;&gt;"&amp;"")</f>
        <v>0</v>
      </c>
    </row>
    <row r="1331" spans="13:14" x14ac:dyDescent="0.35">
      <c r="M1331" s="64" t="s">
        <v>1573</v>
      </c>
      <c r="N1331" s="61">
        <f>SUMIFS(INDEX(detail_table[],,MATCH(M1331,detail_table[#Headers],0)),detail_table[Project Type],"&lt;&gt;"&amp;"")</f>
        <v>0</v>
      </c>
    </row>
    <row r="1332" spans="13:14" x14ac:dyDescent="0.35">
      <c r="M1332" s="64" t="s">
        <v>1574</v>
      </c>
      <c r="N1332" s="61">
        <f>SUMIFS(INDEX(detail_table[],,MATCH(M1332,detail_table[#Headers],0)),detail_table[Project Type],"&lt;&gt;"&amp;"")</f>
        <v>0</v>
      </c>
    </row>
    <row r="1333" spans="13:14" x14ac:dyDescent="0.35">
      <c r="M1333" s="64" t="s">
        <v>1575</v>
      </c>
      <c r="N1333" s="61">
        <f>SUMIFS(INDEX(detail_table[],,MATCH(M1333,detail_table[#Headers],0)),detail_table[Project Type],"&lt;&gt;"&amp;"")</f>
        <v>0</v>
      </c>
    </row>
    <row r="1334" spans="13:14" x14ac:dyDescent="0.35">
      <c r="M1334" s="64" t="s">
        <v>1576</v>
      </c>
      <c r="N1334" s="61">
        <f>SUMIFS(INDEX(detail_table[],,MATCH(M1334,detail_table[#Headers],0)),detail_table[Project Type],"&lt;&gt;"&amp;"")</f>
        <v>0</v>
      </c>
    </row>
    <row r="1335" spans="13:14" x14ac:dyDescent="0.35">
      <c r="M1335" s="64" t="s">
        <v>1577</v>
      </c>
      <c r="N1335" s="61">
        <f>SUMIFS(INDEX(detail_table[],,MATCH(M1335,detail_table[#Headers],0)),detail_table[Project Type],"&lt;&gt;"&amp;"")</f>
        <v>0</v>
      </c>
    </row>
    <row r="1336" spans="13:14" x14ac:dyDescent="0.35">
      <c r="M1336" s="64" t="s">
        <v>1578</v>
      </c>
      <c r="N1336" s="61">
        <f>SUMIFS(INDEX(detail_table[],,MATCH(M1336,detail_table[#Headers],0)),detail_table[Project Type],"&lt;&gt;"&amp;"")</f>
        <v>0</v>
      </c>
    </row>
    <row r="1337" spans="13:14" x14ac:dyDescent="0.35">
      <c r="M1337" s="64" t="s">
        <v>1579</v>
      </c>
      <c r="N1337" s="61">
        <f>SUMIFS(INDEX(detail_table[],,MATCH(M1337,detail_table[#Headers],0)),detail_table[Project Type],"&lt;&gt;"&amp;"")</f>
        <v>0</v>
      </c>
    </row>
    <row r="1338" spans="13:14" x14ac:dyDescent="0.35">
      <c r="M1338" s="64" t="s">
        <v>1580</v>
      </c>
      <c r="N1338" s="61">
        <f>SUMIFS(INDEX(detail_table[],,MATCH(M1338,detail_table[#Headers],0)),detail_table[Project Type],"&lt;&gt;"&amp;"")</f>
        <v>0</v>
      </c>
    </row>
    <row r="1339" spans="13:14" x14ac:dyDescent="0.35">
      <c r="M1339" s="64" t="s">
        <v>1581</v>
      </c>
      <c r="N1339" s="61">
        <f>SUMIFS(INDEX(detail_table[],,MATCH(M1339,detail_table[#Headers],0)),detail_table[Project Type],"&lt;&gt;"&amp;"")</f>
        <v>0</v>
      </c>
    </row>
    <row r="1340" spans="13:14" x14ac:dyDescent="0.35">
      <c r="M1340" s="64" t="s">
        <v>1582</v>
      </c>
      <c r="N1340" s="61">
        <f>SUMIFS(INDEX(detail_table[],,MATCH(M1340,detail_table[#Headers],0)),detail_table[Project Type],"&lt;&gt;"&amp;"")</f>
        <v>0</v>
      </c>
    </row>
    <row r="1341" spans="13:14" x14ac:dyDescent="0.35">
      <c r="M1341" s="64" t="s">
        <v>1583</v>
      </c>
      <c r="N1341" s="61">
        <f>SUMIFS(INDEX(detail_table[],,MATCH(M1341,detail_table[#Headers],0)),detail_table[Project Type],"&lt;&gt;"&amp;"")</f>
        <v>0</v>
      </c>
    </row>
    <row r="1342" spans="13:14" x14ac:dyDescent="0.35">
      <c r="M1342" s="64" t="s">
        <v>1584</v>
      </c>
      <c r="N1342" s="61">
        <f>SUMIFS(INDEX(detail_table[],,MATCH(M1342,detail_table[#Headers],0)),detail_table[Project Type],"&lt;&gt;"&amp;"")</f>
        <v>0</v>
      </c>
    </row>
    <row r="1343" spans="13:14" x14ac:dyDescent="0.35">
      <c r="M1343" s="64" t="s">
        <v>1585</v>
      </c>
      <c r="N1343" s="61">
        <f>SUMIFS(INDEX(detail_table[],,MATCH(M1343,detail_table[#Headers],0)),detail_table[Project Type],"&lt;&gt;"&amp;"")</f>
        <v>0</v>
      </c>
    </row>
    <row r="1344" spans="13:14" x14ac:dyDescent="0.35">
      <c r="M1344" s="64" t="s">
        <v>1586</v>
      </c>
      <c r="N1344" s="61">
        <f>SUMIFS(INDEX(detail_table[],,MATCH(M1344,detail_table[#Headers],0)),detail_table[Project Type],"&lt;&gt;"&amp;"")</f>
        <v>0</v>
      </c>
    </row>
    <row r="1345" spans="13:14" x14ac:dyDescent="0.35">
      <c r="M1345" s="64" t="s">
        <v>1587</v>
      </c>
      <c r="N1345" s="61">
        <f>SUMIFS(INDEX(detail_table[],,MATCH(M1345,detail_table[#Headers],0)),detail_table[Project Type],"&lt;&gt;"&amp;"")</f>
        <v>0</v>
      </c>
    </row>
    <row r="1346" spans="13:14" x14ac:dyDescent="0.35">
      <c r="M1346" s="64" t="s">
        <v>1588</v>
      </c>
      <c r="N1346" s="61">
        <f>SUMIFS(INDEX(detail_table[],,MATCH(M1346,detail_table[#Headers],0)),detail_table[Project Type],"&lt;&gt;"&amp;"")</f>
        <v>0</v>
      </c>
    </row>
    <row r="1347" spans="13:14" x14ac:dyDescent="0.35">
      <c r="M1347" s="64" t="s">
        <v>1589</v>
      </c>
      <c r="N1347" s="61">
        <f>SUMIFS(INDEX(detail_table[],,MATCH(M1347,detail_table[#Headers],0)),detail_table[Project Type],"&lt;&gt;"&amp;"")</f>
        <v>0</v>
      </c>
    </row>
    <row r="1348" spans="13:14" x14ac:dyDescent="0.35">
      <c r="M1348" s="64" t="s">
        <v>1590</v>
      </c>
      <c r="N1348" s="61">
        <f>SUMIFS(INDEX(detail_table[],,MATCH(M1348,detail_table[#Headers],0)),detail_table[Project Type],"&lt;&gt;"&amp;"")</f>
        <v>0</v>
      </c>
    </row>
    <row r="1349" spans="13:14" x14ac:dyDescent="0.35">
      <c r="M1349" s="64" t="s">
        <v>1591</v>
      </c>
      <c r="N1349" s="61">
        <f>SUMIFS(INDEX(detail_table[],,MATCH(M1349,detail_table[#Headers],0)),detail_table[Project Type],"&lt;&gt;"&amp;"")</f>
        <v>0</v>
      </c>
    </row>
    <row r="1350" spans="13:14" x14ac:dyDescent="0.35">
      <c r="M1350" s="64" t="s">
        <v>1592</v>
      </c>
      <c r="N1350" s="61">
        <f>SUMIFS(INDEX(detail_table[],,MATCH(M1350,detail_table[#Headers],0)),detail_table[Project Type],"&lt;&gt;"&amp;"")</f>
        <v>0</v>
      </c>
    </row>
    <row r="1351" spans="13:14" x14ac:dyDescent="0.35">
      <c r="M1351" s="64" t="s">
        <v>1593</v>
      </c>
      <c r="N1351" s="61">
        <f>SUMIFS(INDEX(detail_table[],,MATCH(M1351,detail_table[#Headers],0)),detail_table[Project Type],"&lt;&gt;"&amp;"")</f>
        <v>0</v>
      </c>
    </row>
    <row r="1352" spans="13:14" x14ac:dyDescent="0.35">
      <c r="M1352" s="64" t="s">
        <v>1594</v>
      </c>
      <c r="N1352" s="61">
        <f>SUMIFS(INDEX(detail_table[],,MATCH(M1352,detail_table[#Headers],0)),detail_table[Project Type],"&lt;&gt;"&amp;"")</f>
        <v>0</v>
      </c>
    </row>
    <row r="1353" spans="13:14" x14ac:dyDescent="0.35">
      <c r="M1353" s="64" t="s">
        <v>1595</v>
      </c>
      <c r="N1353" s="61">
        <f>SUMIFS(INDEX(detail_table[],,MATCH(M1353,detail_table[#Headers],0)),detail_table[Project Type],"&lt;&gt;"&amp;"")</f>
        <v>0</v>
      </c>
    </row>
    <row r="1354" spans="13:14" x14ac:dyDescent="0.35">
      <c r="M1354" s="64" t="s">
        <v>1596</v>
      </c>
      <c r="N1354" s="61">
        <f>SUMIFS(INDEX(detail_table[],,MATCH(M1354,detail_table[#Headers],0)),detail_table[Project Type],"&lt;&gt;"&amp;"")</f>
        <v>0</v>
      </c>
    </row>
    <row r="1355" spans="13:14" x14ac:dyDescent="0.35">
      <c r="M1355" s="64" t="s">
        <v>1597</v>
      </c>
      <c r="N1355" s="61">
        <f>SUMIFS(INDEX(detail_table[],,MATCH(M1355,detail_table[#Headers],0)),detail_table[Project Type],"&lt;&gt;"&amp;"")</f>
        <v>0</v>
      </c>
    </row>
    <row r="1356" spans="13:14" x14ac:dyDescent="0.35">
      <c r="M1356" s="64" t="s">
        <v>1598</v>
      </c>
      <c r="N1356" s="61">
        <f>SUMIFS(INDEX(detail_table[],,MATCH(M1356,detail_table[#Headers],0)),detail_table[Project Type],"&lt;&gt;"&amp;"")</f>
        <v>0</v>
      </c>
    </row>
    <row r="1357" spans="13:14" x14ac:dyDescent="0.35">
      <c r="M1357" s="64" t="s">
        <v>1599</v>
      </c>
      <c r="N1357" s="61">
        <f>SUMIFS(INDEX(detail_table[],,MATCH(M1357,detail_table[#Headers],0)),detail_table[Project Type],"&lt;&gt;"&amp;"")</f>
        <v>0</v>
      </c>
    </row>
    <row r="1358" spans="13:14" x14ac:dyDescent="0.35">
      <c r="M1358" s="64" t="s">
        <v>1600</v>
      </c>
      <c r="N1358" s="61">
        <f>SUMIFS(INDEX(detail_table[],,MATCH(M1358,detail_table[#Headers],0)),detail_table[Project Type],"&lt;&gt;"&amp;"")</f>
        <v>0</v>
      </c>
    </row>
    <row r="1359" spans="13:14" x14ac:dyDescent="0.35">
      <c r="M1359" s="64" t="s">
        <v>1601</v>
      </c>
      <c r="N1359" s="61">
        <f>SUMIFS(INDEX(detail_table[],,MATCH(M1359,detail_table[#Headers],0)),detail_table[Project Type],"&lt;&gt;"&amp;"")</f>
        <v>0</v>
      </c>
    </row>
    <row r="1360" spans="13:14" x14ac:dyDescent="0.35">
      <c r="M1360" s="64" t="s">
        <v>1602</v>
      </c>
      <c r="N1360" s="61">
        <f>SUMIFS(INDEX(detail_table[],,MATCH(M1360,detail_table[#Headers],0)),detail_table[Project Type],"&lt;&gt;"&amp;"")</f>
        <v>0</v>
      </c>
    </row>
    <row r="1361" spans="13:14" x14ac:dyDescent="0.35">
      <c r="M1361" s="64" t="s">
        <v>1603</v>
      </c>
      <c r="N1361" s="61">
        <f>SUMIFS(INDEX(detail_table[],,MATCH(M1361,detail_table[#Headers],0)),detail_table[Project Type],"&lt;&gt;"&amp;"")</f>
        <v>0</v>
      </c>
    </row>
    <row r="1362" spans="13:14" x14ac:dyDescent="0.35">
      <c r="M1362" s="64" t="s">
        <v>1604</v>
      </c>
      <c r="N1362" s="61">
        <f>SUMIFS(INDEX(detail_table[],,MATCH(M1362,detail_table[#Headers],0)),detail_table[Project Type],"&lt;&gt;"&amp;"")</f>
        <v>0</v>
      </c>
    </row>
    <row r="1363" spans="13:14" x14ac:dyDescent="0.35">
      <c r="M1363" s="64" t="s">
        <v>1605</v>
      </c>
      <c r="N1363" s="61">
        <f>SUMIFS(INDEX(detail_table[],,MATCH(M1363,detail_table[#Headers],0)),detail_table[Project Type],"&lt;&gt;"&amp;"")</f>
        <v>0</v>
      </c>
    </row>
    <row r="1364" spans="13:14" x14ac:dyDescent="0.35">
      <c r="M1364" s="64" t="s">
        <v>1606</v>
      </c>
      <c r="N1364" s="61">
        <f>SUMIFS(INDEX(detail_table[],,MATCH(M1364,detail_table[#Headers],0)),detail_table[Project Type],"&lt;&gt;"&amp;"")</f>
        <v>0</v>
      </c>
    </row>
    <row r="1365" spans="13:14" x14ac:dyDescent="0.35">
      <c r="M1365" s="64" t="s">
        <v>1607</v>
      </c>
      <c r="N1365" s="61">
        <f>SUMIFS(INDEX(detail_table[],,MATCH(M1365,detail_table[#Headers],0)),detail_table[Project Type],"&lt;&gt;"&amp;"")</f>
        <v>0</v>
      </c>
    </row>
    <row r="1366" spans="13:14" x14ac:dyDescent="0.35">
      <c r="M1366" s="64" t="s">
        <v>1608</v>
      </c>
      <c r="N1366" s="61">
        <f>SUMIFS(INDEX(detail_table[],,MATCH(M1366,detail_table[#Headers],0)),detail_table[Project Type],"&lt;&gt;"&amp;"")</f>
        <v>0</v>
      </c>
    </row>
    <row r="1367" spans="13:14" x14ac:dyDescent="0.35">
      <c r="M1367" s="64" t="s">
        <v>1609</v>
      </c>
      <c r="N1367" s="61">
        <f>SUMIFS(INDEX(detail_table[],,MATCH(M1367,detail_table[#Headers],0)),detail_table[Project Type],"&lt;&gt;"&amp;"")</f>
        <v>0</v>
      </c>
    </row>
    <row r="1368" spans="13:14" x14ac:dyDescent="0.35">
      <c r="M1368" s="64" t="s">
        <v>1610</v>
      </c>
      <c r="N1368" s="61">
        <f>SUMIFS(INDEX(detail_table[],,MATCH(M1368,detail_table[#Headers],0)),detail_table[Project Type],"&lt;&gt;"&amp;"")</f>
        <v>0</v>
      </c>
    </row>
    <row r="1369" spans="13:14" x14ac:dyDescent="0.35">
      <c r="M1369" s="64" t="s">
        <v>1611</v>
      </c>
      <c r="N1369" s="61">
        <f>SUMIFS(INDEX(detail_table[],,MATCH(M1369,detail_table[#Headers],0)),detail_table[Project Type],"&lt;&gt;"&amp;"")</f>
        <v>0</v>
      </c>
    </row>
    <row r="1370" spans="13:14" x14ac:dyDescent="0.35">
      <c r="M1370" s="64" t="s">
        <v>1612</v>
      </c>
      <c r="N1370" s="61">
        <f>SUMIFS(INDEX(detail_table[],,MATCH(M1370,detail_table[#Headers],0)),detail_table[Project Type],"&lt;&gt;"&amp;"")</f>
        <v>0</v>
      </c>
    </row>
    <row r="1371" spans="13:14" x14ac:dyDescent="0.35">
      <c r="M1371" s="64" t="s">
        <v>1613</v>
      </c>
      <c r="N1371" s="61">
        <f>SUMIFS(INDEX(detail_table[],,MATCH(M1371,detail_table[#Headers],0)),detail_table[Project Type],"&lt;&gt;"&amp;"")</f>
        <v>0</v>
      </c>
    </row>
    <row r="1372" spans="13:14" x14ac:dyDescent="0.35">
      <c r="M1372" s="64" t="s">
        <v>1614</v>
      </c>
      <c r="N1372" s="61">
        <f>SUMIFS(INDEX(detail_table[],,MATCH(M1372,detail_table[#Headers],0)),detail_table[Project Type],"&lt;&gt;"&amp;"")</f>
        <v>0</v>
      </c>
    </row>
    <row r="1373" spans="13:14" x14ac:dyDescent="0.35">
      <c r="M1373" s="64" t="s">
        <v>1615</v>
      </c>
      <c r="N1373" s="61">
        <f>SUMIFS(INDEX(detail_table[],,MATCH(M1373,detail_table[#Headers],0)),detail_table[Project Type],"&lt;&gt;"&amp;"")</f>
        <v>0</v>
      </c>
    </row>
    <row r="1374" spans="13:14" x14ac:dyDescent="0.35">
      <c r="M1374" s="64" t="s">
        <v>1616</v>
      </c>
      <c r="N1374" s="61">
        <f>SUMIFS(INDEX(detail_table[],,MATCH(M1374,detail_table[#Headers],0)),detail_table[Project Type],"&lt;&gt;"&amp;"")</f>
        <v>0</v>
      </c>
    </row>
    <row r="1375" spans="13:14" x14ac:dyDescent="0.35">
      <c r="M1375" s="64" t="s">
        <v>1617</v>
      </c>
      <c r="N1375" s="61">
        <f>SUMIFS(INDEX(detail_table[],,MATCH(M1375,detail_table[#Headers],0)),detail_table[Project Type],"&lt;&gt;"&amp;"")</f>
        <v>0</v>
      </c>
    </row>
    <row r="1376" spans="13:14" x14ac:dyDescent="0.35">
      <c r="M1376" s="64" t="s">
        <v>1618</v>
      </c>
      <c r="N1376" s="61">
        <f>SUMIFS(INDEX(detail_table[],,MATCH(M1376,detail_table[#Headers],0)),detail_table[Project Type],"&lt;&gt;"&amp;"")</f>
        <v>0</v>
      </c>
    </row>
    <row r="1377" spans="13:14" x14ac:dyDescent="0.35">
      <c r="M1377" s="64" t="s">
        <v>1619</v>
      </c>
      <c r="N1377" s="61">
        <f>SUMIFS(INDEX(detail_table[],,MATCH(M1377,detail_table[#Headers],0)),detail_table[Project Type],"&lt;&gt;"&amp;"")</f>
        <v>0</v>
      </c>
    </row>
    <row r="1378" spans="13:14" x14ac:dyDescent="0.35">
      <c r="M1378" s="64" t="s">
        <v>1620</v>
      </c>
      <c r="N1378" s="61">
        <f>SUMIFS(INDEX(detail_table[],,MATCH(M1378,detail_table[#Headers],0)),detail_table[Project Type],"&lt;&gt;"&amp;"")</f>
        <v>0</v>
      </c>
    </row>
    <row r="1379" spans="13:14" x14ac:dyDescent="0.35">
      <c r="M1379" s="64" t="s">
        <v>1621</v>
      </c>
      <c r="N1379" s="61">
        <f>SUMIFS(INDEX(detail_table[],,MATCH(M1379,detail_table[#Headers],0)),detail_table[Project Type],"&lt;&gt;"&amp;"")</f>
        <v>0</v>
      </c>
    </row>
    <row r="1380" spans="13:14" x14ac:dyDescent="0.35">
      <c r="M1380" s="64" t="s">
        <v>1622</v>
      </c>
      <c r="N1380" s="61">
        <f>SUMIFS(INDEX(detail_table[],,MATCH(M1380,detail_table[#Headers],0)),detail_table[Project Type],"&lt;&gt;"&amp;"")</f>
        <v>0</v>
      </c>
    </row>
    <row r="1381" spans="13:14" x14ac:dyDescent="0.35">
      <c r="M1381" s="64" t="s">
        <v>1623</v>
      </c>
      <c r="N1381" s="61">
        <f>SUMIFS(INDEX(detail_table[],,MATCH(M1381,detail_table[#Headers],0)),detail_table[Project Type],"&lt;&gt;"&amp;"")</f>
        <v>0</v>
      </c>
    </row>
    <row r="1382" spans="13:14" x14ac:dyDescent="0.35">
      <c r="M1382" s="64" t="s">
        <v>1624</v>
      </c>
      <c r="N1382" s="61">
        <f>SUMIFS(INDEX(detail_table[],,MATCH(M1382,detail_table[#Headers],0)),detail_table[Project Type],"&lt;&gt;"&amp;"")</f>
        <v>0</v>
      </c>
    </row>
    <row r="1383" spans="13:14" x14ac:dyDescent="0.35">
      <c r="M1383" s="64" t="s">
        <v>1625</v>
      </c>
      <c r="N1383" s="61">
        <f>SUMIFS(INDEX(detail_table[],,MATCH(M1383,detail_table[#Headers],0)),detail_table[Project Type],"&lt;&gt;"&amp;"")</f>
        <v>0</v>
      </c>
    </row>
    <row r="1384" spans="13:14" x14ac:dyDescent="0.35">
      <c r="M1384" s="64" t="s">
        <v>1626</v>
      </c>
      <c r="N1384" s="61">
        <f>SUMIFS(INDEX(detail_table[],,MATCH(M1384,detail_table[#Headers],0)),detail_table[Project Type],"&lt;&gt;"&amp;"")</f>
        <v>0</v>
      </c>
    </row>
    <row r="1385" spans="13:14" x14ac:dyDescent="0.35">
      <c r="M1385" s="64" t="s">
        <v>1627</v>
      </c>
      <c r="N1385" s="61">
        <f>SUMIFS(INDEX(detail_table[],,MATCH(M1385,detail_table[#Headers],0)),detail_table[Project Type],"&lt;&gt;"&amp;"")</f>
        <v>0</v>
      </c>
    </row>
    <row r="1386" spans="13:14" x14ac:dyDescent="0.35">
      <c r="M1386" s="64" t="s">
        <v>1628</v>
      </c>
      <c r="N1386" s="61">
        <f>SUMIFS(INDEX(detail_table[],,MATCH(M1386,detail_table[#Headers],0)),detail_table[Project Type],"&lt;&gt;"&amp;"")</f>
        <v>0</v>
      </c>
    </row>
    <row r="1387" spans="13:14" x14ac:dyDescent="0.35">
      <c r="M1387" s="64" t="s">
        <v>1629</v>
      </c>
      <c r="N1387" s="61">
        <f>SUMIFS(INDEX(detail_table[],,MATCH(M1387,detail_table[#Headers],0)),detail_table[Project Type],"&lt;&gt;"&amp;"")</f>
        <v>0</v>
      </c>
    </row>
    <row r="1388" spans="13:14" x14ac:dyDescent="0.35">
      <c r="M1388" s="64" t="s">
        <v>1630</v>
      </c>
      <c r="N1388" s="61">
        <f>SUMIFS(INDEX(detail_table[],,MATCH(M1388,detail_table[#Headers],0)),detail_table[Project Type],"&lt;&gt;"&amp;"")</f>
        <v>0</v>
      </c>
    </row>
    <row r="1389" spans="13:14" x14ac:dyDescent="0.35">
      <c r="M1389" s="64" t="s">
        <v>1631</v>
      </c>
      <c r="N1389" s="61">
        <f>SUMIFS(INDEX(detail_table[],,MATCH(M1389,detail_table[#Headers],0)),detail_table[Project Type],"&lt;&gt;"&amp;"")</f>
        <v>0</v>
      </c>
    </row>
    <row r="1390" spans="13:14" x14ac:dyDescent="0.35">
      <c r="M1390" s="64" t="s">
        <v>1632</v>
      </c>
      <c r="N1390" s="61">
        <f>SUMIFS(INDEX(detail_table[],,MATCH(M1390,detail_table[#Headers],0)),detail_table[Project Type],"&lt;&gt;"&amp;"")</f>
        <v>0</v>
      </c>
    </row>
    <row r="1391" spans="13:14" x14ac:dyDescent="0.35">
      <c r="M1391" s="64" t="s">
        <v>1633</v>
      </c>
      <c r="N1391" s="61">
        <f>SUMIFS(INDEX(detail_table[],,MATCH(M1391,detail_table[#Headers],0)),detail_table[Project Type],"&lt;&gt;"&amp;"")</f>
        <v>0</v>
      </c>
    </row>
    <row r="1392" spans="13:14" x14ac:dyDescent="0.35">
      <c r="M1392" s="64" t="s">
        <v>1634</v>
      </c>
      <c r="N1392" s="61">
        <f>SUMIFS(INDEX(detail_table[],,MATCH(M1392,detail_table[#Headers],0)),detail_table[Project Type],"&lt;&gt;"&amp;"")</f>
        <v>0</v>
      </c>
    </row>
    <row r="1393" spans="13:14" x14ac:dyDescent="0.35">
      <c r="M1393" s="64" t="s">
        <v>1635</v>
      </c>
      <c r="N1393" s="61">
        <f>SUMIFS(INDEX(detail_table[],,MATCH(M1393,detail_table[#Headers],0)),detail_table[Project Type],"&lt;&gt;"&amp;"")</f>
        <v>0</v>
      </c>
    </row>
    <row r="1394" spans="13:14" x14ac:dyDescent="0.35">
      <c r="M1394" s="64" t="s">
        <v>1636</v>
      </c>
      <c r="N1394" s="61">
        <f>SUMIFS(INDEX(detail_table[],,MATCH(M1394,detail_table[#Headers],0)),detail_table[Project Type],"&lt;&gt;"&amp;"")</f>
        <v>0</v>
      </c>
    </row>
    <row r="1395" spans="13:14" x14ac:dyDescent="0.35">
      <c r="M1395" s="64" t="s">
        <v>1637</v>
      </c>
      <c r="N1395" s="61">
        <f>SUMIFS(INDEX(detail_table[],,MATCH(M1395,detail_table[#Headers],0)),detail_table[Project Type],"&lt;&gt;"&amp;"")</f>
        <v>0</v>
      </c>
    </row>
    <row r="1396" spans="13:14" x14ac:dyDescent="0.35">
      <c r="M1396" s="64" t="s">
        <v>1638</v>
      </c>
      <c r="N1396" s="61">
        <f>SUMIFS(INDEX(detail_table[],,MATCH(M1396,detail_table[#Headers],0)),detail_table[Project Type],"&lt;&gt;"&amp;"")</f>
        <v>0</v>
      </c>
    </row>
    <row r="1397" spans="13:14" x14ac:dyDescent="0.35">
      <c r="M1397" s="64" t="s">
        <v>1639</v>
      </c>
      <c r="N1397" s="61">
        <f>SUMIFS(INDEX(detail_table[],,MATCH(M1397,detail_table[#Headers],0)),detail_table[Project Type],"&lt;&gt;"&amp;"")</f>
        <v>0</v>
      </c>
    </row>
    <row r="1398" spans="13:14" x14ac:dyDescent="0.35">
      <c r="M1398" s="64" t="s">
        <v>1640</v>
      </c>
      <c r="N1398" s="61">
        <f>SUMIFS(INDEX(detail_table[],,MATCH(M1398,detail_table[#Headers],0)),detail_table[Project Type],"&lt;&gt;"&amp;"")</f>
        <v>0</v>
      </c>
    </row>
    <row r="1399" spans="13:14" x14ac:dyDescent="0.35">
      <c r="M1399" s="64" t="s">
        <v>1641</v>
      </c>
      <c r="N1399" s="61">
        <f>SUMIFS(INDEX(detail_table[],,MATCH(M1399,detail_table[#Headers],0)),detail_table[Project Type],"&lt;&gt;"&amp;"")</f>
        <v>0</v>
      </c>
    </row>
    <row r="1400" spans="13:14" x14ac:dyDescent="0.35">
      <c r="M1400" s="64" t="s">
        <v>1642</v>
      </c>
      <c r="N1400" s="61">
        <f>SUMIFS(INDEX(detail_table[],,MATCH(M1400,detail_table[#Headers],0)),detail_table[Project Type],"&lt;&gt;"&amp;"")</f>
        <v>0</v>
      </c>
    </row>
    <row r="1401" spans="13:14" x14ac:dyDescent="0.35">
      <c r="M1401" s="64" t="s">
        <v>1643</v>
      </c>
      <c r="N1401" s="61">
        <f>SUMIFS(INDEX(detail_table[],,MATCH(M1401,detail_table[#Headers],0)),detail_table[Project Type],"&lt;&gt;"&amp;"")</f>
        <v>0</v>
      </c>
    </row>
    <row r="1402" spans="13:14" x14ac:dyDescent="0.35">
      <c r="M1402" s="64" t="s">
        <v>1644</v>
      </c>
      <c r="N1402" s="61">
        <f>SUMIFS(INDEX(detail_table[],,MATCH(M1402,detail_table[#Headers],0)),detail_table[Project Type],"&lt;&gt;"&amp;"")</f>
        <v>0</v>
      </c>
    </row>
    <row r="1403" spans="13:14" x14ac:dyDescent="0.35">
      <c r="M1403" s="64" t="s">
        <v>1645</v>
      </c>
      <c r="N1403" s="61">
        <f>SUMIFS(INDEX(detail_table[],,MATCH(M1403,detail_table[#Headers],0)),detail_table[Project Type],"&lt;&gt;"&amp;"")</f>
        <v>0</v>
      </c>
    </row>
    <row r="1404" spans="13:14" x14ac:dyDescent="0.35">
      <c r="M1404" s="64" t="s">
        <v>1646</v>
      </c>
      <c r="N1404" s="61">
        <f>SUMIFS(INDEX(detail_table[],,MATCH(M1404,detail_table[#Headers],0)),detail_table[Project Type],"&lt;&gt;"&amp;"")</f>
        <v>0</v>
      </c>
    </row>
    <row r="1405" spans="13:14" x14ac:dyDescent="0.35">
      <c r="M1405" s="64" t="s">
        <v>1647</v>
      </c>
      <c r="N1405" s="61">
        <f>SUMIFS(INDEX(detail_table[],,MATCH(M1405,detail_table[#Headers],0)),detail_table[Project Type],"&lt;&gt;"&amp;"")</f>
        <v>0</v>
      </c>
    </row>
    <row r="1406" spans="13:14" x14ac:dyDescent="0.35">
      <c r="M1406" s="64" t="s">
        <v>1648</v>
      </c>
      <c r="N1406" s="61">
        <f>SUMIFS(INDEX(detail_table[],,MATCH(M1406,detail_table[#Headers],0)),detail_table[Project Type],"&lt;&gt;"&amp;"")</f>
        <v>0</v>
      </c>
    </row>
    <row r="1407" spans="13:14" x14ac:dyDescent="0.35">
      <c r="M1407" s="64" t="s">
        <v>1649</v>
      </c>
      <c r="N1407" s="61">
        <f>SUMIFS(INDEX(detail_table[],,MATCH(M1407,detail_table[#Headers],0)),detail_table[Project Type],"&lt;&gt;"&amp;"")</f>
        <v>0</v>
      </c>
    </row>
    <row r="1408" spans="13:14" x14ac:dyDescent="0.35">
      <c r="M1408" s="64" t="s">
        <v>1650</v>
      </c>
      <c r="N1408" s="61">
        <f>SUMIFS(INDEX(detail_table[],,MATCH(M1408,detail_table[#Headers],0)),detail_table[Project Type],"&lt;&gt;"&amp;"")</f>
        <v>0</v>
      </c>
    </row>
    <row r="1409" spans="13:14" x14ac:dyDescent="0.35">
      <c r="M1409" s="64" t="s">
        <v>1651</v>
      </c>
      <c r="N1409" s="61">
        <f>SUMIFS(INDEX(detail_table[],,MATCH(M1409,detail_table[#Headers],0)),detail_table[Project Type],"&lt;&gt;"&amp;"")</f>
        <v>0</v>
      </c>
    </row>
    <row r="1410" spans="13:14" x14ac:dyDescent="0.35">
      <c r="M1410" s="64" t="s">
        <v>1652</v>
      </c>
      <c r="N1410" s="61">
        <f>SUMIFS(INDEX(detail_table[],,MATCH(M1410,detail_table[#Headers],0)),detail_table[Project Type],"&lt;&gt;"&amp;"")</f>
        <v>0</v>
      </c>
    </row>
    <row r="1411" spans="13:14" x14ac:dyDescent="0.35">
      <c r="M1411" s="64" t="s">
        <v>1653</v>
      </c>
      <c r="N1411" s="61">
        <f>SUMIFS(INDEX(detail_table[],,MATCH(M1411,detail_table[#Headers],0)),detail_table[Project Type],"&lt;&gt;"&amp;"")</f>
        <v>0</v>
      </c>
    </row>
    <row r="1412" spans="13:14" x14ac:dyDescent="0.35">
      <c r="M1412" s="64" t="s">
        <v>1654</v>
      </c>
      <c r="N1412" s="61">
        <f>SUMIFS(INDEX(detail_table[],,MATCH(M1412,detail_table[#Headers],0)),detail_table[Project Type],"&lt;&gt;"&amp;"")</f>
        <v>0</v>
      </c>
    </row>
    <row r="1413" spans="13:14" x14ac:dyDescent="0.35">
      <c r="M1413" s="64" t="s">
        <v>1655</v>
      </c>
      <c r="N1413" s="61">
        <f>SUMIFS(INDEX(detail_table[],,MATCH(M1413,detail_table[#Headers],0)),detail_table[Project Type],"&lt;&gt;"&amp;"")</f>
        <v>0</v>
      </c>
    </row>
    <row r="1414" spans="13:14" x14ac:dyDescent="0.35">
      <c r="M1414" s="64" t="s">
        <v>1656</v>
      </c>
      <c r="N1414" s="61">
        <f>SUMIFS(INDEX(detail_table[],,MATCH(M1414,detail_table[#Headers],0)),detail_table[Project Type],"&lt;&gt;"&amp;"")</f>
        <v>0</v>
      </c>
    </row>
    <row r="1415" spans="13:14" x14ac:dyDescent="0.35">
      <c r="M1415" s="64" t="s">
        <v>1657</v>
      </c>
      <c r="N1415" s="61">
        <f>SUMIFS(INDEX(detail_table[],,MATCH(M1415,detail_table[#Headers],0)),detail_table[Project Type],"&lt;&gt;"&amp;"")</f>
        <v>0</v>
      </c>
    </row>
    <row r="1416" spans="13:14" x14ac:dyDescent="0.35">
      <c r="M1416" s="64" t="s">
        <v>1658</v>
      </c>
      <c r="N1416" s="61">
        <f>SUMIFS(INDEX(detail_table[],,MATCH(M1416,detail_table[#Headers],0)),detail_table[Project Type],"&lt;&gt;"&amp;"")</f>
        <v>0</v>
      </c>
    </row>
    <row r="1417" spans="13:14" x14ac:dyDescent="0.35">
      <c r="M1417" s="64" t="s">
        <v>1659</v>
      </c>
      <c r="N1417" s="61">
        <f>SUMIFS(INDEX(detail_table[],,MATCH(M1417,detail_table[#Headers],0)),detail_table[Project Type],"&lt;&gt;"&amp;"")</f>
        <v>0</v>
      </c>
    </row>
    <row r="1418" spans="13:14" x14ac:dyDescent="0.35">
      <c r="M1418" s="64" t="s">
        <v>1660</v>
      </c>
      <c r="N1418" s="61">
        <f>SUMIFS(INDEX(detail_table[],,MATCH(M1418,detail_table[#Headers],0)),detail_table[Project Type],"&lt;&gt;"&amp;"")</f>
        <v>0</v>
      </c>
    </row>
    <row r="1419" spans="13:14" x14ac:dyDescent="0.35">
      <c r="M1419" s="64" t="s">
        <v>2171</v>
      </c>
      <c r="N1419" s="61">
        <f>SUMIFS(INDEX(detail_table[],,MATCH(M1419,detail_table[#Headers],0)),detail_table[Project Type],"&lt;&gt;"&amp;"")</f>
        <v>0</v>
      </c>
    </row>
    <row r="1420" spans="13:14" x14ac:dyDescent="0.35">
      <c r="M1420" s="64" t="s">
        <v>2172</v>
      </c>
      <c r="N1420" s="61">
        <f>SUMIFS(INDEX(detail_table[],,MATCH(M1420,detail_table[#Headers],0)),detail_table[Project Type],"&lt;&gt;"&amp;"")</f>
        <v>0</v>
      </c>
    </row>
    <row r="1421" spans="13:14" x14ac:dyDescent="0.35">
      <c r="M1421" s="64" t="s">
        <v>2173</v>
      </c>
      <c r="N1421" s="61">
        <f>SUMIFS(INDEX(detail_table[],,MATCH(M1421,detail_table[#Headers],0)),detail_table[Project Type],"&lt;&gt;"&amp;"")</f>
        <v>0</v>
      </c>
    </row>
    <row r="1422" spans="13:14" x14ac:dyDescent="0.35">
      <c r="M1422" s="64" t="s">
        <v>2174</v>
      </c>
      <c r="N1422" s="61">
        <f>SUMIFS(INDEX(detail_table[],,MATCH(M1422,detail_table[#Headers],0)),detail_table[Project Type],"&lt;&gt;"&amp;"")</f>
        <v>0</v>
      </c>
    </row>
    <row r="1423" spans="13:14" x14ac:dyDescent="0.35">
      <c r="M1423" s="64" t="s">
        <v>2175</v>
      </c>
      <c r="N1423" s="61">
        <f>SUMIFS(INDEX(detail_table[],,MATCH(M1423,detail_table[#Headers],0)),detail_table[Project Type],"&lt;&gt;"&amp;"")</f>
        <v>0</v>
      </c>
    </row>
    <row r="1424" spans="13:14" x14ac:dyDescent="0.35">
      <c r="M1424" s="64" t="s">
        <v>1661</v>
      </c>
      <c r="N1424" s="61">
        <f>SUMIFS(INDEX(detail_table[],,MATCH(M1424,detail_table[#Headers],0)),detail_table[Project Type],"&lt;&gt;"&amp;"")</f>
        <v>0</v>
      </c>
    </row>
    <row r="1425" spans="13:14" x14ac:dyDescent="0.35">
      <c r="M1425" s="64" t="s">
        <v>1662</v>
      </c>
      <c r="N1425" s="61">
        <f>SUMIFS(INDEX(detail_table[],,MATCH(M1425,detail_table[#Headers],0)),detail_table[Project Type],"&lt;&gt;"&amp;"")</f>
        <v>0</v>
      </c>
    </row>
    <row r="1426" spans="13:14" x14ac:dyDescent="0.35">
      <c r="M1426" s="64" t="s">
        <v>1663</v>
      </c>
      <c r="N1426" s="61">
        <f>SUMIFS(INDEX(detail_table[],,MATCH(M1426,detail_table[#Headers],0)),detail_table[Project Type],"&lt;&gt;"&amp;"")</f>
        <v>0</v>
      </c>
    </row>
    <row r="1427" spans="13:14" x14ac:dyDescent="0.35">
      <c r="M1427" s="64" t="s">
        <v>1664</v>
      </c>
      <c r="N1427" s="61">
        <f>SUMIFS(INDEX(detail_table[],,MATCH(M1427,detail_table[#Headers],0)),detail_table[Project Type],"&lt;&gt;"&amp;"")</f>
        <v>0</v>
      </c>
    </row>
    <row r="1428" spans="13:14" x14ac:dyDescent="0.35">
      <c r="M1428" s="64" t="s">
        <v>1665</v>
      </c>
      <c r="N1428" s="61">
        <f>SUMIFS(INDEX(detail_table[],,MATCH(M1428,detail_table[#Headers],0)),detail_table[Project Type],"&lt;&gt;"&amp;"")</f>
        <v>0</v>
      </c>
    </row>
    <row r="1429" spans="13:14" x14ac:dyDescent="0.35">
      <c r="M1429" s="64" t="s">
        <v>1666</v>
      </c>
      <c r="N1429" s="61">
        <f>SUMIFS(INDEX(detail_table[],,MATCH(M1429,detail_table[#Headers],0)),detail_table[Project Type],"&lt;&gt;"&amp;"")</f>
        <v>0</v>
      </c>
    </row>
    <row r="1430" spans="13:14" x14ac:dyDescent="0.35">
      <c r="M1430" s="64" t="s">
        <v>1667</v>
      </c>
      <c r="N1430" s="61">
        <f>SUMIFS(INDEX(detail_table[],,MATCH(M1430,detail_table[#Headers],0)),detail_table[Project Type],"&lt;&gt;"&amp;"")</f>
        <v>0</v>
      </c>
    </row>
    <row r="1431" spans="13:14" x14ac:dyDescent="0.35">
      <c r="M1431" s="64" t="s">
        <v>1668</v>
      </c>
      <c r="N1431" s="61">
        <f>SUMIFS(INDEX(detail_table[],,MATCH(M1431,detail_table[#Headers],0)),detail_table[Project Type],"&lt;&gt;"&amp;"")</f>
        <v>0</v>
      </c>
    </row>
    <row r="1432" spans="13:14" x14ac:dyDescent="0.35">
      <c r="M1432" s="64" t="s">
        <v>1669</v>
      </c>
      <c r="N1432" s="61">
        <f>SUMIFS(INDEX(detail_table[],,MATCH(M1432,detail_table[#Headers],0)),detail_table[Project Type],"&lt;&gt;"&amp;"")</f>
        <v>0</v>
      </c>
    </row>
    <row r="1433" spans="13:14" x14ac:dyDescent="0.35">
      <c r="M1433" s="64" t="s">
        <v>1670</v>
      </c>
      <c r="N1433" s="61">
        <f>SUMIFS(INDEX(detail_table[],,MATCH(M1433,detail_table[#Headers],0)),detail_table[Project Type],"&lt;&gt;"&amp;"")</f>
        <v>0</v>
      </c>
    </row>
    <row r="1434" spans="13:14" x14ac:dyDescent="0.35">
      <c r="M1434" s="64" t="s">
        <v>2086</v>
      </c>
      <c r="N1434" s="61">
        <f>SUMIFS(INDEX(detail_table[],,MATCH(M1434,detail_table[#Headers],0)),detail_table[Project Type],$D$1)</f>
        <v>0</v>
      </c>
    </row>
    <row r="1435" spans="13:14" x14ac:dyDescent="0.35">
      <c r="M1435" s="64" t="s">
        <v>2085</v>
      </c>
      <c r="N1435" s="61">
        <f>SUMIFS(INDEX(detail_table[],,MATCH(M1435,detail_table[#Headers],0)),detail_table[Project Type],$D$1)</f>
        <v>0</v>
      </c>
    </row>
    <row r="1436" spans="13:14" x14ac:dyDescent="0.35">
      <c r="M1436" s="64" t="s">
        <v>2084</v>
      </c>
      <c r="N1436" s="61">
        <f>SUMIFS(INDEX(detail_table[],,MATCH(M1436,detail_table[#Headers],0)),detail_table[Project Type],$D$1)</f>
        <v>0</v>
      </c>
    </row>
    <row r="1437" spans="13:14" x14ac:dyDescent="0.35">
      <c r="M1437" s="64" t="s">
        <v>2092</v>
      </c>
      <c r="N1437" s="61">
        <f>SUMIFS(INDEX(detail_table[],,MATCH(M1437,detail_table[#Headers],0)),detail_table[Project Type],$D$1)</f>
        <v>0</v>
      </c>
    </row>
    <row r="1438" spans="13:14" x14ac:dyDescent="0.35">
      <c r="M1438" s="64" t="s">
        <v>2093</v>
      </c>
      <c r="N1438" s="61">
        <f>SUMIFS(INDEX(detail_table[],,MATCH(M1438,detail_table[#Headers],0)),detail_table[Project Type],$D$1)</f>
        <v>0</v>
      </c>
    </row>
    <row r="1439" spans="13:14" x14ac:dyDescent="0.35">
      <c r="M1439" s="64" t="s">
        <v>1671</v>
      </c>
      <c r="N1439" s="61">
        <f>SUMIFS(INDEX(detail_table[],,MATCH(M1439,detail_table[#Headers],0)),detail_table[Project Type],"&lt;&gt;"&amp;"")</f>
        <v>0</v>
      </c>
    </row>
    <row r="1440" spans="13:14" x14ac:dyDescent="0.35">
      <c r="M1440" s="64" t="s">
        <v>1672</v>
      </c>
      <c r="N1440" s="61">
        <f>SUMIFS(INDEX(detail_table[],,MATCH(M1440,detail_table[#Headers],0)),detail_table[Project Type],"&lt;&gt;"&amp;"")</f>
        <v>0</v>
      </c>
    </row>
    <row r="1441" spans="13:14" x14ac:dyDescent="0.35">
      <c r="M1441" s="64" t="s">
        <v>1673</v>
      </c>
      <c r="N1441" s="61">
        <f>SUMIFS(INDEX(detail_table[],,MATCH(M1441,detail_table[#Headers],0)),detail_table[Project Type],"&lt;&gt;"&amp;"")</f>
        <v>0</v>
      </c>
    </row>
    <row r="1442" spans="13:14" x14ac:dyDescent="0.35">
      <c r="M1442" s="64" t="s">
        <v>1674</v>
      </c>
      <c r="N1442" s="61">
        <f>SUMIFS(INDEX(detail_table[],,MATCH(M1442,detail_table[#Headers],0)),detail_table[Project Type],"&lt;&gt;"&amp;"")</f>
        <v>0</v>
      </c>
    </row>
    <row r="1443" spans="13:14" x14ac:dyDescent="0.35">
      <c r="M1443" s="64" t="s">
        <v>1675</v>
      </c>
      <c r="N1443" s="61">
        <f>SUMIFS(INDEX(detail_table[],,MATCH(M1443,detail_table[#Headers],0)),detail_table[Project Type],"&lt;&gt;"&amp;"")</f>
        <v>0</v>
      </c>
    </row>
    <row r="1444" spans="13:14" x14ac:dyDescent="0.35">
      <c r="M1444" s="64" t="s">
        <v>1676</v>
      </c>
      <c r="N1444" s="61">
        <f>SUMIFS(INDEX(detail_table[],,MATCH(M1444,detail_table[#Headers],0)),detail_table[Project Type],"&lt;&gt;"&amp;"")</f>
        <v>0</v>
      </c>
    </row>
    <row r="1445" spans="13:14" x14ac:dyDescent="0.35">
      <c r="M1445" s="64" t="s">
        <v>1677</v>
      </c>
      <c r="N1445" s="61">
        <f>SUMIFS(INDEX(detail_table[],,MATCH(M1445,detail_table[#Headers],0)),detail_table[Project Type],"&lt;&gt;"&amp;"")</f>
        <v>0</v>
      </c>
    </row>
    <row r="1446" spans="13:14" x14ac:dyDescent="0.35">
      <c r="M1446" s="64" t="s">
        <v>1678</v>
      </c>
      <c r="N1446" s="61">
        <f>SUMIFS(INDEX(detail_table[],,MATCH(M1446,detail_table[#Headers],0)),detail_table[Project Type],"&lt;&gt;"&amp;"")</f>
        <v>0</v>
      </c>
    </row>
    <row r="1447" spans="13:14" x14ac:dyDescent="0.35">
      <c r="M1447" s="64" t="s">
        <v>1679</v>
      </c>
      <c r="N1447" s="61">
        <f>SUMIFS(INDEX(detail_table[],,MATCH(M1447,detail_table[#Headers],0)),detail_table[Project Type],"&lt;&gt;"&amp;"")</f>
        <v>0</v>
      </c>
    </row>
    <row r="1448" spans="13:14" x14ac:dyDescent="0.35">
      <c r="M1448" s="64" t="s">
        <v>1680</v>
      </c>
      <c r="N1448" s="61">
        <f>SUMIFS(INDEX(detail_table[],,MATCH(M1448,detail_table[#Headers],0)),detail_table[Project Type],"&lt;&gt;"&amp;"")</f>
        <v>0</v>
      </c>
    </row>
    <row r="1449" spans="13:14" x14ac:dyDescent="0.35">
      <c r="M1449" s="64" t="s">
        <v>1681</v>
      </c>
      <c r="N1449" s="61">
        <f>SUMIFS(INDEX(detail_table[],,MATCH(M1449,detail_table[#Headers],0)),detail_table[Project Type],"&lt;&gt;"&amp;"")</f>
        <v>0</v>
      </c>
    </row>
    <row r="1450" spans="13:14" x14ac:dyDescent="0.35">
      <c r="M1450" s="64" t="s">
        <v>1682</v>
      </c>
      <c r="N1450" s="61">
        <f>SUMIFS(INDEX(detail_table[],,MATCH(M1450,detail_table[#Headers],0)),detail_table[Project Type],"&lt;&gt;"&amp;"")</f>
        <v>0</v>
      </c>
    </row>
    <row r="1451" spans="13:14" x14ac:dyDescent="0.35">
      <c r="M1451" s="64" t="s">
        <v>1683</v>
      </c>
      <c r="N1451" s="61">
        <f>SUMIFS(INDEX(detail_table[],,MATCH(M1451,detail_table[#Headers],0)),detail_table[Project Type],"&lt;&gt;"&amp;"")</f>
        <v>0</v>
      </c>
    </row>
    <row r="1452" spans="13:14" x14ac:dyDescent="0.35">
      <c r="M1452" s="64" t="s">
        <v>1684</v>
      </c>
      <c r="N1452" s="61">
        <f>SUMIFS(INDEX(detail_table[],,MATCH(M1452,detail_table[#Headers],0)),detail_table[Project Type],"&lt;&gt;"&amp;"")</f>
        <v>0</v>
      </c>
    </row>
    <row r="1453" spans="13:14" x14ac:dyDescent="0.35">
      <c r="M1453" s="64" t="s">
        <v>1685</v>
      </c>
      <c r="N1453" s="61">
        <f>SUMIFS(INDEX(detail_table[],,MATCH(M1453,detail_table[#Headers],0)),detail_table[Project Type],"&lt;&gt;"&amp;"")</f>
        <v>0</v>
      </c>
    </row>
    <row r="1454" spans="13:14" x14ac:dyDescent="0.35">
      <c r="M1454" s="64" t="s">
        <v>1686</v>
      </c>
      <c r="N1454" s="61">
        <f>SUMIFS(INDEX(detail_table[],,MATCH(M1454,detail_table[#Headers],0)),detail_table[Project Type],"&lt;&gt;"&amp;"")</f>
        <v>0</v>
      </c>
    </row>
    <row r="1455" spans="13:14" x14ac:dyDescent="0.35">
      <c r="M1455" s="64" t="s">
        <v>1687</v>
      </c>
      <c r="N1455" s="61">
        <f>SUMIFS(INDEX(detail_table[],,MATCH(M1455,detail_table[#Headers],0)),detail_table[Project Type],"&lt;&gt;"&amp;"")</f>
        <v>0</v>
      </c>
    </row>
    <row r="1456" spans="13:14" x14ac:dyDescent="0.35">
      <c r="M1456" s="64" t="s">
        <v>1688</v>
      </c>
      <c r="N1456" s="61">
        <f>SUMIFS(INDEX(detail_table[],,MATCH(M1456,detail_table[#Headers],0)),detail_table[Project Type],"&lt;&gt;"&amp;"")</f>
        <v>0</v>
      </c>
    </row>
    <row r="1457" spans="13:14" x14ac:dyDescent="0.35">
      <c r="M1457" s="64" t="s">
        <v>1689</v>
      </c>
      <c r="N1457" s="61">
        <f>SUMIFS(INDEX(detail_table[],,MATCH(M1457,detail_table[#Headers],0)),detail_table[Project Type],"&lt;&gt;"&amp;"")</f>
        <v>0</v>
      </c>
    </row>
    <row r="1458" spans="13:14" x14ac:dyDescent="0.35">
      <c r="M1458" s="64" t="s">
        <v>1690</v>
      </c>
      <c r="N1458" s="61">
        <f>SUMIFS(INDEX(detail_table[],,MATCH(M1458,detail_table[#Headers],0)),detail_table[Project Type],"&lt;&gt;"&amp;"")</f>
        <v>0</v>
      </c>
    </row>
    <row r="1459" spans="13:14" x14ac:dyDescent="0.35">
      <c r="M1459" s="64" t="s">
        <v>1691</v>
      </c>
      <c r="N1459" s="61">
        <f>SUMIFS(INDEX(detail_table[],,MATCH(M1459,detail_table[#Headers],0)),detail_table[Project Type],"&lt;&gt;"&amp;"")</f>
        <v>0</v>
      </c>
    </row>
    <row r="1460" spans="13:14" x14ac:dyDescent="0.35">
      <c r="M1460" s="64" t="s">
        <v>1692</v>
      </c>
      <c r="N1460" s="61">
        <f>SUMIFS(INDEX(detail_table[],,MATCH(M1460,detail_table[#Headers],0)),detail_table[Project Type],"&lt;&gt;"&amp;"")</f>
        <v>0</v>
      </c>
    </row>
    <row r="1461" spans="13:14" x14ac:dyDescent="0.35">
      <c r="M1461" s="64" t="s">
        <v>1693</v>
      </c>
      <c r="N1461" s="61">
        <f>SUMIFS(INDEX(detail_table[],,MATCH(M1461,detail_table[#Headers],0)),detail_table[Project Type],"&lt;&gt;"&amp;"")</f>
        <v>0</v>
      </c>
    </row>
    <row r="1462" spans="13:14" x14ac:dyDescent="0.35">
      <c r="M1462" s="64" t="s">
        <v>1694</v>
      </c>
      <c r="N1462" s="61">
        <f>SUMIFS(INDEX(detail_table[],,MATCH(M1462,detail_table[#Headers],0)),detail_table[Project Type],"&lt;&gt;"&amp;"")</f>
        <v>0</v>
      </c>
    </row>
    <row r="1463" spans="13:14" x14ac:dyDescent="0.35">
      <c r="M1463" s="64" t="s">
        <v>1695</v>
      </c>
      <c r="N1463" s="61">
        <f>SUMIFS(INDEX(detail_table[],,MATCH(M1463,detail_table[#Headers],0)),detail_table[Project Type],"&lt;&gt;"&amp;"")</f>
        <v>0</v>
      </c>
    </row>
    <row r="1464" spans="13:14" x14ac:dyDescent="0.35">
      <c r="M1464" s="64" t="s">
        <v>1696</v>
      </c>
      <c r="N1464" s="61">
        <f>SUMIFS(INDEX(detail_table[],,MATCH(M1464,detail_table[#Headers],0)),detail_table[Project Type],"&lt;&gt;"&amp;"")</f>
        <v>0</v>
      </c>
    </row>
    <row r="1465" spans="13:14" x14ac:dyDescent="0.35">
      <c r="M1465" s="64" t="s">
        <v>1697</v>
      </c>
      <c r="N1465" s="61">
        <f>SUMIFS(INDEX(detail_table[],,MATCH(M1465,detail_table[#Headers],0)),detail_table[Project Type],"&lt;&gt;"&amp;"")</f>
        <v>0</v>
      </c>
    </row>
    <row r="1466" spans="13:14" x14ac:dyDescent="0.35">
      <c r="M1466" s="64" t="s">
        <v>1698</v>
      </c>
      <c r="N1466" s="61">
        <f>SUMIFS(INDEX(detail_table[],,MATCH(M1466,detail_table[#Headers],0)),detail_table[Project Type],"&lt;&gt;"&amp;"")</f>
        <v>0</v>
      </c>
    </row>
    <row r="1467" spans="13:14" x14ac:dyDescent="0.35">
      <c r="M1467" s="64" t="s">
        <v>1699</v>
      </c>
      <c r="N1467" s="61">
        <f>SUMIFS(INDEX(detail_table[],,MATCH(M1467,detail_table[#Headers],0)),detail_table[Project Type],"&lt;&gt;"&amp;"")</f>
        <v>0</v>
      </c>
    </row>
    <row r="1468" spans="13:14" x14ac:dyDescent="0.35">
      <c r="M1468" s="64" t="s">
        <v>1700</v>
      </c>
      <c r="N1468" s="61">
        <f>SUMIFS(INDEX(detail_table[],,MATCH(M1468,detail_table[#Headers],0)),detail_table[Project Type],"&lt;&gt;"&amp;"")</f>
        <v>0</v>
      </c>
    </row>
    <row r="1469" spans="13:14" x14ac:dyDescent="0.35">
      <c r="M1469" s="64" t="s">
        <v>1701</v>
      </c>
      <c r="N1469" s="61">
        <f>SUMIFS(INDEX(detail_table[],,MATCH(M1469,detail_table[#Headers],0)),detail_table[Project Type],"&lt;&gt;"&amp;"")</f>
        <v>0</v>
      </c>
    </row>
    <row r="1470" spans="13:14" x14ac:dyDescent="0.35">
      <c r="M1470" s="64" t="s">
        <v>1702</v>
      </c>
      <c r="N1470" s="61">
        <f>SUMIFS(INDEX(detail_table[],,MATCH(M1470,detail_table[#Headers],0)),detail_table[Project Type],"&lt;&gt;"&amp;"")</f>
        <v>0</v>
      </c>
    </row>
    <row r="1471" spans="13:14" x14ac:dyDescent="0.35">
      <c r="M1471" s="64" t="s">
        <v>1703</v>
      </c>
      <c r="N1471" s="61">
        <f>SUMIFS(INDEX(detail_table[],,MATCH(M1471,detail_table[#Headers],0)),detail_table[Project Type],"&lt;&gt;"&amp;"")</f>
        <v>0</v>
      </c>
    </row>
    <row r="1472" spans="13:14" x14ac:dyDescent="0.35">
      <c r="M1472" s="64" t="s">
        <v>1704</v>
      </c>
      <c r="N1472" s="61">
        <f>SUMIFS(INDEX(detail_table[],,MATCH(M1472,detail_table[#Headers],0)),detail_table[Project Type],"&lt;&gt;"&amp;"")</f>
        <v>0</v>
      </c>
    </row>
    <row r="1473" spans="13:14" x14ac:dyDescent="0.35">
      <c r="M1473" s="64" t="s">
        <v>1705</v>
      </c>
      <c r="N1473" s="61">
        <f>SUMIFS(INDEX(detail_table[],,MATCH(M1473,detail_table[#Headers],0)),detail_table[Project Type],"&lt;&gt;"&amp;"")</f>
        <v>0</v>
      </c>
    </row>
    <row r="1474" spans="13:14" x14ac:dyDescent="0.35">
      <c r="M1474" s="64" t="s">
        <v>1706</v>
      </c>
      <c r="N1474" s="61">
        <f>SUMIFS(INDEX(detail_table[],,MATCH(M1474,detail_table[#Headers],0)),detail_table[Project Type],"&lt;&gt;"&amp;"")</f>
        <v>0</v>
      </c>
    </row>
    <row r="1475" spans="13:14" x14ac:dyDescent="0.35">
      <c r="M1475" s="64" t="s">
        <v>1707</v>
      </c>
      <c r="N1475" s="61">
        <f>SUMIFS(INDEX(detail_table[],,MATCH(M1475,detail_table[#Headers],0)),detail_table[Project Type],"&lt;&gt;"&amp;"")</f>
        <v>0</v>
      </c>
    </row>
    <row r="1476" spans="13:14" x14ac:dyDescent="0.35">
      <c r="M1476" s="64" t="s">
        <v>1708</v>
      </c>
      <c r="N1476" s="61">
        <f>SUMIFS(INDEX(detail_table[],,MATCH(M1476,detail_table[#Headers],0)),detail_table[Project Type],"&lt;&gt;"&amp;"")</f>
        <v>0</v>
      </c>
    </row>
    <row r="1477" spans="13:14" x14ac:dyDescent="0.35">
      <c r="M1477" s="64" t="s">
        <v>1709</v>
      </c>
      <c r="N1477" s="61">
        <f>SUMIFS(INDEX(detail_table[],,MATCH(M1477,detail_table[#Headers],0)),detail_table[Project Type],"&lt;&gt;"&amp;"")</f>
        <v>0</v>
      </c>
    </row>
    <row r="1478" spans="13:14" x14ac:dyDescent="0.35">
      <c r="M1478" s="64" t="s">
        <v>1710</v>
      </c>
      <c r="N1478" s="61">
        <f>SUMIFS(INDEX(detail_table[],,MATCH(M1478,detail_table[#Headers],0)),detail_table[Project Type],"&lt;&gt;"&amp;"")</f>
        <v>0</v>
      </c>
    </row>
    <row r="1479" spans="13:14" x14ac:dyDescent="0.35">
      <c r="M1479" s="64" t="s">
        <v>1711</v>
      </c>
      <c r="N1479" s="61">
        <f>SUMIFS(INDEX(detail_table[],,MATCH(M1479,detail_table[#Headers],0)),detail_table[Project Type],"&lt;&gt;"&amp;"")</f>
        <v>0</v>
      </c>
    </row>
    <row r="1480" spans="13:14" x14ac:dyDescent="0.35">
      <c r="M1480" s="64" t="s">
        <v>1712</v>
      </c>
      <c r="N1480" s="61">
        <f>SUMIFS(INDEX(detail_table[],,MATCH(M1480,detail_table[#Headers],0)),detail_table[Project Type],"&lt;&gt;"&amp;"")</f>
        <v>0</v>
      </c>
    </row>
    <row r="1481" spans="13:14" x14ac:dyDescent="0.35">
      <c r="M1481" s="64" t="s">
        <v>1713</v>
      </c>
      <c r="N1481" s="61">
        <f>SUMIFS(INDEX(detail_table[],,MATCH(M1481,detail_table[#Headers],0)),detail_table[Project Type],"&lt;&gt;"&amp;"")</f>
        <v>0</v>
      </c>
    </row>
    <row r="1482" spans="13:14" x14ac:dyDescent="0.35">
      <c r="M1482" s="64" t="s">
        <v>1714</v>
      </c>
      <c r="N1482" s="61">
        <f>SUMIFS(INDEX(detail_table[],,MATCH(M1482,detail_table[#Headers],0)),detail_table[Project Type],"&lt;&gt;"&amp;"")</f>
        <v>0</v>
      </c>
    </row>
    <row r="1483" spans="13:14" x14ac:dyDescent="0.35">
      <c r="M1483" s="64" t="s">
        <v>1715</v>
      </c>
      <c r="N1483" s="61">
        <f>SUMIFS(INDEX(detail_table[],,MATCH(M1483,detail_table[#Headers],0)),detail_table[Project Type],"&lt;&gt;"&amp;"")</f>
        <v>0</v>
      </c>
    </row>
    <row r="1484" spans="13:14" x14ac:dyDescent="0.35">
      <c r="M1484" s="64" t="s">
        <v>1716</v>
      </c>
      <c r="N1484" s="61">
        <f>SUMIFS(INDEX(detail_table[],,MATCH(M1484,detail_table[#Headers],0)),detail_table[Project Type],"&lt;&gt;"&amp;"")</f>
        <v>0</v>
      </c>
    </row>
    <row r="1485" spans="13:14" x14ac:dyDescent="0.35">
      <c r="M1485" s="64" t="s">
        <v>1717</v>
      </c>
      <c r="N1485" s="61">
        <f>SUMIFS(INDEX(detail_table[],,MATCH(M1485,detail_table[#Headers],0)),detail_table[Project Type],"&lt;&gt;"&amp;"")</f>
        <v>0</v>
      </c>
    </row>
    <row r="1486" spans="13:14" x14ac:dyDescent="0.35">
      <c r="M1486" s="64" t="s">
        <v>1718</v>
      </c>
      <c r="N1486" s="61">
        <f>SUMIFS(INDEX(detail_table[],,MATCH(M1486,detail_table[#Headers],0)),detail_table[Project Type],"&lt;&gt;"&amp;"")</f>
        <v>0</v>
      </c>
    </row>
    <row r="1487" spans="13:14" x14ac:dyDescent="0.35">
      <c r="M1487" s="64" t="s">
        <v>1719</v>
      </c>
      <c r="N1487" s="61">
        <f>SUMIFS(INDEX(detail_table[],,MATCH(M1487,detail_table[#Headers],0)),detail_table[Project Type],"&lt;&gt;"&amp;"")</f>
        <v>0</v>
      </c>
    </row>
    <row r="1488" spans="13:14" x14ac:dyDescent="0.35">
      <c r="M1488" s="64" t="s">
        <v>1720</v>
      </c>
      <c r="N1488" s="61">
        <f>SUMIFS(INDEX(detail_table[],,MATCH(M1488,detail_table[#Headers],0)),detail_table[Project Type],"&lt;&gt;"&amp;"")</f>
        <v>0</v>
      </c>
    </row>
    <row r="1489" spans="13:14" x14ac:dyDescent="0.35">
      <c r="M1489" s="64" t="s">
        <v>1721</v>
      </c>
      <c r="N1489" s="61">
        <f>SUMIFS(INDEX(detail_table[],,MATCH(M1489,detail_table[#Headers],0)),detail_table[Project Type],"&lt;&gt;"&amp;"")</f>
        <v>0</v>
      </c>
    </row>
    <row r="1490" spans="13:14" x14ac:dyDescent="0.35">
      <c r="M1490" s="64" t="s">
        <v>1722</v>
      </c>
      <c r="N1490" s="61">
        <f>SUMIFS(INDEX(detail_table[],,MATCH(M1490,detail_table[#Headers],0)),detail_table[Project Type],"&lt;&gt;"&amp;"")</f>
        <v>0</v>
      </c>
    </row>
    <row r="1491" spans="13:14" x14ac:dyDescent="0.35">
      <c r="M1491" s="64" t="s">
        <v>1723</v>
      </c>
      <c r="N1491" s="61">
        <f>SUMIFS(INDEX(detail_table[],,MATCH(M1491,detail_table[#Headers],0)),detail_table[Project Type],"&lt;&gt;"&amp;"")</f>
        <v>0</v>
      </c>
    </row>
    <row r="1492" spans="13:14" x14ac:dyDescent="0.35">
      <c r="M1492" s="64" t="s">
        <v>1724</v>
      </c>
      <c r="N1492" s="61">
        <f>SUMIFS(INDEX(detail_table[],,MATCH(M1492,detail_table[#Headers],0)),detail_table[Project Type],"&lt;&gt;"&amp;"")</f>
        <v>0</v>
      </c>
    </row>
    <row r="1493" spans="13:14" x14ac:dyDescent="0.35">
      <c r="M1493" s="64" t="s">
        <v>1725</v>
      </c>
      <c r="N1493" s="61">
        <f>SUMIFS(INDEX(detail_table[],,MATCH(M1493,detail_table[#Headers],0)),detail_table[Project Type],"&lt;&gt;"&amp;"")</f>
        <v>0</v>
      </c>
    </row>
    <row r="1494" spans="13:14" x14ac:dyDescent="0.35">
      <c r="M1494" s="64" t="s">
        <v>1726</v>
      </c>
      <c r="N1494" s="61">
        <f>SUMIFS(INDEX(detail_table[],,MATCH(M1494,detail_table[#Headers],0)),detail_table[Project Type],"&lt;&gt;"&amp;"")</f>
        <v>0</v>
      </c>
    </row>
    <row r="1495" spans="13:14" x14ac:dyDescent="0.35">
      <c r="M1495" s="64" t="s">
        <v>1727</v>
      </c>
      <c r="N1495" s="61">
        <f>SUMIFS(INDEX(detail_table[],,MATCH(M1495,detail_table[#Headers],0)),detail_table[Project Type],"&lt;&gt;"&amp;"")</f>
        <v>0</v>
      </c>
    </row>
    <row r="1496" spans="13:14" x14ac:dyDescent="0.35">
      <c r="M1496" s="64" t="s">
        <v>1728</v>
      </c>
      <c r="N1496" s="61">
        <f>SUMIFS(INDEX(detail_table[],,MATCH(M1496,detail_table[#Headers],0)),detail_table[Project Type],"&lt;&gt;"&amp;"")</f>
        <v>0</v>
      </c>
    </row>
    <row r="1497" spans="13:14" x14ac:dyDescent="0.35">
      <c r="M1497" s="64" t="s">
        <v>1729</v>
      </c>
      <c r="N1497" s="61">
        <f>SUMIFS(INDEX(detail_table[],,MATCH(M1497,detail_table[#Headers],0)),detail_table[Project Type],"&lt;&gt;"&amp;"")</f>
        <v>0</v>
      </c>
    </row>
    <row r="1498" spans="13:14" x14ac:dyDescent="0.35">
      <c r="M1498" s="64" t="s">
        <v>1730</v>
      </c>
      <c r="N1498" s="61">
        <f>SUMIFS(INDEX(detail_table[],,MATCH(M1498,detail_table[#Headers],0)),detail_table[Project Type],"&lt;&gt;"&amp;"")</f>
        <v>0</v>
      </c>
    </row>
    <row r="1499" spans="13:14" x14ac:dyDescent="0.35">
      <c r="M1499" s="64" t="s">
        <v>1731</v>
      </c>
      <c r="N1499" s="61">
        <f>SUMIFS(INDEX(detail_table[],,MATCH(M1499,detail_table[#Headers],0)),detail_table[Project Type],"&lt;&gt;"&amp;"")</f>
        <v>0</v>
      </c>
    </row>
    <row r="1500" spans="13:14" x14ac:dyDescent="0.35">
      <c r="M1500" s="64" t="s">
        <v>1732</v>
      </c>
      <c r="N1500" s="61">
        <f>SUMIFS(INDEX(detail_table[],,MATCH(M1500,detail_table[#Headers],0)),detail_table[Project Type],"&lt;&gt;"&amp;"")</f>
        <v>0</v>
      </c>
    </row>
    <row r="1501" spans="13:14" x14ac:dyDescent="0.35">
      <c r="M1501" s="64" t="s">
        <v>1733</v>
      </c>
      <c r="N1501" s="61">
        <f>SUMIFS(INDEX(detail_table[],,MATCH(M1501,detail_table[#Headers],0)),detail_table[Project Type],"&lt;&gt;"&amp;"")</f>
        <v>0</v>
      </c>
    </row>
    <row r="1502" spans="13:14" x14ac:dyDescent="0.35">
      <c r="M1502" s="64" t="s">
        <v>1734</v>
      </c>
      <c r="N1502" s="61">
        <f>SUMIFS(INDEX(detail_table[],,MATCH(M1502,detail_table[#Headers],0)),detail_table[Project Type],"&lt;&gt;"&amp;"")</f>
        <v>0</v>
      </c>
    </row>
    <row r="1503" spans="13:14" x14ac:dyDescent="0.35">
      <c r="M1503" s="64" t="s">
        <v>1735</v>
      </c>
      <c r="N1503" s="61">
        <f>SUMIFS(INDEX(detail_table[],,MATCH(M1503,detail_table[#Headers],0)),detail_table[Project Type],"&lt;&gt;"&amp;"")</f>
        <v>0</v>
      </c>
    </row>
    <row r="1504" spans="13:14" x14ac:dyDescent="0.35">
      <c r="M1504" s="64" t="s">
        <v>1736</v>
      </c>
      <c r="N1504" s="61">
        <f>SUMIFS(INDEX(detail_table[],,MATCH(M1504,detail_table[#Headers],0)),detail_table[Project Type],"&lt;&gt;"&amp;"")</f>
        <v>0</v>
      </c>
    </row>
    <row r="1505" spans="13:14" x14ac:dyDescent="0.35">
      <c r="M1505" s="64" t="s">
        <v>1737</v>
      </c>
      <c r="N1505" s="61">
        <f>SUMIFS(INDEX(detail_table[],,MATCH(M1505,detail_table[#Headers],0)),detail_table[Project Type],"&lt;&gt;"&amp;"")</f>
        <v>0</v>
      </c>
    </row>
    <row r="1506" spans="13:14" x14ac:dyDescent="0.35">
      <c r="M1506" s="64" t="s">
        <v>1738</v>
      </c>
      <c r="N1506" s="61">
        <f>SUMIFS(INDEX(detail_table[],,MATCH(M1506,detail_table[#Headers],0)),detail_table[Project Type],"&lt;&gt;"&amp;"")</f>
        <v>0</v>
      </c>
    </row>
    <row r="1507" spans="13:14" x14ac:dyDescent="0.35">
      <c r="M1507" s="64" t="s">
        <v>1739</v>
      </c>
      <c r="N1507" s="61">
        <f>SUMIFS(INDEX(detail_table[],,MATCH(M1507,detail_table[#Headers],0)),detail_table[Project Type],"&lt;&gt;"&amp;"")</f>
        <v>0</v>
      </c>
    </row>
    <row r="1508" spans="13:14" x14ac:dyDescent="0.35">
      <c r="M1508" s="64" t="s">
        <v>1740</v>
      </c>
      <c r="N1508" s="61">
        <f>SUMIFS(INDEX(detail_table[],,MATCH(M1508,detail_table[#Headers],0)),detail_table[Project Type],"&lt;&gt;"&amp;"")</f>
        <v>0</v>
      </c>
    </row>
    <row r="1509" spans="13:14" x14ac:dyDescent="0.35">
      <c r="M1509" s="64" t="s">
        <v>1741</v>
      </c>
      <c r="N1509" s="61">
        <f>SUMIFS(INDEX(detail_table[],,MATCH(M1509,detail_table[#Headers],0)),detail_table[Project Type],"&lt;&gt;"&amp;"")</f>
        <v>0</v>
      </c>
    </row>
    <row r="1510" spans="13:14" x14ac:dyDescent="0.35">
      <c r="M1510" s="64" t="s">
        <v>1742</v>
      </c>
      <c r="N1510" s="61">
        <f>SUMIFS(INDEX(detail_table[],,MATCH(M1510,detail_table[#Headers],0)),detail_table[Project Type],"&lt;&gt;"&amp;"")</f>
        <v>0</v>
      </c>
    </row>
    <row r="1511" spans="13:14" x14ac:dyDescent="0.35">
      <c r="M1511" s="64" t="s">
        <v>1743</v>
      </c>
      <c r="N1511" s="61">
        <f>SUMIFS(INDEX(detail_table[],,MATCH(M1511,detail_table[#Headers],0)),detail_table[Project Type],"&lt;&gt;"&amp;"")</f>
        <v>0</v>
      </c>
    </row>
    <row r="1512" spans="13:14" x14ac:dyDescent="0.35">
      <c r="M1512" s="64" t="s">
        <v>1744</v>
      </c>
      <c r="N1512" s="61">
        <f>SUMIFS(INDEX(detail_table[],,MATCH(M1512,detail_table[#Headers],0)),detail_table[Project Type],"&lt;&gt;"&amp;"")</f>
        <v>0</v>
      </c>
    </row>
    <row r="1513" spans="13:14" x14ac:dyDescent="0.35">
      <c r="M1513" s="64" t="s">
        <v>1745</v>
      </c>
      <c r="N1513" s="61">
        <f>SUMIFS(INDEX(detail_table[],,MATCH(M1513,detail_table[#Headers],0)),detail_table[Project Type],"&lt;&gt;"&amp;"")</f>
        <v>0</v>
      </c>
    </row>
    <row r="1514" spans="13:14" x14ac:dyDescent="0.35">
      <c r="M1514" s="64" t="s">
        <v>1746</v>
      </c>
      <c r="N1514" s="61">
        <f>SUMIFS(INDEX(detail_table[],,MATCH(M1514,detail_table[#Headers],0)),detail_table[Project Type],"&lt;&gt;"&amp;"")</f>
        <v>0</v>
      </c>
    </row>
    <row r="1515" spans="13:14" x14ac:dyDescent="0.35">
      <c r="M1515" s="64" t="s">
        <v>1747</v>
      </c>
      <c r="N1515" s="61">
        <f>SUMIFS(INDEX(detail_table[],,MATCH(M1515,detail_table[#Headers],0)),detail_table[Project Type],"&lt;&gt;"&amp;"")</f>
        <v>0</v>
      </c>
    </row>
    <row r="1516" spans="13:14" x14ac:dyDescent="0.35">
      <c r="M1516" s="64" t="s">
        <v>1748</v>
      </c>
      <c r="N1516" s="61">
        <f>SUMIFS(INDEX(detail_table[],,MATCH(M1516,detail_table[#Headers],0)),detail_table[Project Type],"&lt;&gt;"&amp;"")</f>
        <v>0</v>
      </c>
    </row>
    <row r="1517" spans="13:14" x14ac:dyDescent="0.35">
      <c r="M1517" s="64" t="s">
        <v>1749</v>
      </c>
      <c r="N1517" s="61">
        <f>SUMIFS(INDEX(detail_table[],,MATCH(M1517,detail_table[#Headers],0)),detail_table[Project Type],"&lt;&gt;"&amp;"")</f>
        <v>0</v>
      </c>
    </row>
    <row r="1518" spans="13:14" x14ac:dyDescent="0.35">
      <c r="M1518" s="64" t="s">
        <v>1750</v>
      </c>
      <c r="N1518" s="61">
        <f>SUMIFS(INDEX(detail_table[],,MATCH(M1518,detail_table[#Headers],0)),detail_table[Project Type],"&lt;&gt;"&amp;"")</f>
        <v>0</v>
      </c>
    </row>
    <row r="1519" spans="13:14" x14ac:dyDescent="0.35">
      <c r="M1519" s="64" t="s">
        <v>1751</v>
      </c>
      <c r="N1519" s="61">
        <f>SUMIFS(INDEX(detail_table[],,MATCH(M1519,detail_table[#Headers],0)),detail_table[Project Type],"&lt;&gt;"&amp;"")</f>
        <v>0</v>
      </c>
    </row>
    <row r="1520" spans="13:14" x14ac:dyDescent="0.35">
      <c r="M1520" s="64" t="s">
        <v>1752</v>
      </c>
      <c r="N1520" s="61">
        <f>SUMIFS(INDEX(detail_table[],,MATCH(M1520,detail_table[#Headers],0)),detail_table[Project Type],"&lt;&gt;"&amp;"")</f>
        <v>0</v>
      </c>
    </row>
    <row r="1521" spans="13:14" x14ac:dyDescent="0.35">
      <c r="M1521" s="64" t="s">
        <v>1753</v>
      </c>
      <c r="N1521" s="61">
        <f>SUMIFS(INDEX(detail_table[],,MATCH(M1521,detail_table[#Headers],0)),detail_table[Project Type],"&lt;&gt;"&amp;"")</f>
        <v>0</v>
      </c>
    </row>
    <row r="1522" spans="13:14" x14ac:dyDescent="0.35">
      <c r="M1522" s="64" t="s">
        <v>1754</v>
      </c>
      <c r="N1522" s="61">
        <f>SUMIFS(INDEX(detail_table[],,MATCH(M1522,detail_table[#Headers],0)),detail_table[Project Type],"&lt;&gt;"&amp;"")</f>
        <v>0</v>
      </c>
    </row>
    <row r="1523" spans="13:14" x14ac:dyDescent="0.35">
      <c r="M1523" s="64" t="s">
        <v>1755</v>
      </c>
      <c r="N1523" s="61">
        <f>SUMIFS(INDEX(detail_table[],,MATCH(M1523,detail_table[#Headers],0)),detail_table[Project Type],"&lt;&gt;"&amp;"")</f>
        <v>0</v>
      </c>
    </row>
    <row r="1524" spans="13:14" x14ac:dyDescent="0.35">
      <c r="M1524" s="64" t="s">
        <v>1756</v>
      </c>
      <c r="N1524" s="61">
        <f>SUMIFS(INDEX(detail_table[],,MATCH(M1524,detail_table[#Headers],0)),detail_table[Project Type],"&lt;&gt;"&amp;"")</f>
        <v>0</v>
      </c>
    </row>
    <row r="1525" spans="13:14" x14ac:dyDescent="0.35">
      <c r="M1525" s="64" t="s">
        <v>1757</v>
      </c>
      <c r="N1525" s="61">
        <f>SUMIFS(INDEX(detail_table[],,MATCH(M1525,detail_table[#Headers],0)),detail_table[Project Type],"&lt;&gt;"&amp;"")</f>
        <v>0</v>
      </c>
    </row>
    <row r="1526" spans="13:14" x14ac:dyDescent="0.35">
      <c r="M1526" s="64" t="s">
        <v>1758</v>
      </c>
      <c r="N1526" s="61">
        <f>SUMIFS(INDEX(detail_table[],,MATCH(M1526,detail_table[#Headers],0)),detail_table[Project Type],"&lt;&gt;"&amp;"")</f>
        <v>0</v>
      </c>
    </row>
    <row r="1527" spans="13:14" x14ac:dyDescent="0.35">
      <c r="M1527" s="64" t="s">
        <v>1759</v>
      </c>
      <c r="N1527" s="61">
        <f>SUMIFS(INDEX(detail_table[],,MATCH(M1527,detail_table[#Headers],0)),detail_table[Project Type],"&lt;&gt;"&amp;"")</f>
        <v>0</v>
      </c>
    </row>
    <row r="1528" spans="13:14" x14ac:dyDescent="0.35">
      <c r="M1528" s="64" t="s">
        <v>1760</v>
      </c>
      <c r="N1528" s="61">
        <f>SUMIFS(INDEX(detail_table[],,MATCH(M1528,detail_table[#Headers],0)),detail_table[Project Type],"&lt;&gt;"&amp;"")</f>
        <v>0</v>
      </c>
    </row>
    <row r="1529" spans="13:14" x14ac:dyDescent="0.35">
      <c r="M1529" s="64" t="s">
        <v>1956</v>
      </c>
      <c r="N1529" s="61">
        <f>SUMIFS(INDEX(detail_table[],,MATCH(M1529,detail_table[#Headers],0)),detail_table[Project Type],"&lt;&gt;"&amp;"")</f>
        <v>0</v>
      </c>
    </row>
    <row r="1530" spans="13:14" x14ac:dyDescent="0.35">
      <c r="M1530" s="64" t="s">
        <v>1957</v>
      </c>
      <c r="N1530" s="61">
        <f>SUMIFS(INDEX(detail_table[],,MATCH(M1530,detail_table[#Headers],0)),detail_table[Project Type],"&lt;&gt;"&amp;"")</f>
        <v>0</v>
      </c>
    </row>
    <row r="1531" spans="13:14" x14ac:dyDescent="0.35">
      <c r="M1531" s="64" t="s">
        <v>1958</v>
      </c>
      <c r="N1531" s="61">
        <f>SUMIFS(INDEX(detail_table[],,MATCH(M1531,detail_table[#Headers],0)),detail_table[Project Type],"&lt;&gt;"&amp;"")</f>
        <v>0</v>
      </c>
    </row>
    <row r="1532" spans="13:14" x14ac:dyDescent="0.35">
      <c r="M1532" s="64" t="s">
        <v>1959</v>
      </c>
      <c r="N1532" s="61">
        <f>SUMIFS(INDEX(detail_table[],,MATCH(M1532,detail_table[#Headers],0)),detail_table[Project Type],"&lt;&gt;"&amp;"")</f>
        <v>0</v>
      </c>
    </row>
    <row r="1533" spans="13:14" x14ac:dyDescent="0.35">
      <c r="M1533" s="64" t="s">
        <v>1960</v>
      </c>
      <c r="N1533" s="61">
        <f>SUMIFS(INDEX(detail_table[],,MATCH(M1533,detail_table[#Headers],0)),detail_table[Project Type],"&lt;&gt;"&amp;"")</f>
        <v>0</v>
      </c>
    </row>
    <row r="1534" spans="13:14" x14ac:dyDescent="0.35">
      <c r="M1534" s="64" t="s">
        <v>1761</v>
      </c>
      <c r="N1534" s="61">
        <f>SUMIFS(INDEX(detail_table[],,MATCH(M1534,detail_table[#Headers],0)),detail_table[Project Type],"&lt;&gt;"&amp;"")</f>
        <v>0</v>
      </c>
    </row>
    <row r="1535" spans="13:14" x14ac:dyDescent="0.35">
      <c r="M1535" s="64" t="s">
        <v>1762</v>
      </c>
      <c r="N1535" s="61">
        <f>SUMIFS(INDEX(detail_table[],,MATCH(M1535,detail_table[#Headers],0)),detail_table[Project Type],"&lt;&gt;"&amp;"")</f>
        <v>0</v>
      </c>
    </row>
    <row r="1536" spans="13:14" x14ac:dyDescent="0.35">
      <c r="M1536" s="64" t="s">
        <v>1763</v>
      </c>
      <c r="N1536" s="61">
        <f>SUMIFS(INDEX(detail_table[],,MATCH(M1536,detail_table[#Headers],0)),detail_table[Project Type],"&lt;&gt;"&amp;"")</f>
        <v>0</v>
      </c>
    </row>
    <row r="1537" spans="13:14" x14ac:dyDescent="0.35">
      <c r="M1537" s="64" t="s">
        <v>1764</v>
      </c>
      <c r="N1537" s="61">
        <f>SUMIFS(INDEX(detail_table[],,MATCH(M1537,detail_table[#Headers],0)),detail_table[Project Type],"&lt;&gt;"&amp;"")</f>
        <v>0</v>
      </c>
    </row>
    <row r="1538" spans="13:14" x14ac:dyDescent="0.35">
      <c r="M1538" s="64" t="s">
        <v>1765</v>
      </c>
      <c r="N1538" s="61">
        <f>SUMIFS(INDEX(detail_table[],,MATCH(M1538,detail_table[#Headers],0)),detail_table[Project Type],"&lt;&gt;"&amp;"")</f>
        <v>0</v>
      </c>
    </row>
    <row r="1539" spans="13:14" x14ac:dyDescent="0.35">
      <c r="M1539" s="64" t="s">
        <v>1766</v>
      </c>
      <c r="N1539" s="61">
        <f>SUMIFS(INDEX(detail_table[],,MATCH(M1539,detail_table[#Headers],0)),detail_table[Project Type],"&lt;&gt;"&amp;"")</f>
        <v>0</v>
      </c>
    </row>
    <row r="1540" spans="13:14" x14ac:dyDescent="0.35">
      <c r="M1540" s="64" t="s">
        <v>1767</v>
      </c>
      <c r="N1540" s="61">
        <f>SUMIFS(INDEX(detail_table[],,MATCH(M1540,detail_table[#Headers],0)),detail_table[Project Type],"&lt;&gt;"&amp;"")</f>
        <v>0</v>
      </c>
    </row>
    <row r="1541" spans="13:14" x14ac:dyDescent="0.35">
      <c r="M1541" s="64" t="s">
        <v>1768</v>
      </c>
      <c r="N1541" s="61">
        <f>SUMIFS(INDEX(detail_table[],,MATCH(M1541,detail_table[#Headers],0)),detail_table[Project Type],"&lt;&gt;"&amp;"")</f>
        <v>0</v>
      </c>
    </row>
    <row r="1542" spans="13:14" x14ac:dyDescent="0.35">
      <c r="M1542" s="64" t="s">
        <v>1769</v>
      </c>
      <c r="N1542" s="61">
        <f>SUMIFS(INDEX(detail_table[],,MATCH(M1542,detail_table[#Headers],0)),detail_table[Project Type],"&lt;&gt;"&amp;"")</f>
        <v>0</v>
      </c>
    </row>
    <row r="1543" spans="13:14" x14ac:dyDescent="0.35">
      <c r="M1543" s="64" t="s">
        <v>1770</v>
      </c>
      <c r="N1543" s="61">
        <f>SUMIFS(INDEX(detail_table[],,MATCH(M1543,detail_table[#Headers],0)),detail_table[Project Type],"&lt;&gt;"&amp;"")</f>
        <v>0</v>
      </c>
    </row>
    <row r="1544" spans="13:14" x14ac:dyDescent="0.35">
      <c r="M1544" s="64" t="s">
        <v>1771</v>
      </c>
      <c r="N1544" s="61">
        <f>SUMIFS(INDEX(detail_table[],,MATCH(M1544,detail_table[#Headers],0)),detail_table[Project Type],"&lt;&gt;"&amp;"")</f>
        <v>0</v>
      </c>
    </row>
    <row r="1545" spans="13:14" x14ac:dyDescent="0.35">
      <c r="M1545" s="64" t="s">
        <v>1772</v>
      </c>
      <c r="N1545" s="61">
        <f>SUMIFS(INDEX(detail_table[],,MATCH(M1545,detail_table[#Headers],0)),detail_table[Project Type],"&lt;&gt;"&amp;"")</f>
        <v>0</v>
      </c>
    </row>
    <row r="1546" spans="13:14" x14ac:dyDescent="0.35">
      <c r="M1546" s="64" t="s">
        <v>1773</v>
      </c>
      <c r="N1546" s="61">
        <f>SUMIFS(INDEX(detail_table[],,MATCH(M1546,detail_table[#Headers],0)),detail_table[Project Type],"&lt;&gt;"&amp;"")</f>
        <v>0</v>
      </c>
    </row>
    <row r="1547" spans="13:14" x14ac:dyDescent="0.35">
      <c r="M1547" s="64" t="s">
        <v>1774</v>
      </c>
      <c r="N1547" s="61">
        <f>SUMIFS(INDEX(detail_table[],,MATCH(M1547,detail_table[#Headers],0)),detail_table[Project Type],"&lt;&gt;"&amp;"")</f>
        <v>0</v>
      </c>
    </row>
    <row r="1548" spans="13:14" x14ac:dyDescent="0.35">
      <c r="M1548" s="64" t="s">
        <v>1775</v>
      </c>
      <c r="N1548" s="61">
        <f>SUMIFS(INDEX(detail_table[],,MATCH(M1548,detail_table[#Headers],0)),detail_table[Project Type],"&lt;&gt;"&amp;"")</f>
        <v>0</v>
      </c>
    </row>
    <row r="1549" spans="13:14" x14ac:dyDescent="0.35">
      <c r="M1549" s="64" t="s">
        <v>1776</v>
      </c>
      <c r="N1549" s="61">
        <f>SUMIFS(INDEX(detail_table[],,MATCH(M1549,detail_table[#Headers],0)),detail_table[Project Type],"&lt;&gt;"&amp;"")</f>
        <v>0</v>
      </c>
    </row>
    <row r="1550" spans="13:14" x14ac:dyDescent="0.35">
      <c r="M1550" s="64" t="s">
        <v>1777</v>
      </c>
      <c r="N1550" s="61">
        <f>SUMIFS(INDEX(detail_table[],,MATCH(M1550,detail_table[#Headers],0)),detail_table[Project Type],"&lt;&gt;"&amp;"")</f>
        <v>0</v>
      </c>
    </row>
    <row r="1551" spans="13:14" x14ac:dyDescent="0.35">
      <c r="M1551" s="64" t="s">
        <v>1778</v>
      </c>
      <c r="N1551" s="61">
        <f>SUMIFS(INDEX(detail_table[],,MATCH(M1551,detail_table[#Headers],0)),detail_table[Project Type],"&lt;&gt;"&amp;"")</f>
        <v>0</v>
      </c>
    </row>
    <row r="1552" spans="13:14" x14ac:dyDescent="0.35">
      <c r="M1552" s="64" t="s">
        <v>1779</v>
      </c>
      <c r="N1552" s="61">
        <f>SUMIFS(INDEX(detail_table[],,MATCH(M1552,detail_table[#Headers],0)),detail_table[Project Type],"&lt;&gt;"&amp;"")</f>
        <v>0</v>
      </c>
    </row>
    <row r="1553" spans="13:14" x14ac:dyDescent="0.35">
      <c r="M1553" s="64" t="s">
        <v>1780</v>
      </c>
      <c r="N1553" s="61">
        <f>SUMIFS(INDEX(detail_table[],,MATCH(M1553,detail_table[#Headers],0)),detail_table[Project Type],"&lt;&gt;"&amp;"")</f>
        <v>0</v>
      </c>
    </row>
    <row r="1554" spans="13:14" x14ac:dyDescent="0.35">
      <c r="M1554" s="64" t="s">
        <v>1781</v>
      </c>
      <c r="N1554" s="61">
        <f>SUMIFS(INDEX(detail_table[],,MATCH(M1554,detail_table[#Headers],0)),detail_table[Project Type],"&lt;&gt;"&amp;"")</f>
        <v>0</v>
      </c>
    </row>
    <row r="1555" spans="13:14" x14ac:dyDescent="0.35">
      <c r="M1555" s="64" t="s">
        <v>1782</v>
      </c>
      <c r="N1555" s="61">
        <f>SUMIFS(INDEX(detail_table[],,MATCH(M1555,detail_table[#Headers],0)),detail_table[Project Type],"&lt;&gt;"&amp;"")</f>
        <v>0</v>
      </c>
    </row>
    <row r="1556" spans="13:14" x14ac:dyDescent="0.35">
      <c r="M1556" s="64" t="s">
        <v>1783</v>
      </c>
      <c r="N1556" s="61">
        <f>SUMIFS(INDEX(detail_table[],,MATCH(M1556,detail_table[#Headers],0)),detail_table[Project Type],"&lt;&gt;"&amp;"")</f>
        <v>0</v>
      </c>
    </row>
    <row r="1557" spans="13:14" x14ac:dyDescent="0.35">
      <c r="M1557" s="64" t="s">
        <v>1784</v>
      </c>
      <c r="N1557" s="61">
        <f>SUMIFS(INDEX(detail_table[],,MATCH(M1557,detail_table[#Headers],0)),detail_table[Project Type],"&lt;&gt;"&amp;"")</f>
        <v>0</v>
      </c>
    </row>
    <row r="1558" spans="13:14" x14ac:dyDescent="0.35">
      <c r="M1558" s="64" t="s">
        <v>1785</v>
      </c>
      <c r="N1558" s="61">
        <f>SUMIFS(INDEX(detail_table[],,MATCH(M1558,detail_table[#Headers],0)),detail_table[Project Type],"&lt;&gt;"&amp;"")</f>
        <v>0</v>
      </c>
    </row>
    <row r="1559" spans="13:14" x14ac:dyDescent="0.35">
      <c r="M1559" s="64" t="s">
        <v>1786</v>
      </c>
      <c r="N1559" s="61">
        <f>SUMIFS(INDEX(detail_table[],,MATCH(M1559,detail_table[#Headers],0)),detail_table[Project Type],"&lt;&gt;"&amp;"")</f>
        <v>0</v>
      </c>
    </row>
    <row r="1560" spans="13:14" x14ac:dyDescent="0.35">
      <c r="M1560" s="64" t="s">
        <v>1787</v>
      </c>
      <c r="N1560" s="61">
        <f>SUMIFS(INDEX(detail_table[],,MATCH(M1560,detail_table[#Headers],0)),detail_table[Project Type],"&lt;&gt;"&amp;"")</f>
        <v>0</v>
      </c>
    </row>
    <row r="1561" spans="13:14" x14ac:dyDescent="0.35">
      <c r="M1561" s="64" t="s">
        <v>1788</v>
      </c>
      <c r="N1561" s="61">
        <f>SUMIFS(INDEX(detail_table[],,MATCH(M1561,detail_table[#Headers],0)),detail_table[Project Type],"&lt;&gt;"&amp;"")</f>
        <v>0</v>
      </c>
    </row>
    <row r="1562" spans="13:14" x14ac:dyDescent="0.35">
      <c r="M1562" s="64" t="s">
        <v>1789</v>
      </c>
      <c r="N1562" s="61">
        <f>SUMIFS(INDEX(detail_table[],,MATCH(M1562,detail_table[#Headers],0)),detail_table[Project Type],"&lt;&gt;"&amp;"")</f>
        <v>0</v>
      </c>
    </row>
    <row r="1563" spans="13:14" x14ac:dyDescent="0.35">
      <c r="M1563" s="64" t="s">
        <v>1790</v>
      </c>
      <c r="N1563" s="61">
        <f>SUMIFS(INDEX(detail_table[],,MATCH(M1563,detail_table[#Headers],0)),detail_table[Project Type],"&lt;&gt;"&amp;"")</f>
        <v>0</v>
      </c>
    </row>
    <row r="1564" spans="13:14" x14ac:dyDescent="0.35">
      <c r="M1564" s="64" t="s">
        <v>1791</v>
      </c>
      <c r="N1564" s="61">
        <f>SUMIFS(INDEX(detail_table[],,MATCH(M1564,detail_table[#Headers],0)),detail_table[Project Type],"&lt;&gt;"&amp;"")</f>
        <v>0</v>
      </c>
    </row>
    <row r="1565" spans="13:14" x14ac:dyDescent="0.35">
      <c r="M1565" s="64" t="s">
        <v>1792</v>
      </c>
      <c r="N1565" s="61">
        <f>SUMIFS(INDEX(detail_table[],,MATCH(M1565,detail_table[#Headers],0)),detail_table[Project Type],"&lt;&gt;"&amp;"")</f>
        <v>0</v>
      </c>
    </row>
    <row r="1566" spans="13:14" x14ac:dyDescent="0.35">
      <c r="M1566" s="64" t="s">
        <v>1793</v>
      </c>
      <c r="N1566" s="61">
        <f>SUMIFS(INDEX(detail_table[],,MATCH(M1566,detail_table[#Headers],0)),detail_table[Project Type],"&lt;&gt;"&amp;"")</f>
        <v>0</v>
      </c>
    </row>
    <row r="1567" spans="13:14" x14ac:dyDescent="0.35">
      <c r="M1567" s="64" t="s">
        <v>1794</v>
      </c>
      <c r="N1567" s="61">
        <f>SUMIFS(INDEX(detail_table[],,MATCH(M1567,detail_table[#Headers],0)),detail_table[Project Type],"&lt;&gt;"&amp;"")</f>
        <v>0</v>
      </c>
    </row>
    <row r="1568" spans="13:14" x14ac:dyDescent="0.35">
      <c r="M1568" s="64" t="s">
        <v>1795</v>
      </c>
      <c r="N1568" s="61">
        <f>SUMIFS(INDEX(detail_table[],,MATCH(M1568,detail_table[#Headers],0)),detail_table[Project Type],"&lt;&gt;"&amp;"")</f>
        <v>0</v>
      </c>
    </row>
    <row r="1569" spans="13:14" x14ac:dyDescent="0.35">
      <c r="M1569" s="64" t="s">
        <v>1796</v>
      </c>
      <c r="N1569" s="61">
        <f>SUMIFS(INDEX(detail_table[],,MATCH(M1569,detail_table[#Headers],0)),detail_table[Project Type],"&lt;&gt;"&amp;"")</f>
        <v>0</v>
      </c>
    </row>
    <row r="1570" spans="13:14" x14ac:dyDescent="0.35">
      <c r="M1570" s="64" t="s">
        <v>1797</v>
      </c>
      <c r="N1570" s="61">
        <f>SUMIFS(INDEX(detail_table[],,MATCH(M1570,detail_table[#Headers],0)),detail_table[Project Type],"&lt;&gt;"&amp;"")</f>
        <v>0</v>
      </c>
    </row>
    <row r="1571" spans="13:14" x14ac:dyDescent="0.35">
      <c r="M1571" s="64" t="s">
        <v>1798</v>
      </c>
      <c r="N1571" s="61">
        <f>SUMIFS(INDEX(detail_table[],,MATCH(M1571,detail_table[#Headers],0)),detail_table[Project Type],"&lt;&gt;"&amp;"")</f>
        <v>0</v>
      </c>
    </row>
    <row r="1572" spans="13:14" x14ac:dyDescent="0.35">
      <c r="M1572" s="64" t="s">
        <v>1799</v>
      </c>
      <c r="N1572" s="61">
        <f>SUMIFS(INDEX(detail_table[],,MATCH(M1572,detail_table[#Headers],0)),detail_table[Project Type],"&lt;&gt;"&amp;"")</f>
        <v>0</v>
      </c>
    </row>
    <row r="1573" spans="13:14" x14ac:dyDescent="0.35">
      <c r="M1573" s="64" t="s">
        <v>1800</v>
      </c>
      <c r="N1573" s="61">
        <f>SUMIFS(INDEX(detail_table[],,MATCH(M1573,detail_table[#Headers],0)),detail_table[Project Type],"&lt;&gt;"&amp;"")</f>
        <v>0</v>
      </c>
    </row>
    <row r="1574" spans="13:14" x14ac:dyDescent="0.35">
      <c r="M1574" s="64" t="s">
        <v>1801</v>
      </c>
      <c r="N1574" s="61">
        <f>SUMIFS(INDEX(detail_table[],,MATCH(M1574,detail_table[#Headers],0)),detail_table[Project Type],"&lt;&gt;"&amp;"")</f>
        <v>0</v>
      </c>
    </row>
    <row r="1575" spans="13:14" x14ac:dyDescent="0.35">
      <c r="M1575" s="64" t="s">
        <v>1802</v>
      </c>
      <c r="N1575" s="61">
        <f>SUMIFS(INDEX(detail_table[],,MATCH(M1575,detail_table[#Headers],0)),detail_table[Project Type],"&lt;&gt;"&amp;"")</f>
        <v>0</v>
      </c>
    </row>
    <row r="1576" spans="13:14" x14ac:dyDescent="0.35">
      <c r="M1576" s="64" t="s">
        <v>1803</v>
      </c>
      <c r="N1576" s="61">
        <f>SUMIFS(INDEX(detail_table[],,MATCH(M1576,detail_table[#Headers],0)),detail_table[Project Type],"&lt;&gt;"&amp;"")</f>
        <v>0</v>
      </c>
    </row>
    <row r="1577" spans="13:14" x14ac:dyDescent="0.35">
      <c r="M1577" s="64" t="s">
        <v>1804</v>
      </c>
      <c r="N1577" s="61">
        <f>SUMIFS(INDEX(detail_table[],,MATCH(M1577,detail_table[#Headers],0)),detail_table[Project Type],"&lt;&gt;"&amp;"")</f>
        <v>0</v>
      </c>
    </row>
    <row r="1578" spans="13:14" x14ac:dyDescent="0.35">
      <c r="M1578" s="64" t="s">
        <v>1805</v>
      </c>
      <c r="N1578" s="61">
        <f>SUMIFS(INDEX(detail_table[],,MATCH(M1578,detail_table[#Headers],0)),detail_table[Project Type],"&lt;&gt;"&amp;"")</f>
        <v>0</v>
      </c>
    </row>
    <row r="1579" spans="13:14" x14ac:dyDescent="0.35">
      <c r="M1579" s="64" t="s">
        <v>1806</v>
      </c>
      <c r="N1579" s="61">
        <f>SUMIFS(INDEX(detail_table[],,MATCH(M1579,detail_table[#Headers],0)),detail_table[Project Type],"&lt;&gt;"&amp;"")</f>
        <v>0</v>
      </c>
    </row>
    <row r="1580" spans="13:14" x14ac:dyDescent="0.35">
      <c r="M1580" s="64" t="s">
        <v>1807</v>
      </c>
      <c r="N1580" s="61">
        <f>SUMIFS(INDEX(detail_table[],,MATCH(M1580,detail_table[#Headers],0)),detail_table[Project Type],"&lt;&gt;"&amp;"")</f>
        <v>0</v>
      </c>
    </row>
    <row r="1581" spans="13:14" x14ac:dyDescent="0.35">
      <c r="M1581" s="64" t="s">
        <v>1808</v>
      </c>
      <c r="N1581" s="61">
        <f>SUMIFS(INDEX(detail_table[],,MATCH(M1581,detail_table[#Headers],0)),detail_table[Project Type],"&lt;&gt;"&amp;"")</f>
        <v>0</v>
      </c>
    </row>
    <row r="1582" spans="13:14" x14ac:dyDescent="0.35">
      <c r="M1582" s="64" t="s">
        <v>1809</v>
      </c>
      <c r="N1582" s="61">
        <f>SUMIFS(INDEX(detail_table[],,MATCH(M1582,detail_table[#Headers],0)),detail_table[Project Type],"&lt;&gt;"&amp;"")</f>
        <v>0</v>
      </c>
    </row>
    <row r="1583" spans="13:14" x14ac:dyDescent="0.35">
      <c r="M1583" s="64" t="s">
        <v>1810</v>
      </c>
      <c r="N1583" s="61">
        <f>SUMIFS(INDEX(detail_table[],,MATCH(M1583,detail_table[#Headers],0)),detail_table[Project Type],"&lt;&gt;"&amp;"")</f>
        <v>0</v>
      </c>
    </row>
    <row r="1584" spans="13:14" x14ac:dyDescent="0.35">
      <c r="M1584" s="64" t="s">
        <v>1811</v>
      </c>
      <c r="N1584" s="61">
        <f>SUMIFS(INDEX(detail_table[],,MATCH(M1584,detail_table[#Headers],0)),detail_table[Project Type],"&lt;&gt;"&amp;"")</f>
        <v>0</v>
      </c>
    </row>
    <row r="1585" spans="13:14" x14ac:dyDescent="0.35">
      <c r="M1585" s="64" t="s">
        <v>1812</v>
      </c>
      <c r="N1585" s="61">
        <f>SUMIFS(INDEX(detail_table[],,MATCH(M1585,detail_table[#Headers],0)),detail_table[Project Type],"&lt;&gt;"&amp;"")</f>
        <v>0</v>
      </c>
    </row>
    <row r="1586" spans="13:14" x14ac:dyDescent="0.35">
      <c r="M1586" s="64" t="s">
        <v>1813</v>
      </c>
      <c r="N1586" s="61">
        <f>SUMIFS(INDEX(detail_table[],,MATCH(M1586,detail_table[#Headers],0)),detail_table[Project Type],"&lt;&gt;"&amp;"")</f>
        <v>0</v>
      </c>
    </row>
    <row r="1587" spans="13:14" x14ac:dyDescent="0.35">
      <c r="M1587" s="64" t="s">
        <v>1814</v>
      </c>
      <c r="N1587" s="61">
        <f>SUMIFS(INDEX(detail_table[],,MATCH(M1587,detail_table[#Headers],0)),detail_table[Project Type],"&lt;&gt;"&amp;"")</f>
        <v>0</v>
      </c>
    </row>
    <row r="1588" spans="13:14" x14ac:dyDescent="0.35">
      <c r="M1588" s="64" t="s">
        <v>1815</v>
      </c>
      <c r="N1588" s="61">
        <f>SUMIFS(INDEX(detail_table[],,MATCH(M1588,detail_table[#Headers],0)),detail_table[Project Type],"&lt;&gt;"&amp;"")</f>
        <v>0</v>
      </c>
    </row>
    <row r="1589" spans="13:14" x14ac:dyDescent="0.35">
      <c r="M1589" s="64" t="s">
        <v>1816</v>
      </c>
      <c r="N1589" s="61">
        <f>SUMIFS(INDEX(detail_table[],,MATCH(M1589,detail_table[#Headers],0)),detail_table[Project Type],"&lt;&gt;"&amp;"")</f>
        <v>0</v>
      </c>
    </row>
    <row r="1590" spans="13:14" x14ac:dyDescent="0.35">
      <c r="M1590" s="64" t="s">
        <v>1817</v>
      </c>
      <c r="N1590" s="61">
        <f>SUMIFS(INDEX(detail_table[],,MATCH(M1590,detail_table[#Headers],0)),detail_table[Project Type],"&lt;&gt;"&amp;"")</f>
        <v>0</v>
      </c>
    </row>
    <row r="1591" spans="13:14" x14ac:dyDescent="0.35">
      <c r="M1591" s="64" t="s">
        <v>1818</v>
      </c>
      <c r="N1591" s="61">
        <f>SUMIFS(INDEX(detail_table[],,MATCH(M1591,detail_table[#Headers],0)),detail_table[Project Type],"&lt;&gt;"&amp;"")</f>
        <v>0</v>
      </c>
    </row>
    <row r="1592" spans="13:14" x14ac:dyDescent="0.35">
      <c r="M1592" s="64" t="s">
        <v>1819</v>
      </c>
      <c r="N1592" s="61">
        <f>SUMIFS(INDEX(detail_table[],,MATCH(M1592,detail_table[#Headers],0)),detail_table[Project Type],"&lt;&gt;"&amp;"")</f>
        <v>0</v>
      </c>
    </row>
    <row r="1593" spans="13:14" x14ac:dyDescent="0.35">
      <c r="M1593" s="64" t="s">
        <v>1820</v>
      </c>
      <c r="N1593" s="61">
        <f>SUMIFS(INDEX(detail_table[],,MATCH(M1593,detail_table[#Headers],0)),detail_table[Project Type],"&lt;&gt;"&amp;"")</f>
        <v>0</v>
      </c>
    </row>
    <row r="1594" spans="13:14" x14ac:dyDescent="0.35">
      <c r="M1594" s="64" t="s">
        <v>1821</v>
      </c>
      <c r="N1594" s="61">
        <f>SUMIFS(INDEX(detail_table[],,MATCH(M1594,detail_table[#Headers],0)),detail_table[Project Type],"&lt;&gt;"&amp;"")</f>
        <v>0</v>
      </c>
    </row>
    <row r="1595" spans="13:14" x14ac:dyDescent="0.35">
      <c r="M1595" s="64" t="s">
        <v>1822</v>
      </c>
      <c r="N1595" s="61">
        <f>SUMIFS(INDEX(detail_table[],,MATCH(M1595,detail_table[#Headers],0)),detail_table[Project Type],"&lt;&gt;"&amp;"")</f>
        <v>0</v>
      </c>
    </row>
    <row r="1596" spans="13:14" x14ac:dyDescent="0.35">
      <c r="M1596" s="64" t="s">
        <v>1823</v>
      </c>
      <c r="N1596" s="61">
        <f>SUMIFS(INDEX(detail_table[],,MATCH(M1596,detail_table[#Headers],0)),detail_table[Project Type],"&lt;&gt;"&amp;"")</f>
        <v>0</v>
      </c>
    </row>
    <row r="1597" spans="13:14" x14ac:dyDescent="0.35">
      <c r="M1597" s="64" t="s">
        <v>1824</v>
      </c>
      <c r="N1597" s="61">
        <f>SUMIFS(INDEX(detail_table[],,MATCH(M1597,detail_table[#Headers],0)),detail_table[Project Type],"&lt;&gt;"&amp;"")</f>
        <v>0</v>
      </c>
    </row>
    <row r="1598" spans="13:14" x14ac:dyDescent="0.35">
      <c r="M1598" s="64" t="s">
        <v>1825</v>
      </c>
      <c r="N1598" s="61">
        <f>SUMIFS(INDEX(detail_table[],,MATCH(M1598,detail_table[#Headers],0)),detail_table[Project Type],"&lt;&gt;"&amp;"")</f>
        <v>0</v>
      </c>
    </row>
    <row r="1599" spans="13:14" x14ac:dyDescent="0.35">
      <c r="M1599" s="64" t="s">
        <v>1826</v>
      </c>
      <c r="N1599" s="61">
        <f>SUMIFS(INDEX(detail_table[],,MATCH(M1599,detail_table[#Headers],0)),detail_table[Project Type],"&lt;&gt;"&amp;"")</f>
        <v>0</v>
      </c>
    </row>
    <row r="1600" spans="13:14" x14ac:dyDescent="0.35">
      <c r="M1600" s="64" t="s">
        <v>1827</v>
      </c>
      <c r="N1600" s="61">
        <f>SUMIFS(INDEX(detail_table[],,MATCH(M1600,detail_table[#Headers],0)),detail_table[Project Type],"&lt;&gt;"&amp;"")</f>
        <v>0</v>
      </c>
    </row>
    <row r="1601" spans="13:14" x14ac:dyDescent="0.35">
      <c r="M1601" s="64" t="s">
        <v>1828</v>
      </c>
      <c r="N1601" s="61">
        <f>SUMIFS(INDEX(detail_table[],,MATCH(M1601,detail_table[#Headers],0)),detail_table[Project Type],"&lt;&gt;"&amp;"")</f>
        <v>0</v>
      </c>
    </row>
    <row r="1602" spans="13:14" x14ac:dyDescent="0.35">
      <c r="M1602" s="64" t="s">
        <v>1829</v>
      </c>
      <c r="N1602" s="61">
        <f>SUMIFS(INDEX(detail_table[],,MATCH(M1602,detail_table[#Headers],0)),detail_table[Project Type],"&lt;&gt;"&amp;"")</f>
        <v>0</v>
      </c>
    </row>
    <row r="1603" spans="13:14" x14ac:dyDescent="0.35">
      <c r="M1603" s="64" t="s">
        <v>1830</v>
      </c>
      <c r="N1603" s="61">
        <f>SUMIFS(INDEX(detail_table[],,MATCH(M1603,detail_table[#Headers],0)),detail_table[Project Type],"&lt;&gt;"&amp;"")</f>
        <v>0</v>
      </c>
    </row>
    <row r="1604" spans="13:14" x14ac:dyDescent="0.35">
      <c r="M1604" s="64" t="s">
        <v>1831</v>
      </c>
      <c r="N1604" s="61">
        <f>SUMIFS(INDEX(detail_table[],,MATCH(M1604,detail_table[#Headers],0)),detail_table[Project Type],"&lt;&gt;"&amp;"")</f>
        <v>0</v>
      </c>
    </row>
    <row r="1605" spans="13:14" x14ac:dyDescent="0.35">
      <c r="M1605" s="64" t="s">
        <v>1832</v>
      </c>
      <c r="N1605" s="61">
        <f>SUMIFS(INDEX(detail_table[],,MATCH(M1605,detail_table[#Headers],0)),detail_table[Project Type],"&lt;&gt;"&amp;"")</f>
        <v>0</v>
      </c>
    </row>
    <row r="1606" spans="13:14" x14ac:dyDescent="0.35">
      <c r="M1606" s="64" t="s">
        <v>1833</v>
      </c>
      <c r="N1606" s="61">
        <f>SUMIFS(INDEX(detail_table[],,MATCH(M1606,detail_table[#Headers],0)),detail_table[Project Type],"&lt;&gt;"&amp;"")</f>
        <v>0</v>
      </c>
    </row>
    <row r="1607" spans="13:14" x14ac:dyDescent="0.35">
      <c r="M1607" s="64" t="s">
        <v>1834</v>
      </c>
      <c r="N1607" s="61">
        <f>SUMIFS(INDEX(detail_table[],,MATCH(M1607,detail_table[#Headers],0)),detail_table[Project Type],"&lt;&gt;"&amp;"")</f>
        <v>0</v>
      </c>
    </row>
    <row r="1608" spans="13:14" x14ac:dyDescent="0.35">
      <c r="M1608" s="64" t="s">
        <v>1835</v>
      </c>
      <c r="N1608" s="61">
        <f>SUMIFS(INDEX(detail_table[],,MATCH(M1608,detail_table[#Headers],0)),detail_table[Project Type],"&lt;&gt;"&amp;"")</f>
        <v>0</v>
      </c>
    </row>
    <row r="1609" spans="13:14" x14ac:dyDescent="0.35">
      <c r="M1609" s="64" t="s">
        <v>1836</v>
      </c>
      <c r="N1609" s="61">
        <f>SUMIFS(INDEX(detail_table[],,MATCH(M1609,detail_table[#Headers],0)),detail_table[Project Type],"&lt;&gt;"&amp;"")</f>
        <v>0</v>
      </c>
    </row>
    <row r="1610" spans="13:14" x14ac:dyDescent="0.35">
      <c r="M1610" s="64" t="s">
        <v>1837</v>
      </c>
      <c r="N1610" s="61">
        <f>SUMIFS(INDEX(detail_table[],,MATCH(M1610,detail_table[#Headers],0)),detail_table[Project Type],"&lt;&gt;"&amp;"")</f>
        <v>0</v>
      </c>
    </row>
    <row r="1611" spans="13:14" x14ac:dyDescent="0.35">
      <c r="M1611" s="64" t="s">
        <v>1838</v>
      </c>
      <c r="N1611" s="61">
        <f>SUMIFS(INDEX(detail_table[],,MATCH(M1611,detail_table[#Headers],0)),detail_table[Project Type],"&lt;&gt;"&amp;"")</f>
        <v>0</v>
      </c>
    </row>
    <row r="1612" spans="13:14" x14ac:dyDescent="0.35">
      <c r="M1612" s="64" t="s">
        <v>1839</v>
      </c>
      <c r="N1612" s="61">
        <f>SUMIFS(INDEX(detail_table[],,MATCH(M1612,detail_table[#Headers],0)),detail_table[Project Type],"&lt;&gt;"&amp;"")</f>
        <v>0</v>
      </c>
    </row>
    <row r="1613" spans="13:14" x14ac:dyDescent="0.35">
      <c r="M1613" s="64" t="s">
        <v>1840</v>
      </c>
      <c r="N1613" s="61">
        <f>SUMIFS(INDEX(detail_table[],,MATCH(M1613,detail_table[#Headers],0)),detail_table[Project Type],"&lt;&gt;"&amp;"")</f>
        <v>0</v>
      </c>
    </row>
    <row r="1614" spans="13:14" x14ac:dyDescent="0.35">
      <c r="M1614" s="64" t="s">
        <v>1841</v>
      </c>
      <c r="N1614" s="61">
        <f>SUMIFS(INDEX(detail_table[],,MATCH(M1614,detail_table[#Headers],0)),detail_table[Project Type],"&lt;&gt;"&amp;"")</f>
        <v>0</v>
      </c>
    </row>
    <row r="1615" spans="13:14" x14ac:dyDescent="0.35">
      <c r="M1615" s="64" t="s">
        <v>1842</v>
      </c>
      <c r="N1615" s="61">
        <f>SUMIFS(INDEX(detail_table[],,MATCH(M1615,detail_table[#Headers],0)),detail_table[Project Type],"&lt;&gt;"&amp;"")</f>
        <v>0</v>
      </c>
    </row>
    <row r="1616" spans="13:14" x14ac:dyDescent="0.35">
      <c r="M1616" s="64" t="s">
        <v>1843</v>
      </c>
      <c r="N1616" s="61">
        <f>SUMIFS(INDEX(detail_table[],,MATCH(M1616,detail_table[#Headers],0)),detail_table[Project Type],"&lt;&gt;"&amp;"")</f>
        <v>0</v>
      </c>
    </row>
    <row r="1617" spans="13:14" x14ac:dyDescent="0.35">
      <c r="M1617" s="64" t="s">
        <v>1844</v>
      </c>
      <c r="N1617" s="61">
        <f>SUMIFS(INDEX(detail_table[],,MATCH(M1617,detail_table[#Headers],0)),detail_table[Project Type],"&lt;&gt;"&amp;"")</f>
        <v>0</v>
      </c>
    </row>
    <row r="1618" spans="13:14" x14ac:dyDescent="0.35">
      <c r="M1618" s="64" t="s">
        <v>1845</v>
      </c>
      <c r="N1618" s="61">
        <f>SUMIFS(INDEX(detail_table[],,MATCH(M1618,detail_table[#Headers],0)),detail_table[Project Type],"&lt;&gt;"&amp;"")</f>
        <v>0</v>
      </c>
    </row>
    <row r="1619" spans="13:14" x14ac:dyDescent="0.35">
      <c r="M1619" s="64" t="s">
        <v>1846</v>
      </c>
      <c r="N1619" s="61">
        <f>SUMIFS(INDEX(detail_table[],,MATCH(M1619,detail_table[#Headers],0)),detail_table[Project Type],"&lt;&gt;"&amp;"")</f>
        <v>0</v>
      </c>
    </row>
    <row r="1620" spans="13:14" x14ac:dyDescent="0.35">
      <c r="M1620" s="64" t="s">
        <v>1847</v>
      </c>
      <c r="N1620" s="61">
        <f>SUMIFS(INDEX(detail_table[],,MATCH(M1620,detail_table[#Headers],0)),detail_table[Project Type],"&lt;&gt;"&amp;"")</f>
        <v>0</v>
      </c>
    </row>
    <row r="1621" spans="13:14" x14ac:dyDescent="0.35">
      <c r="M1621" s="64" t="s">
        <v>1848</v>
      </c>
      <c r="N1621" s="61">
        <f>SUMIFS(INDEX(detail_table[],,MATCH(M1621,detail_table[#Headers],0)),detail_table[Project Type],"&lt;&gt;"&amp;"")</f>
        <v>0</v>
      </c>
    </row>
    <row r="1622" spans="13:14" x14ac:dyDescent="0.35">
      <c r="M1622" s="64" t="s">
        <v>1849</v>
      </c>
      <c r="N1622" s="61">
        <f>SUMIFS(INDEX(detail_table[],,MATCH(M1622,detail_table[#Headers],0)),detail_table[Project Type],"&lt;&gt;"&amp;"")</f>
        <v>0</v>
      </c>
    </row>
    <row r="1623" spans="13:14" x14ac:dyDescent="0.35">
      <c r="M1623" s="64" t="s">
        <v>1850</v>
      </c>
      <c r="N1623" s="61">
        <f>SUMIFS(INDEX(detail_table[],,MATCH(M1623,detail_table[#Headers],0)),detail_table[Project Type],"&lt;&gt;"&amp;"")</f>
        <v>0</v>
      </c>
    </row>
    <row r="1624" spans="13:14" x14ac:dyDescent="0.35">
      <c r="M1624" s="64" t="s">
        <v>1851</v>
      </c>
      <c r="N1624" s="61">
        <f>SUMIFS(INDEX(detail_table[],,MATCH(M1624,detail_table[#Headers],0)),detail_table[Project Type],"&lt;&gt;"&amp;"")</f>
        <v>0</v>
      </c>
    </row>
    <row r="1625" spans="13:14" x14ac:dyDescent="0.35">
      <c r="M1625" s="64" t="s">
        <v>1852</v>
      </c>
      <c r="N1625" s="61">
        <f>SUMIFS(INDEX(detail_table[],,MATCH(M1625,detail_table[#Headers],0)),detail_table[Project Type],"&lt;&gt;"&amp;"")</f>
        <v>0</v>
      </c>
    </row>
    <row r="1626" spans="13:14" x14ac:dyDescent="0.35">
      <c r="M1626" s="64" t="s">
        <v>1853</v>
      </c>
      <c r="N1626" s="61">
        <f>SUMIFS(INDEX(detail_table[],,MATCH(M1626,detail_table[#Headers],0)),detail_table[Project Type],"&lt;&gt;"&amp;"")</f>
        <v>0</v>
      </c>
    </row>
    <row r="1627" spans="13:14" x14ac:dyDescent="0.35">
      <c r="M1627" s="64" t="s">
        <v>1854</v>
      </c>
      <c r="N1627" s="61">
        <f>SUMIFS(INDEX(detail_table[],,MATCH(M1627,detail_table[#Headers],0)),detail_table[Project Type],"&lt;&gt;"&amp;"")</f>
        <v>0</v>
      </c>
    </row>
    <row r="1628" spans="13:14" x14ac:dyDescent="0.35">
      <c r="M1628" s="64" t="s">
        <v>1855</v>
      </c>
      <c r="N1628" s="61">
        <f>SUMIFS(INDEX(detail_table[],,MATCH(M1628,detail_table[#Headers],0)),detail_table[Project Type],"&lt;&gt;"&amp;"")</f>
        <v>0</v>
      </c>
    </row>
    <row r="1629" spans="13:14" x14ac:dyDescent="0.35">
      <c r="M1629" s="64" t="s">
        <v>1856</v>
      </c>
      <c r="N1629" s="61">
        <f>SUMIFS(INDEX(detail_table[],,MATCH(M1629,detail_table[#Headers],0)),detail_table[Project Type],"&lt;&gt;"&amp;"")</f>
        <v>0</v>
      </c>
    </row>
    <row r="1630" spans="13:14" x14ac:dyDescent="0.35">
      <c r="M1630" s="64" t="s">
        <v>1857</v>
      </c>
      <c r="N1630" s="61">
        <f>SUMIFS(INDEX(detail_table[],,MATCH(M1630,detail_table[#Headers],0)),detail_table[Project Type],"&lt;&gt;"&amp;"")</f>
        <v>0</v>
      </c>
    </row>
    <row r="1631" spans="13:14" x14ac:dyDescent="0.35">
      <c r="M1631" s="64" t="s">
        <v>1858</v>
      </c>
      <c r="N1631" s="61">
        <f>SUMIFS(INDEX(detail_table[],,MATCH(M1631,detail_table[#Headers],0)),detail_table[Project Type],"&lt;&gt;"&amp;"")</f>
        <v>0</v>
      </c>
    </row>
    <row r="1632" spans="13:14" x14ac:dyDescent="0.35">
      <c r="M1632" s="64" t="s">
        <v>1859</v>
      </c>
      <c r="N1632" s="61">
        <f>SUMIFS(INDEX(detail_table[],,MATCH(M1632,detail_table[#Headers],0)),detail_table[Project Type],"&lt;&gt;"&amp;"")</f>
        <v>0</v>
      </c>
    </row>
    <row r="1633" spans="13:14" x14ac:dyDescent="0.35">
      <c r="M1633" s="64" t="s">
        <v>1860</v>
      </c>
      <c r="N1633" s="61">
        <f>SUMIFS(INDEX(detail_table[],,MATCH(M1633,detail_table[#Headers],0)),detail_table[Project Type],"&lt;&gt;"&amp;"")</f>
        <v>0</v>
      </c>
    </row>
    <row r="1634" spans="13:14" x14ac:dyDescent="0.35">
      <c r="M1634" s="64" t="s">
        <v>1861</v>
      </c>
      <c r="N1634" s="61">
        <f>SUMIFS(INDEX(detail_table[],,MATCH(M1634,detail_table[#Headers],0)),detail_table[Project Type],"&lt;&gt;"&amp;"")</f>
        <v>0</v>
      </c>
    </row>
    <row r="1635" spans="13:14" x14ac:dyDescent="0.35">
      <c r="M1635" s="64" t="s">
        <v>1862</v>
      </c>
      <c r="N1635" s="61">
        <f>SUMIFS(INDEX(detail_table[],,MATCH(M1635,detail_table[#Headers],0)),detail_table[Project Type],"&lt;&gt;"&amp;"")</f>
        <v>0</v>
      </c>
    </row>
    <row r="1636" spans="13:14" x14ac:dyDescent="0.35">
      <c r="M1636" s="64" t="s">
        <v>1863</v>
      </c>
      <c r="N1636" s="61">
        <f>SUMIFS(INDEX(detail_table[],,MATCH(M1636,detail_table[#Headers],0)),detail_table[Project Type],"&lt;&gt;"&amp;"")</f>
        <v>0</v>
      </c>
    </row>
    <row r="1637" spans="13:14" x14ac:dyDescent="0.35">
      <c r="M1637" s="64" t="s">
        <v>1864</v>
      </c>
      <c r="N1637" s="61">
        <f>SUMIFS(INDEX(detail_table[],,MATCH(M1637,detail_table[#Headers],0)),detail_table[Project Type],"&lt;&gt;"&amp;"")</f>
        <v>0</v>
      </c>
    </row>
    <row r="1638" spans="13:14" x14ac:dyDescent="0.35">
      <c r="M1638" s="64" t="s">
        <v>1865</v>
      </c>
      <c r="N1638" s="61">
        <f>SUMIFS(INDEX(detail_table[],,MATCH(M1638,detail_table[#Headers],0)),detail_table[Project Type],"&lt;&gt;"&amp;"")</f>
        <v>0</v>
      </c>
    </row>
    <row r="1639" spans="13:14" x14ac:dyDescent="0.35">
      <c r="M1639" s="64" t="s">
        <v>1866</v>
      </c>
      <c r="N1639" s="61">
        <f>SUMIFS(INDEX(detail_table[],,MATCH(M1639,detail_table[#Headers],0)),detail_table[Project Type],"&lt;&gt;"&amp;"")</f>
        <v>0</v>
      </c>
    </row>
    <row r="1640" spans="13:14" x14ac:dyDescent="0.35">
      <c r="M1640" s="64" t="s">
        <v>1867</v>
      </c>
      <c r="N1640" s="61">
        <f>SUMIFS(INDEX(detail_table[],,MATCH(M1640,detail_table[#Headers],0)),detail_table[Project Type],"&lt;&gt;"&amp;"")</f>
        <v>0</v>
      </c>
    </row>
    <row r="1641" spans="13:14" x14ac:dyDescent="0.35">
      <c r="M1641" s="64" t="s">
        <v>1868</v>
      </c>
      <c r="N1641" s="61">
        <f>SUMIFS(INDEX(detail_table[],,MATCH(M1641,detail_table[#Headers],0)),detail_table[Project Type],"&lt;&gt;"&amp;"")</f>
        <v>0</v>
      </c>
    </row>
    <row r="1642" spans="13:14" x14ac:dyDescent="0.35">
      <c r="M1642" s="64" t="s">
        <v>1869</v>
      </c>
      <c r="N1642" s="61">
        <f>SUMIFS(INDEX(detail_table[],,MATCH(M1642,detail_table[#Headers],0)),detail_table[Project Type],"&lt;&gt;"&amp;"")</f>
        <v>0</v>
      </c>
    </row>
    <row r="1643" spans="13:14" x14ac:dyDescent="0.35">
      <c r="M1643" s="64" t="s">
        <v>1870</v>
      </c>
      <c r="N1643" s="61">
        <f>SUMIFS(INDEX(detail_table[],,MATCH(M1643,detail_table[#Headers],0)),detail_table[Project Type],"&lt;&gt;"&amp;"")</f>
        <v>0</v>
      </c>
    </row>
    <row r="1644" spans="13:14" x14ac:dyDescent="0.35">
      <c r="M1644" s="64" t="s">
        <v>1871</v>
      </c>
      <c r="N1644" s="61">
        <f>SUMIFS(INDEX(detail_table[],,MATCH(M1644,detail_table[#Headers],0)),detail_table[Project Type],"&lt;&gt;"&amp;"")</f>
        <v>0</v>
      </c>
    </row>
    <row r="1645" spans="13:14" x14ac:dyDescent="0.35">
      <c r="M1645" s="64" t="s">
        <v>1872</v>
      </c>
      <c r="N1645" s="61">
        <f>SUMIFS(INDEX(detail_table[],,MATCH(M1645,detail_table[#Headers],0)),detail_table[Project Type],"&lt;&gt;"&amp;"")</f>
        <v>0</v>
      </c>
    </row>
    <row r="1646" spans="13:14" x14ac:dyDescent="0.35">
      <c r="M1646" s="64" t="s">
        <v>1873</v>
      </c>
      <c r="N1646" s="61">
        <f>SUMIFS(INDEX(detail_table[],,MATCH(M1646,detail_table[#Headers],0)),detail_table[Project Type],"&lt;&gt;"&amp;"")</f>
        <v>0</v>
      </c>
    </row>
    <row r="1647" spans="13:14" x14ac:dyDescent="0.35">
      <c r="M1647" s="64" t="s">
        <v>1874</v>
      </c>
      <c r="N1647" s="61">
        <f>SUMIFS(INDEX(detail_table[],,MATCH(M1647,detail_table[#Headers],0)),detail_table[Project Type],"&lt;&gt;"&amp;"")</f>
        <v>0</v>
      </c>
    </row>
    <row r="1648" spans="13:14" x14ac:dyDescent="0.35">
      <c r="M1648" s="64" t="s">
        <v>1875</v>
      </c>
      <c r="N1648" s="61">
        <f>SUMIFS(INDEX(detail_table[],,MATCH(M1648,detail_table[#Headers],0)),detail_table[Project Type],"&lt;&gt;"&amp;"")</f>
        <v>0</v>
      </c>
    </row>
    <row r="1649" spans="13:14" x14ac:dyDescent="0.35">
      <c r="M1649" s="64" t="s">
        <v>1876</v>
      </c>
      <c r="N1649" s="61">
        <f>SUMIFS(INDEX(detail_table[],,MATCH(M1649,detail_table[#Headers],0)),detail_table[Project Type],"&lt;&gt;"&amp;"")</f>
        <v>0</v>
      </c>
    </row>
    <row r="1650" spans="13:14" x14ac:dyDescent="0.35">
      <c r="M1650" s="64" t="s">
        <v>1877</v>
      </c>
      <c r="N1650" s="61">
        <f>SUMIFS(INDEX(detail_table[],,MATCH(M1650,detail_table[#Headers],0)),detail_table[Project Type],"&lt;&gt;"&amp;"")</f>
        <v>0</v>
      </c>
    </row>
    <row r="1651" spans="13:14" x14ac:dyDescent="0.35">
      <c r="M1651" s="64" t="s">
        <v>1878</v>
      </c>
      <c r="N1651" s="61">
        <f>SUMIFS(INDEX(detail_table[],,MATCH(M1651,detail_table[#Headers],0)),detail_table[Project Type],"&lt;&gt;"&amp;"")</f>
        <v>0</v>
      </c>
    </row>
    <row r="1652" spans="13:14" x14ac:dyDescent="0.35">
      <c r="M1652" s="64" t="s">
        <v>1879</v>
      </c>
      <c r="N1652" s="61">
        <f>SUMIFS(INDEX(detail_table[],,MATCH(M1652,detail_table[#Headers],0)),detail_table[Project Type],"&lt;&gt;"&amp;"")</f>
        <v>0</v>
      </c>
    </row>
    <row r="1653" spans="13:14" x14ac:dyDescent="0.35">
      <c r="M1653" s="64" t="s">
        <v>1880</v>
      </c>
      <c r="N1653" s="61">
        <f>SUMIFS(INDEX(detail_table[],,MATCH(M1653,detail_table[#Headers],0)),detail_table[Project Type],"&lt;&gt;"&amp;"")</f>
        <v>0</v>
      </c>
    </row>
    <row r="1654" spans="13:14" x14ac:dyDescent="0.35">
      <c r="M1654" s="64" t="s">
        <v>1881</v>
      </c>
      <c r="N1654" s="61">
        <f>SUMIFS(INDEX(detail_table[],,MATCH(M1654,detail_table[#Headers],0)),detail_table[Project Type],"&lt;&gt;"&amp;"")</f>
        <v>0</v>
      </c>
    </row>
    <row r="1655" spans="13:14" x14ac:dyDescent="0.35">
      <c r="M1655" s="64" t="s">
        <v>1882</v>
      </c>
      <c r="N1655" s="61">
        <f>SUMIFS(INDEX(detail_table[],,MATCH(M1655,detail_table[#Headers],0)),detail_table[Project Type],"&lt;&gt;"&amp;"")</f>
        <v>0</v>
      </c>
    </row>
    <row r="1656" spans="13:14" x14ac:dyDescent="0.35">
      <c r="M1656" s="64" t="s">
        <v>1883</v>
      </c>
      <c r="N1656" s="61">
        <f>SUMIFS(INDEX(detail_table[],,MATCH(M1656,detail_table[#Headers],0)),detail_table[Project Type],"&lt;&gt;"&amp;"")</f>
        <v>0</v>
      </c>
    </row>
    <row r="1657" spans="13:14" x14ac:dyDescent="0.35">
      <c r="M1657" s="64" t="s">
        <v>1884</v>
      </c>
      <c r="N1657" s="61">
        <f>SUMIFS(INDEX(detail_table[],,MATCH(M1657,detail_table[#Headers],0)),detail_table[Project Type],"&lt;&gt;"&amp;"")</f>
        <v>0</v>
      </c>
    </row>
    <row r="1658" spans="13:14" x14ac:dyDescent="0.35">
      <c r="M1658" s="64" t="s">
        <v>1885</v>
      </c>
      <c r="N1658" s="61">
        <f>SUMIFS(INDEX(detail_table[],,MATCH(M1658,detail_table[#Headers],0)),detail_table[Project Type],"&lt;&gt;"&amp;"")</f>
        <v>0</v>
      </c>
    </row>
    <row r="1659" spans="13:14" x14ac:dyDescent="0.35">
      <c r="M1659" s="64" t="s">
        <v>1886</v>
      </c>
      <c r="N1659" s="61">
        <f>SUMIFS(INDEX(detail_table[],,MATCH(M1659,detail_table[#Headers],0)),detail_table[Project Type],"&lt;&gt;"&amp;"")</f>
        <v>0</v>
      </c>
    </row>
    <row r="1660" spans="13:14" x14ac:dyDescent="0.35">
      <c r="M1660" s="64" t="s">
        <v>1887</v>
      </c>
      <c r="N1660" s="61">
        <f>SUMIFS(INDEX(detail_table[],,MATCH(M1660,detail_table[#Headers],0)),detail_table[Project Type],"&lt;&gt;"&amp;"")</f>
        <v>0</v>
      </c>
    </row>
    <row r="1661" spans="13:14" x14ac:dyDescent="0.35">
      <c r="M1661" s="64" t="s">
        <v>1888</v>
      </c>
      <c r="N1661" s="61">
        <f>SUMIFS(INDEX(detail_table[],,MATCH(M1661,detail_table[#Headers],0)),detail_table[Project Type],"&lt;&gt;"&amp;"")</f>
        <v>0</v>
      </c>
    </row>
    <row r="1662" spans="13:14" x14ac:dyDescent="0.35">
      <c r="M1662" s="64" t="s">
        <v>1889</v>
      </c>
      <c r="N1662" s="61">
        <f>SUMIFS(INDEX(detail_table[],,MATCH(M1662,detail_table[#Headers],0)),detail_table[Project Type],"&lt;&gt;"&amp;"")</f>
        <v>0</v>
      </c>
    </row>
    <row r="1663" spans="13:14" x14ac:dyDescent="0.35">
      <c r="M1663" s="64" t="s">
        <v>1890</v>
      </c>
      <c r="N1663" s="61">
        <f>SUMIFS(INDEX(detail_table[],,MATCH(M1663,detail_table[#Headers],0)),detail_table[Project Type],"&lt;&gt;"&amp;"")</f>
        <v>0</v>
      </c>
    </row>
    <row r="1664" spans="13:14" x14ac:dyDescent="0.35">
      <c r="M1664" s="64" t="s">
        <v>1891</v>
      </c>
      <c r="N1664" s="61">
        <f>SUMIFS(INDEX(detail_table[],,MATCH(M1664,detail_table[#Headers],0)),detail_table[Project Type],"&lt;&gt;"&amp;"")</f>
        <v>0</v>
      </c>
    </row>
    <row r="1665" spans="13:14" x14ac:dyDescent="0.35">
      <c r="M1665" s="64" t="s">
        <v>1892</v>
      </c>
      <c r="N1665" s="61">
        <f>SUMIFS(INDEX(detail_table[],,MATCH(M1665,detail_table[#Headers],0)),detail_table[Project Type],"&lt;&gt;"&amp;"")</f>
        <v>0</v>
      </c>
    </row>
    <row r="1666" spans="13:14" x14ac:dyDescent="0.35">
      <c r="M1666" s="64" t="s">
        <v>1893</v>
      </c>
      <c r="N1666" s="61">
        <f>SUMIFS(INDEX(detail_table[],,MATCH(M1666,detail_table[#Headers],0)),detail_table[Project Type],"&lt;&gt;"&amp;"")</f>
        <v>0</v>
      </c>
    </row>
    <row r="1667" spans="13:14" x14ac:dyDescent="0.35">
      <c r="M1667" s="64" t="s">
        <v>1894</v>
      </c>
      <c r="N1667" s="61">
        <f>SUMIFS(INDEX(detail_table[],,MATCH(M1667,detail_table[#Headers],0)),detail_table[Project Type],"&lt;&gt;"&amp;"")</f>
        <v>0</v>
      </c>
    </row>
    <row r="1668" spans="13:14" x14ac:dyDescent="0.35">
      <c r="M1668" s="64" t="s">
        <v>1895</v>
      </c>
      <c r="N1668" s="61">
        <f>SUMIFS(INDEX(detail_table[],,MATCH(M1668,detail_table[#Headers],0)),detail_table[Project Type],"&lt;&gt;"&amp;"")</f>
        <v>0</v>
      </c>
    </row>
    <row r="1669" spans="13:14" x14ac:dyDescent="0.35">
      <c r="M1669" s="64" t="s">
        <v>1896</v>
      </c>
      <c r="N1669" s="61">
        <f>SUMIFS(INDEX(detail_table[],,MATCH(M1669,detail_table[#Headers],0)),detail_table[Project Type],"&lt;&gt;"&amp;"")</f>
        <v>0</v>
      </c>
    </row>
    <row r="1670" spans="13:14" x14ac:dyDescent="0.35">
      <c r="M1670" s="64" t="s">
        <v>1897</v>
      </c>
      <c r="N1670" s="61">
        <f>SUMIFS(INDEX(detail_table[],,MATCH(M1670,detail_table[#Headers],0)),detail_table[Project Type],"&lt;&gt;"&amp;"")</f>
        <v>0</v>
      </c>
    </row>
    <row r="1671" spans="13:14" x14ac:dyDescent="0.35">
      <c r="M1671" s="64" t="s">
        <v>1898</v>
      </c>
      <c r="N1671" s="61">
        <f>SUMIFS(INDEX(detail_table[],,MATCH(M1671,detail_table[#Headers],0)),detail_table[Project Type],"&lt;&gt;"&amp;"")</f>
        <v>0</v>
      </c>
    </row>
    <row r="1672" spans="13:14" x14ac:dyDescent="0.35">
      <c r="M1672" s="64" t="s">
        <v>1899</v>
      </c>
      <c r="N1672" s="61">
        <f>SUMIFS(INDEX(detail_table[],,MATCH(M1672,detail_table[#Headers],0)),detail_table[Project Type],"&lt;&gt;"&amp;"")</f>
        <v>0</v>
      </c>
    </row>
    <row r="1673" spans="13:14" x14ac:dyDescent="0.35">
      <c r="M1673" s="64" t="s">
        <v>2091</v>
      </c>
      <c r="N1673" s="61">
        <f>SUMIFS(INDEX(detail_table[],,MATCH(M1673,detail_table[#Headers],0)),detail_table[Project Type],$D$1)</f>
        <v>0</v>
      </c>
    </row>
    <row r="1674" spans="13:14" x14ac:dyDescent="0.35">
      <c r="M1674" s="64" t="s">
        <v>2090</v>
      </c>
      <c r="N1674" s="61">
        <f>SUMIFS(INDEX(detail_table[],,MATCH(M1674,detail_table[#Headers],0)),detail_table[Project Type],$D$1)</f>
        <v>0</v>
      </c>
    </row>
    <row r="1675" spans="13:14" x14ac:dyDescent="0.35">
      <c r="M1675" s="64" t="s">
        <v>2089</v>
      </c>
      <c r="N1675" s="61">
        <f>SUMIFS(INDEX(detail_table[],,MATCH(M1675,detail_table[#Headers],0)),detail_table[Project Type],$D$1)</f>
        <v>0</v>
      </c>
    </row>
    <row r="1676" spans="13:14" x14ac:dyDescent="0.35">
      <c r="M1676" s="64" t="s">
        <v>2088</v>
      </c>
      <c r="N1676" s="61">
        <f>SUMIFS(INDEX(detail_table[],,MATCH(M1676,detail_table[#Headers],0)),detail_table[Project Type],$D$1)</f>
        <v>0</v>
      </c>
    </row>
    <row r="1677" spans="13:14" x14ac:dyDescent="0.35">
      <c r="M1677" s="64" t="s">
        <v>2087</v>
      </c>
      <c r="N1677" s="61">
        <f>SUMIFS(INDEX(detail_table[],,MATCH(M1677,detail_table[#Headers],0)),detail_table[Project Type],$D$1)</f>
        <v>0</v>
      </c>
    </row>
    <row r="1678" spans="13:14" x14ac:dyDescent="0.35">
      <c r="M1678" s="64" t="s">
        <v>1900</v>
      </c>
      <c r="N1678" s="61">
        <f>SUMIFS(INDEX(detail_table[],,MATCH(M1678,detail_table[#Headers],0)),detail_table[Project Type],"&lt;&gt;"&amp;"")</f>
        <v>0</v>
      </c>
    </row>
    <row r="1679" spans="13:14" x14ac:dyDescent="0.35">
      <c r="M1679" s="64" t="s">
        <v>1901</v>
      </c>
      <c r="N1679" s="61">
        <f>SUMIFS(INDEX(detail_table[],,MATCH(M1679,detail_table[#Headers],0)),detail_table[Project Type],"&lt;&gt;"&amp;"")</f>
        <v>0</v>
      </c>
    </row>
    <row r="1680" spans="13:14" x14ac:dyDescent="0.35">
      <c r="M1680" s="64" t="s">
        <v>1902</v>
      </c>
      <c r="N1680" s="61">
        <f>SUMIFS(INDEX(detail_table[],,MATCH(M1680,detail_table[#Headers],0)),detail_table[Project Type],"&lt;&gt;"&amp;"")</f>
        <v>0</v>
      </c>
    </row>
    <row r="1681" spans="13:14" x14ac:dyDescent="0.35">
      <c r="M1681" s="64" t="s">
        <v>1903</v>
      </c>
      <c r="N1681" s="61">
        <f>SUMIFS(INDEX(detail_table[],,MATCH(M1681,detail_table[#Headers],0)),detail_table[Project Type],"&lt;&gt;"&amp;"")</f>
        <v>0</v>
      </c>
    </row>
    <row r="1682" spans="13:14" x14ac:dyDescent="0.35">
      <c r="M1682" s="64" t="s">
        <v>1904</v>
      </c>
      <c r="N1682" s="61">
        <f>SUMIFS(INDEX(detail_table[],,MATCH(M1682,detail_table[#Headers],0)),detail_table[Project Type],"&lt;&gt;"&amp;"")</f>
        <v>0</v>
      </c>
    </row>
    <row r="1683" spans="13:14" x14ac:dyDescent="0.35">
      <c r="M1683" s="64" t="s">
        <v>1905</v>
      </c>
      <c r="N1683" s="61">
        <f>SUMIFS(INDEX(detail_table[],,MATCH(M1683,detail_table[#Headers],0)),detail_table[Project Type],"&lt;&gt;"&amp;"")</f>
        <v>0</v>
      </c>
    </row>
    <row r="1684" spans="13:14" x14ac:dyDescent="0.35">
      <c r="M1684" s="64" t="s">
        <v>1906</v>
      </c>
      <c r="N1684" s="61">
        <f>SUMIFS(INDEX(detail_table[],,MATCH(M1684,detail_table[#Headers],0)),detail_table[Project Type],"&lt;&gt;"&amp;"")</f>
        <v>0</v>
      </c>
    </row>
    <row r="1685" spans="13:14" x14ac:dyDescent="0.35">
      <c r="M1685" s="64" t="s">
        <v>1907</v>
      </c>
      <c r="N1685" s="61">
        <f>SUMIFS(INDEX(detail_table[],,MATCH(M1685,detail_table[#Headers],0)),detail_table[Project Type],"&lt;&gt;"&amp;"")</f>
        <v>0</v>
      </c>
    </row>
    <row r="1686" spans="13:14" x14ac:dyDescent="0.35">
      <c r="M1686" s="64" t="s">
        <v>1908</v>
      </c>
      <c r="N1686" s="61">
        <f>SUMIFS(INDEX(detail_table[],,MATCH(M1686,detail_table[#Headers],0)),detail_table[Project Type],"&lt;&gt;"&amp;"")</f>
        <v>0</v>
      </c>
    </row>
    <row r="1687" spans="13:14" x14ac:dyDescent="0.35">
      <c r="M1687" s="64" t="s">
        <v>1909</v>
      </c>
      <c r="N1687" s="61">
        <f>SUMIFS(INDEX(detail_table[],,MATCH(M1687,detail_table[#Headers],0)),detail_table[Project Type],"&lt;&gt;"&amp;"")</f>
        <v>0</v>
      </c>
    </row>
  </sheetData>
  <sheetProtection algorithmName="SHA-512" hashValue="4bQr5ek1v59BbgslOlzkntknRVlonyqWcGt66OnkhEW47TFA56rOuOILuSKdNEXgqucG9RCE4BgwQt5O1TGlbw==" saltValue="nipcDRfoeA4clw4DTVrCfg==" spinCount="100000" sheet="1" objects="1" scenarios="1" selectLockedCells="1" sort="0" autoFilter="0" pivotTables="0"/>
  <dataValidations count="1">
    <dataValidation type="list" showInputMessage="1" showErrorMessage="1" sqref="E1">
      <formula1>projtype</formula1>
    </dataValidation>
  </dataValidations>
  <pageMargins left="0.7" right="0.7" top="0.75" bottom="0.75" header="0.3" footer="0.3"/>
  <pageSetup fitToHeight="0" orientation="portrait" horizontalDpi="4294967293" verticalDpi="0" r:id="rId1"/>
  <headerFooter scaleWithDoc="0">
    <oddHeader>&amp;A</oddHeader>
    <oddFooter>&amp;A&amp;RPage &amp;P</oddFooter>
  </headerFooter>
  <rowBreaks count="24" manualBreakCount="24">
    <brk id="18" max="16383" man="1"/>
    <brk id="43" max="16383" man="1"/>
    <brk id="64" max="16383" man="1"/>
    <brk id="85" max="16383" man="1"/>
    <brk id="107" max="16383" man="1"/>
    <brk id="133" max="16383" man="1"/>
    <brk id="154" max="16383" man="1"/>
    <brk id="177" max="16383" man="1"/>
    <brk id="205" max="16383" man="1"/>
    <brk id="222" max="16383" man="1"/>
    <brk id="249" max="16383" man="1"/>
    <brk id="266" max="16383" man="1"/>
    <brk id="298" max="16383" man="1"/>
    <brk id="316" max="16383" man="1"/>
    <brk id="330" max="16383" man="1"/>
    <brk id="348" max="16383" man="1"/>
    <brk id="357" max="16383" man="1"/>
    <brk id="371" max="16383" man="1"/>
    <brk id="389" max="16383" man="1"/>
    <brk id="398" max="16383" man="1"/>
    <brk id="411" max="16383" man="1"/>
    <brk id="416" max="16383" man="1"/>
    <brk id="430" max="16383" man="1"/>
    <brk id="448" max="16383" man="1"/>
  </rowBreaks>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J28"/>
  <sheetViews>
    <sheetView workbookViewId="0">
      <selection activeCell="H16" sqref="H16"/>
    </sheetView>
  </sheetViews>
  <sheetFormatPr defaultRowHeight="14.5" x14ac:dyDescent="0.35"/>
  <cols>
    <col min="1" max="1" width="71.08984375" bestFit="1" customWidth="1"/>
    <col min="2" max="2" width="22.08984375" customWidth="1"/>
    <col min="3" max="3" width="16.1796875" bestFit="1" customWidth="1"/>
    <col min="4" max="4" width="11.453125" bestFit="1" customWidth="1"/>
    <col min="5" max="5" width="19.54296875" bestFit="1" customWidth="1"/>
    <col min="6" max="6" width="7.453125" style="172" customWidth="1"/>
    <col min="7" max="8" width="21.36328125" style="76" customWidth="1"/>
    <col min="9" max="9" width="63.81640625" style="99" customWidth="1"/>
    <col min="10" max="10" width="8.90625" style="99"/>
  </cols>
  <sheetData>
    <row r="1" spans="1:10" ht="17.5" thickBot="1" x14ac:dyDescent="0.45">
      <c r="A1" s="124" t="s">
        <v>1930</v>
      </c>
      <c r="B1" s="124"/>
      <c r="C1" s="124"/>
      <c r="D1" s="124"/>
      <c r="E1" s="124"/>
      <c r="F1" s="169"/>
      <c r="G1" s="125"/>
      <c r="H1" s="125"/>
    </row>
    <row r="2" spans="1:10" s="6" customFormat="1" ht="69" thickTop="1" thickBot="1" x14ac:dyDescent="0.45">
      <c r="A2" s="136" t="s">
        <v>1931</v>
      </c>
      <c r="B2" s="136" t="s">
        <v>1932</v>
      </c>
      <c r="C2" s="136" t="s">
        <v>1933</v>
      </c>
      <c r="D2" s="136" t="s">
        <v>1934</v>
      </c>
      <c r="E2" s="140" t="s">
        <v>2127</v>
      </c>
      <c r="F2" s="170" t="s">
        <v>2182</v>
      </c>
      <c r="G2" s="141" t="s">
        <v>2167</v>
      </c>
      <c r="H2" s="141" t="s">
        <v>2183</v>
      </c>
      <c r="I2" s="136" t="s">
        <v>2168</v>
      </c>
      <c r="J2" s="143"/>
    </row>
    <row r="3" spans="1:10" ht="15" thickTop="1" x14ac:dyDescent="0.35">
      <c r="A3" t="s">
        <v>2437</v>
      </c>
      <c r="B3" t="s">
        <v>1935</v>
      </c>
      <c r="C3" s="98" t="s">
        <v>2101</v>
      </c>
      <c r="D3" s="98" t="s">
        <v>1936</v>
      </c>
      <c r="E3" s="98"/>
      <c r="F3" s="171" t="s">
        <v>2123</v>
      </c>
      <c r="H3" s="76" t="s">
        <v>2184</v>
      </c>
    </row>
    <row r="4" spans="1:10" x14ac:dyDescent="0.35">
      <c r="A4" s="128" t="s">
        <v>2438</v>
      </c>
      <c r="B4" t="s">
        <v>1937</v>
      </c>
      <c r="C4" s="78" t="s">
        <v>2102</v>
      </c>
      <c r="D4" s="78" t="s">
        <v>1944</v>
      </c>
      <c r="E4" s="78" t="s">
        <v>1943</v>
      </c>
      <c r="F4" s="171" t="s">
        <v>2130</v>
      </c>
      <c r="H4" s="76" t="s">
        <v>2185</v>
      </c>
      <c r="I4" s="99" t="s">
        <v>2186</v>
      </c>
    </row>
    <row r="5" spans="1:10" x14ac:dyDescent="0.35">
      <c r="A5" t="s">
        <v>2439</v>
      </c>
      <c r="B5" t="s">
        <v>1938</v>
      </c>
      <c r="C5" s="98" t="s">
        <v>2103</v>
      </c>
      <c r="D5" s="98" t="s">
        <v>1939</v>
      </c>
      <c r="E5" s="98"/>
      <c r="F5" s="171" t="s">
        <v>2123</v>
      </c>
      <c r="H5" s="76" t="s">
        <v>2184</v>
      </c>
    </row>
    <row r="6" spans="1:10" x14ac:dyDescent="0.35">
      <c r="A6" t="s">
        <v>2440</v>
      </c>
      <c r="B6" t="s">
        <v>1938</v>
      </c>
      <c r="C6" s="98" t="s">
        <v>2104</v>
      </c>
      <c r="D6" s="98" t="s">
        <v>1940</v>
      </c>
      <c r="E6" s="98"/>
      <c r="F6" s="171" t="s">
        <v>2123</v>
      </c>
      <c r="H6" s="76" t="s">
        <v>2184</v>
      </c>
    </row>
    <row r="7" spans="1:10" x14ac:dyDescent="0.35">
      <c r="A7" s="128" t="s">
        <v>2441</v>
      </c>
      <c r="B7" t="s">
        <v>1938</v>
      </c>
      <c r="C7" s="98" t="s">
        <v>2105</v>
      </c>
      <c r="D7" s="98" t="s">
        <v>1941</v>
      </c>
      <c r="E7" s="98"/>
      <c r="F7" s="171" t="s">
        <v>2123</v>
      </c>
      <c r="H7" s="76" t="s">
        <v>2184</v>
      </c>
    </row>
    <row r="8" spans="1:10" x14ac:dyDescent="0.35">
      <c r="A8" t="s">
        <v>2442</v>
      </c>
      <c r="B8" t="s">
        <v>1937</v>
      </c>
      <c r="C8" s="98" t="s">
        <v>2106</v>
      </c>
      <c r="D8" s="98" t="s">
        <v>1936</v>
      </c>
      <c r="E8" s="98"/>
      <c r="F8" s="171" t="s">
        <v>2123</v>
      </c>
      <c r="H8" s="76" t="s">
        <v>2184</v>
      </c>
    </row>
    <row r="9" spans="1:10" x14ac:dyDescent="0.35">
      <c r="A9" s="77" t="s">
        <v>2443</v>
      </c>
      <c r="B9" t="s">
        <v>1937</v>
      </c>
      <c r="C9" s="98" t="s">
        <v>2107</v>
      </c>
      <c r="D9" s="98" t="s">
        <v>1936</v>
      </c>
      <c r="E9" s="98"/>
      <c r="F9" s="171" t="s">
        <v>2123</v>
      </c>
      <c r="H9" s="76" t="s">
        <v>2184</v>
      </c>
    </row>
    <row r="10" spans="1:10" x14ac:dyDescent="0.35">
      <c r="A10" t="s">
        <v>2444</v>
      </c>
      <c r="B10" t="s">
        <v>1937</v>
      </c>
      <c r="C10" s="98" t="s">
        <v>2108</v>
      </c>
      <c r="D10" s="98" t="s">
        <v>1936</v>
      </c>
      <c r="E10" s="98"/>
      <c r="F10" s="171" t="s">
        <v>2123</v>
      </c>
      <c r="H10" s="76" t="s">
        <v>2184</v>
      </c>
    </row>
    <row r="11" spans="1:10" x14ac:dyDescent="0.35">
      <c r="A11" s="128" t="s">
        <v>2436</v>
      </c>
      <c r="B11" t="s">
        <v>1937</v>
      </c>
      <c r="C11" s="98" t="s">
        <v>2109</v>
      </c>
      <c r="D11" s="98" t="s">
        <v>1936</v>
      </c>
      <c r="E11" s="98"/>
      <c r="F11" s="171" t="s">
        <v>2123</v>
      </c>
      <c r="H11" s="76" t="s">
        <v>2184</v>
      </c>
    </row>
    <row r="12" spans="1:10" x14ac:dyDescent="0.35">
      <c r="A12" t="s">
        <v>2445</v>
      </c>
      <c r="B12" t="s">
        <v>1937</v>
      </c>
      <c r="C12" s="78" t="s">
        <v>2110</v>
      </c>
      <c r="D12" s="78" t="s">
        <v>1939</v>
      </c>
      <c r="E12" s="78" t="s">
        <v>1943</v>
      </c>
      <c r="F12" s="171" t="s">
        <v>2130</v>
      </c>
      <c r="H12" s="76" t="s">
        <v>2185</v>
      </c>
      <c r="I12" s="99" t="s">
        <v>2186</v>
      </c>
    </row>
    <row r="13" spans="1:10" x14ac:dyDescent="0.35">
      <c r="A13" s="77" t="s">
        <v>123</v>
      </c>
      <c r="B13" t="s">
        <v>1937</v>
      </c>
      <c r="C13" s="78" t="s">
        <v>2111</v>
      </c>
      <c r="D13" s="78" t="s">
        <v>1939</v>
      </c>
      <c r="E13" s="78" t="s">
        <v>1943</v>
      </c>
      <c r="F13" s="171" t="s">
        <v>2130</v>
      </c>
      <c r="H13" s="76" t="s">
        <v>2185</v>
      </c>
      <c r="I13" s="99" t="s">
        <v>2186</v>
      </c>
    </row>
    <row r="14" spans="1:10" x14ac:dyDescent="0.35">
      <c r="A14" s="128" t="s">
        <v>2446</v>
      </c>
      <c r="B14" t="s">
        <v>1937</v>
      </c>
      <c r="C14" s="98" t="s">
        <v>2192</v>
      </c>
      <c r="D14" s="98" t="s">
        <v>1936</v>
      </c>
      <c r="E14" s="98"/>
      <c r="F14" s="171" t="s">
        <v>2123</v>
      </c>
      <c r="H14" s="76" t="s">
        <v>2184</v>
      </c>
    </row>
    <row r="15" spans="1:10" x14ac:dyDescent="0.35">
      <c r="A15" t="s">
        <v>126</v>
      </c>
      <c r="B15" t="s">
        <v>1937</v>
      </c>
      <c r="C15" s="98" t="s">
        <v>2193</v>
      </c>
      <c r="D15" s="98" t="s">
        <v>1936</v>
      </c>
      <c r="E15" s="98"/>
      <c r="F15" s="171" t="s">
        <v>2123</v>
      </c>
      <c r="G15" s="76">
        <v>13</v>
      </c>
      <c r="H15" s="76" t="s">
        <v>2463</v>
      </c>
    </row>
    <row r="16" spans="1:10" x14ac:dyDescent="0.35">
      <c r="A16" t="s">
        <v>2448</v>
      </c>
      <c r="B16" t="s">
        <v>1937</v>
      </c>
      <c r="C16" s="98" t="s">
        <v>2194</v>
      </c>
      <c r="D16" s="98" t="s">
        <v>1936</v>
      </c>
      <c r="E16" s="98"/>
      <c r="F16" s="171" t="s">
        <v>2123</v>
      </c>
      <c r="G16" s="142"/>
      <c r="H16" s="76" t="s">
        <v>2184</v>
      </c>
    </row>
    <row r="17" spans="1:8" x14ac:dyDescent="0.35">
      <c r="A17" t="s">
        <v>2447</v>
      </c>
      <c r="B17" t="s">
        <v>1937</v>
      </c>
      <c r="C17" s="98" t="s">
        <v>2195</v>
      </c>
      <c r="D17" s="98" t="s">
        <v>1942</v>
      </c>
      <c r="E17" s="98"/>
      <c r="F17" s="171" t="s">
        <v>2123</v>
      </c>
      <c r="G17" s="76" t="s">
        <v>2191</v>
      </c>
      <c r="H17" s="76" t="s">
        <v>2184</v>
      </c>
    </row>
    <row r="18" spans="1:8" x14ac:dyDescent="0.35">
      <c r="A18" t="s">
        <v>2449</v>
      </c>
      <c r="B18" t="s">
        <v>1937</v>
      </c>
      <c r="C18" s="98" t="s">
        <v>2196</v>
      </c>
      <c r="D18" s="98" t="s">
        <v>1942</v>
      </c>
      <c r="E18" s="98"/>
      <c r="F18" s="171" t="s">
        <v>2123</v>
      </c>
      <c r="G18" s="76">
        <v>12</v>
      </c>
      <c r="H18" s="76" t="s">
        <v>2184</v>
      </c>
    </row>
    <row r="19" spans="1:8" x14ac:dyDescent="0.35">
      <c r="A19" t="s">
        <v>2450</v>
      </c>
      <c r="B19" t="s">
        <v>1937</v>
      </c>
      <c r="C19" s="98" t="s">
        <v>2197</v>
      </c>
      <c r="D19" s="98" t="s">
        <v>1939</v>
      </c>
      <c r="E19" s="98"/>
      <c r="F19" s="171" t="s">
        <v>2123</v>
      </c>
      <c r="H19" s="76" t="s">
        <v>2184</v>
      </c>
    </row>
    <row r="20" spans="1:8" x14ac:dyDescent="0.35">
      <c r="A20" t="s">
        <v>2451</v>
      </c>
      <c r="B20" t="s">
        <v>1937</v>
      </c>
      <c r="C20" s="98" t="s">
        <v>2198</v>
      </c>
      <c r="D20" s="98" t="s">
        <v>1936</v>
      </c>
      <c r="E20" s="98"/>
      <c r="F20" s="171" t="s">
        <v>2123</v>
      </c>
      <c r="H20" s="76" t="s">
        <v>2184</v>
      </c>
    </row>
    <row r="21" spans="1:8" x14ac:dyDescent="0.35">
      <c r="C21" s="98"/>
      <c r="D21" s="98"/>
      <c r="E21" s="98"/>
      <c r="F21" s="171"/>
    </row>
    <row r="23" spans="1:8" x14ac:dyDescent="0.35">
      <c r="G23"/>
      <c r="H23" s="168"/>
    </row>
    <row r="24" spans="1:8" x14ac:dyDescent="0.35">
      <c r="G24"/>
      <c r="H24" s="168"/>
    </row>
    <row r="25" spans="1:8" x14ac:dyDescent="0.35">
      <c r="G25"/>
      <c r="H25" s="168"/>
    </row>
    <row r="26" spans="1:8" x14ac:dyDescent="0.35">
      <c r="G26"/>
      <c r="H26" s="168"/>
    </row>
    <row r="27" spans="1:8" x14ac:dyDescent="0.35">
      <c r="G27"/>
      <c r="H27" s="168"/>
    </row>
    <row r="28" spans="1:8" x14ac:dyDescent="0.35">
      <c r="G28"/>
      <c r="H28" s="168"/>
    </row>
  </sheetData>
  <sortState ref="A3:F21">
    <sortCondition ref="A2"/>
  </sortState>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C6:D6"/>
  <sheetViews>
    <sheetView workbookViewId="0"/>
  </sheetViews>
  <sheetFormatPr defaultRowHeight="14.5" x14ac:dyDescent="0.35"/>
  <cols>
    <col min="3" max="3" width="25.81640625" customWidth="1"/>
  </cols>
  <sheetData>
    <row r="6" spans="3:4" x14ac:dyDescent="0.35">
      <c r="C6" t="s">
        <v>1945</v>
      </c>
      <c r="D6" s="78" t="s">
        <v>2133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1FF85F6-6ECB-488E-859E-3866D786E30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22</vt:i4>
      </vt:variant>
    </vt:vector>
  </HeadingPairs>
  <TitlesOfParts>
    <vt:vector size="32" baseType="lpstr">
      <vt:lpstr>Import</vt:lpstr>
      <vt:lpstr>Sheet1</vt:lpstr>
      <vt:lpstr>MasterCSV</vt:lpstr>
      <vt:lpstr>ProjPivot</vt:lpstr>
      <vt:lpstr>Data</vt:lpstr>
      <vt:lpstr>Validation Errors</vt:lpstr>
      <vt:lpstr>Report with Filters</vt:lpstr>
      <vt:lpstr>Combined Report</vt:lpstr>
      <vt:lpstr>ValidationTable</vt:lpstr>
      <vt:lpstr>Settings</vt:lpstr>
      <vt:lpstr>column.22d</vt:lpstr>
      <vt:lpstr>column.27b</vt:lpstr>
      <vt:lpstr>DD.Filter</vt:lpstr>
      <vt:lpstr>exit.destination</vt:lpstr>
      <vt:lpstr>MasterCSV!Extract</vt:lpstr>
      <vt:lpstr>inst.destinations.90days</vt:lpstr>
      <vt:lpstr>institutional.destinations</vt:lpstr>
      <vt:lpstr>other.destinations</vt:lpstr>
      <vt:lpstr>pem.destinations.90days</vt:lpstr>
      <vt:lpstr>'Combined Report'!Print_Area</vt:lpstr>
      <vt:lpstr>'Report with Filters'!Print_Area</vt:lpstr>
      <vt:lpstr>'Combined Report'!projtype</vt:lpstr>
      <vt:lpstr>projtype</vt:lpstr>
      <vt:lpstr>q.25a.inst</vt:lpstr>
      <vt:lpstr>q.25a.other</vt:lpstr>
      <vt:lpstr>q.25a.temp</vt:lpstr>
      <vt:lpstr>q.25b</vt:lpstr>
      <vt:lpstr>q.26a</vt:lpstr>
      <vt:lpstr>q.27b</vt:lpstr>
      <vt:lpstr>six_b</vt:lpstr>
      <vt:lpstr>temp.destinations.90days</vt:lpstr>
      <vt:lpstr>temporary.destinations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McComas</dc:creator>
  <cp:lastModifiedBy>PCL</cp:lastModifiedBy>
  <cp:lastPrinted>2015-08-31T01:23:43Z</cp:lastPrinted>
  <dcterms:created xsi:type="dcterms:W3CDTF">2015-04-24T22:05:59Z</dcterms:created>
  <dcterms:modified xsi:type="dcterms:W3CDTF">2015-09-10T13:41:06Z</dcterms:modified>
</cp:coreProperties>
</file>